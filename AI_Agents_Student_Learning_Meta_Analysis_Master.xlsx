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S_Data" sheetId="2" state="visible" r:id="rId4"/>
    <sheet name="Study_Characteristics" sheetId="3" state="visible" r:id="rId5"/>
    <sheet name="Correlational_Studies" sheetId="4" state="visible" r:id="rId6"/>
    <sheet name="Summary" sheetId="5" state="visible" r:id="rId7"/>
    <sheet name="Screening_Log" sheetId="6" state="visible" r:id="rId8"/>
    <sheet name="Data_Issues" sheetId="7" state="visible" r:id="rId9"/>
    <sheet name="Coding_Scheme" sheetId="8" state="visible" r:id="rId10"/>
  </sheets>
  <definedNames>
    <definedName function="false" hidden="true" localSheetId="3" name="_xlnm._FilterDatabase" vbProcedure="false">Correlational_Studies!$A$1:$AE$42</definedName>
    <definedName function="false" hidden="true" localSheetId="1" name="_xlnm._FilterDatabase" vbProcedure="false">ES_Data!$A$1:$AX$347</definedName>
    <definedName function="false" hidden="true" localSheetId="2" name="_xlnm._FilterDatabase" vbProcedure="false">Study_Characteristics!$A$1:$X$82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G1" authorId="0">
      <text>
        <r>
          <rPr>
            <sz val="10"/>
            <rFont val="Arial"/>
            <family val="2"/>
          </rPr>
          <t xml:space="preserve">g = d x J, d = (tmean - cmean)/SDpooled x Direction (MSD rows). See Coding_Scheme for t/F/z/paired conversions.</t>
        </r>
      </text>
    </comment>
    <comment ref="AP1" authorId="0">
      <text>
        <r>
          <rPr>
            <sz val="10"/>
            <rFont val="Arial"/>
            <family val="2"/>
          </rPr>
          <t xml:space="preserve">Default Y = post-test or gain-score rows from controlled comparisons with a computable ES. Edit freely; Summary sheet updates.</t>
        </r>
      </text>
    </comment>
  </commentList>
</comments>
</file>

<file path=xl/sharedStrings.xml><?xml version="1.0" encoding="utf-8"?>
<sst xmlns="http://schemas.openxmlformats.org/spreadsheetml/2006/main" count="10148" uniqueCount="1907">
  <si>
    <t xml:space="preserve">AI Agents &amp; Student Learning - Merged Meta-Analysis Dataset</t>
  </si>
  <si>
    <t xml:space="preserve">What this workbook contains</t>
  </si>
  <si>
    <t xml:space="preserve">1. ES_Data - one row per effect size (treatment vs control) for every study: cognitive outcomes (knowledge-based, skill-based, higher-order thinking, cognitive load) and non-cognitive outcomes (learning dispositions, emotional functioning, self-management, social competence, curiosity, attitudes toward AI). Hedges' g, variance, SE, 95% CI, z, p and weights are live Excel formulas.</t>
  </si>
  <si>
    <t xml:space="preserve">2. Study_Characteristics - one row per study (moderator coding: country, education level, discipline, AI agent type, teacher involvement, design, comparison, duration).</t>
  </si>
  <si>
    <t xml:space="preserve">3. Correlational_Studies - survey/SEM studies that report correlations (r) or standardized paths (beta) between AI use and learning outcomes, converted to Fisher's z (kept separate from experimental SMDs).</t>
  </si>
  <si>
    <t xml:space="preserve">4. Summary - random-effects (DerSimonian-Laird) pooled estimates by outcome domain, subgroup, AI agent type and education level, computed with formulas from ES_Data rows flagged 'Y' in 'Include in primary analysis'.</t>
  </si>
  <si>
    <t xml:space="preserve">5. Screening_Log - every file you uploaded (49 papers/pages + 5 workbooks) with the eligibility decision and reason.</t>
  </si>
  <si>
    <t xml:space="preserve">6. Data_Issues - discrepancies found while merging your workbooks and checking the papers (please verify these).</t>
  </si>
  <si>
    <t xml:space="preserve">7. Coding_Scheme - definitions of every category and of the effect-size formulas.</t>
  </si>
  <si>
    <t xml:space="preserve">How to use / edit</t>
  </si>
  <si>
    <t xml:space="preserve">Blue text = hard-coded inputs taken from papers or your workbooks (edit these). Black text = formulas (do not overwrite). Green = values pulled from another sheet.</t>
  </si>
  <si>
    <t xml:space="preserve">To add a study: copy the last row of ES_Data, enter the descriptive statistics (tn, tmean, tsd, cn, cmean, csd) and set 'ES input type' to MSD. If a paper reports only t, F, z or a paired t, enter that statistic in 'Test statistic' and choose the matching input type.</t>
  </si>
  <si>
    <t xml:space="preserve">Set 'Include in primary analysis' to Y for the rows you want pooled (default: post-test / gain rows of controlled comparisons). Pre-test rows are kept for baseline-equivalence checks only.</t>
  </si>
  <si>
    <t xml:space="preserve">'Direction' = +1 when a higher score is better, -1 when a lower score is better (e.g. cognitive load, anxiety, errors). Positive g always favours the AI condition.</t>
  </si>
  <si>
    <t xml:space="preserve">Important analytic caveats</t>
  </si>
  <si>
    <t xml:space="preserve">- Many studies contribute several effect sizes (multiple outcomes, pre/post, multiple treatment groups sharing one control). The Summary sheet treats rows as independent; for the final analysis use a three-level model or robust variance estimation (e.g. metafor::rma.mv + clubSandwich in R, or Stata 'meta' with clustering by Study_ID).</t>
  </si>
  <si>
    <t xml:space="preserve">- Correlational (survey) effects are not comparable with experimental SMDs; analyse them separately or convert cautiously (d = 2r / sqrt(1 - r^2) is provided).</t>
  </si>
  <si>
    <t xml:space="preserve">- Rows from your original workbooks were kept as entered except for documented corrections (see Data_Issues). Values for studies whose full text you uploaded were re-extracted from the paper.</t>
  </si>
  <si>
    <t xml:space="preserve">ES_ID</t>
  </si>
  <si>
    <t xml:space="preserve">Study_ID</t>
  </si>
  <si>
    <t xml:space="preserve">Author (Year)</t>
  </si>
  <si>
    <t xml:space="preserve">Year</t>
  </si>
  <si>
    <t xml:space="preserve">Country</t>
  </si>
  <si>
    <t xml:space="preserve">Education level</t>
  </si>
  <si>
    <t xml:space="preserve">Academic discipline</t>
  </si>
  <si>
    <t xml:space="preserve">AI agent type (harmonized)</t>
  </si>
  <si>
    <t xml:space="preserve">AI agent / tool (as reported)</t>
  </si>
  <si>
    <t xml:space="preserve">Teacher involvement</t>
  </si>
  <si>
    <t xml:space="preserve">Research design</t>
  </si>
  <si>
    <t xml:space="preserve">Comparison condition</t>
  </si>
  <si>
    <t xml:space="preserve">Intervention duration W(S)</t>
  </si>
  <si>
    <t xml:space="preserve">Minutes (M)</t>
  </si>
  <si>
    <t xml:space="preserve">Duration category</t>
  </si>
  <si>
    <t xml:space="preserve">Outcome domain</t>
  </si>
  <si>
    <t xml:space="preserve">Outcome category (subgroup)</t>
  </si>
  <si>
    <t xml:space="preserve">Curiosity dimension</t>
  </si>
  <si>
    <t xml:space="preserve">Outcome name</t>
  </si>
  <si>
    <t xml:space="preserve">Outcome measure</t>
  </si>
  <si>
    <t xml:space="preserve">Test phase</t>
  </si>
  <si>
    <t xml:space="preserve">tn</t>
  </si>
  <si>
    <t xml:space="preserve">tmean</t>
  </si>
  <si>
    <t xml:space="preserve">tsd</t>
  </si>
  <si>
    <t xml:space="preserve">cn</t>
  </si>
  <si>
    <t xml:space="preserve">cmean</t>
  </si>
  <si>
    <t xml:space="preserve">csd</t>
  </si>
  <si>
    <t xml:space="preserve">ES input type</t>
  </si>
  <si>
    <t xml:space="preserve">Test statistic</t>
  </si>
  <si>
    <t xml:space="preserve">Direction</t>
  </si>
  <si>
    <t xml:space="preserve">Cohen's d</t>
  </si>
  <si>
    <t xml:space="preserve">J (small-sample correction)</t>
  </si>
  <si>
    <t xml:space="preserve">Hedges' g (_meta_es)</t>
  </si>
  <si>
    <t xml:space="preserve">Variance</t>
  </si>
  <si>
    <t xml:space="preserve">SE (_meta_se)</t>
  </si>
  <si>
    <t xml:space="preserve">95% CI lower (_meta_cil)</t>
  </si>
  <si>
    <t xml:space="preserve">95% CI upper (_meta_ciu)</t>
  </si>
  <si>
    <t xml:space="preserve">z-value</t>
  </si>
  <si>
    <t xml:space="preserve">p-value</t>
  </si>
  <si>
    <t xml:space="preserve">Total N (_meta_studysize)</t>
  </si>
  <si>
    <t xml:space="preserve">Weight 1/v (_meta_weight)</t>
  </si>
  <si>
    <t xml:space="preserve">Include in primary analysis (Y/N)</t>
  </si>
  <si>
    <t xml:space="preserve">Data source</t>
  </si>
  <si>
    <t xml:space="preserve">Notes (table / page / issues)</t>
  </si>
  <si>
    <t xml:space="preserve">w_inc</t>
  </si>
  <si>
    <t xml:space="preserve">wg_inc</t>
  </si>
  <si>
    <t xml:space="preserve">wg2_inc</t>
  </si>
  <si>
    <t xml:space="preserve">w2_inc</t>
  </si>
  <si>
    <t xml:space="preserve">g_inc</t>
  </si>
  <si>
    <t xml:space="preserve">v_inc</t>
  </si>
  <si>
    <t xml:space="preserve">ES001</t>
  </si>
  <si>
    <t xml:space="preserve">S001</t>
  </si>
  <si>
    <t xml:space="preserve">Abdelghani et al. (2022)</t>
  </si>
  <si>
    <t xml:space="preserve">France</t>
  </si>
  <si>
    <t xml:space="preserve">Primary education</t>
  </si>
  <si>
    <t xml:space="preserve">Science / general knowledge (reading-based)</t>
  </si>
  <si>
    <t xml:space="preserve">Conversational AI / chatbot</t>
  </si>
  <si>
    <t xml:space="preserve">Conversational AI (pedagogical agent) - 'Kids Ask' incentive conversational agent (semantic cues)</t>
  </si>
  <si>
    <t xml:space="preserve">No</t>
  </si>
  <si>
    <t xml:space="preserve">Pseudo-randomized controlled experiment, 2 groups</t>
  </si>
  <si>
    <t xml:space="preserve">Neutral conversational agent (no cues)</t>
  </si>
  <si>
    <t xml:space="preserve">4 sessions in 1 week</t>
  </si>
  <si>
    <t xml:space="preserve">75 per session</t>
  </si>
  <si>
    <t xml:space="preserve">Less than 1 week</t>
  </si>
  <si>
    <t xml:space="preserve">Cognitive</t>
  </si>
  <si>
    <t xml:space="preserve">Higher-order thinking skills</t>
  </si>
  <si>
    <t xml:space="preserve">Percentage of divergent questions generated</t>
  </si>
  <si>
    <t xml:space="preserve">Divergent QA % during training (mixed ANOVA)</t>
  </si>
  <si>
    <t xml:space="preserve">Post-test</t>
  </si>
  <si>
    <t xml:space="preserve">F</t>
  </si>
  <si>
    <t xml:space="preserve">Y</t>
  </si>
  <si>
    <t xml:space="preserve">Extracted from uploaded paper (replaces rows in your workbook(s): WB2)</t>
  </si>
  <si>
    <t xml:space="preserve">Condition main effect F(1,49)=17.87; d=2*sqrt(F/df)</t>
  </si>
  <si>
    <t xml:space="preserve">ES002</t>
  </si>
  <si>
    <t xml:space="preserve">Quality of questions generated</t>
  </si>
  <si>
    <t xml:space="preserve">Question quality grid score</t>
  </si>
  <si>
    <t xml:space="preserve">Condition main effect F(1,49)=37.48</t>
  </si>
  <si>
    <t xml:space="preserve">ES003</t>
  </si>
  <si>
    <t xml:space="preserve">Question-asking (QA) fluency</t>
  </si>
  <si>
    <t xml:space="preserve">Offline divergent QA fluency test (2 min)</t>
  </si>
  <si>
    <t xml:space="preserve">Pre-test</t>
  </si>
  <si>
    <t xml:space="preserve">MSD</t>
  </si>
  <si>
    <t xml:space="preserve">N</t>
  </si>
  <si>
    <t xml:space="preserve">Table 2 baseline</t>
  </si>
  <si>
    <t xml:space="preserve">ES004</t>
  </si>
  <si>
    <t xml:space="preserve">Knowledge-based outcome</t>
  </si>
  <si>
    <t xml:space="preserve">Domain-knowledge quiz</t>
  </si>
  <si>
    <t xml:space="preserve">Domain-knowledge quiz (max 9)</t>
  </si>
  <si>
    <t xml:space="preserve">Sec 5.2</t>
  </si>
  <si>
    <t xml:space="preserve">ES005</t>
  </si>
  <si>
    <t xml:space="preserve">Learning progress (knowledge gain)</t>
  </si>
  <si>
    <t xml:space="preserve">Domain-knowledge quiz progress score</t>
  </si>
  <si>
    <t xml:space="preserve">Gain (post-pre)</t>
  </si>
  <si>
    <t xml:space="preserve">Sec 5.2, p=.04</t>
  </si>
  <si>
    <t xml:space="preserve">ES006</t>
  </si>
  <si>
    <t xml:space="preserve">Non-cognitive</t>
  </si>
  <si>
    <t xml:space="preserve">Curiosity</t>
  </si>
  <si>
    <t xml:space="preserve">Trait curiosity</t>
  </si>
  <si>
    <t xml:space="preserve">Curiosity trait</t>
  </si>
  <si>
    <t xml:space="preserve">Curiosity trait questionnaire (profile measure)</t>
  </si>
  <si>
    <t xml:space="preserve">Table 2 baseline profile. NB: your curiosity workbook entered this as Post-test</t>
  </si>
  <si>
    <t xml:space="preserve">ES007</t>
  </si>
  <si>
    <t xml:space="preserve">Perceptual curiosity</t>
  </si>
  <si>
    <t xml:space="preserve">Exploration time (curiosity-driven exploration)</t>
  </si>
  <si>
    <t xml:space="preserve">Time spent exploring resources (s)</t>
  </si>
  <si>
    <t xml:space="preserve">Sec 5.1.2, reported d=0.68</t>
  </si>
  <si>
    <t xml:space="preserve">ES008</t>
  </si>
  <si>
    <t xml:space="preserve">Epistemic curiosity</t>
  </si>
  <si>
    <t xml:space="preserve">Perception of curiosity</t>
  </si>
  <si>
    <t xml:space="preserve">CIAC perception of curiosity questionnaire</t>
  </si>
  <si>
    <t xml:space="preserve">ES009</t>
  </si>
  <si>
    <t xml:space="preserve">S002</t>
  </si>
  <si>
    <t xml:space="preserve">Abdelghani et al. (2024)</t>
  </si>
  <si>
    <t xml:space="preserve">Generative AI (LLM-based)</t>
  </si>
  <si>
    <t xml:space="preserve">Generative AI (LLM pedagogical agent) - GPT-3-driven 'open' conversational agent (Kids Ask)</t>
  </si>
  <si>
    <t xml:space="preserve">Pseudo-randomized experiment, 3 groups (active comparator)</t>
  </si>
  <si>
    <t xml:space="preserve">Hand-crafted incentive conversational agent (non-generative cues) - active comparator</t>
  </si>
  <si>
    <t xml:space="preserve">3 sessions in 1 week</t>
  </si>
  <si>
    <t xml:space="preserve">60 per session</t>
  </si>
  <si>
    <t xml:space="preserve">Divergent QA % during training</t>
  </si>
  <si>
    <t xml:space="preserve">t</t>
  </si>
  <si>
    <t xml:space="preserve">GPT-3 open vs hand-crafted: t=-3.17 (open higher), p=.003</t>
  </si>
  <si>
    <t xml:space="preserve">ES010</t>
  </si>
  <si>
    <t xml:space="preserve">GPT-3 open vs hand-crafted t=-0.29 (n.s.); direction from figure</t>
  </si>
  <si>
    <t xml:space="preserve">ES011</t>
  </si>
  <si>
    <t xml:space="preserve">Use of agent cues (%)</t>
  </si>
  <si>
    <t xml:space="preserve">% questions using agent cues</t>
  </si>
  <si>
    <t xml:space="preserve">Sec 8.2.1</t>
  </si>
  <si>
    <t xml:space="preserve">ES012</t>
  </si>
  <si>
    <t xml:space="preserve">Domain-knowledge quiz (profile)</t>
  </si>
  <si>
    <t xml:space="preserve">Table 1 baseline</t>
  </si>
  <si>
    <t xml:space="preserve">ES013</t>
  </si>
  <si>
    <t xml:space="preserve">Curiosity trait questionnaire (profile)</t>
  </si>
  <si>
    <t xml:space="preserve">Table 1 baseline: Group 3 (GPT-3 open) vs Group 1 (hand-crafted)</t>
  </si>
  <si>
    <t xml:space="preserve">ES014</t>
  </si>
  <si>
    <t xml:space="preserve">CIAC perception of curiosity (profile)</t>
  </si>
  <si>
    <t xml:space="preserve">Table 1 baseline. NB: your curiosity workbook entered these baseline values as Post-test</t>
  </si>
  <si>
    <t xml:space="preserve">ES015</t>
  </si>
  <si>
    <t xml:space="preserve">S003</t>
  </si>
  <si>
    <t xml:space="preserve">Ali et al. (2021)</t>
  </si>
  <si>
    <t xml:space="preserve">United States</t>
  </si>
  <si>
    <t xml:space="preserve">Primary education (inferred from title)</t>
  </si>
  <si>
    <t xml:space="preserve">Not reported in source workbook</t>
  </si>
  <si>
    <t xml:space="preserve">AI educational robot</t>
  </si>
  <si>
    <t xml:space="preserve">Not reported</t>
  </si>
  <si>
    <t xml:space="preserve">Two-group comparison (per source workbook; verify design)</t>
  </si>
  <si>
    <t xml:space="preserve">Control group (per source workbook)</t>
  </si>
  <si>
    <t xml:space="preserve">Figural creativity</t>
  </si>
  <si>
    <t xml:space="preserve">TCT-DP</t>
  </si>
  <si>
    <t xml:space="preserve">Raw_Data_ES_Meta_Analysis_Study_2.xlsx</t>
  </si>
  <si>
    <t xml:space="preserve">ES016</t>
  </si>
  <si>
    <t xml:space="preserve">Verbal creativity</t>
  </si>
  <si>
    <t xml:space="preserve">ES017</t>
  </si>
  <si>
    <t xml:space="preserve">S004</t>
  </si>
  <si>
    <t xml:space="preserve">Ausin et al. (2023)</t>
  </si>
  <si>
    <t xml:space="preserve">Higher education</t>
  </si>
  <si>
    <t xml:space="preserve">Intelligent tutoring / adaptive learning AI</t>
  </si>
  <si>
    <t xml:space="preserve">Reinforcement Learning (RL)</t>
  </si>
  <si>
    <t xml:space="preserve">Students' Performance (Experiment 1)</t>
  </si>
  <si>
    <t xml:space="preserve">Problem-solving ability tests</t>
  </si>
  <si>
    <t xml:space="preserve">Very_New_Cognitive_Higher_Edcn_Effect_Size.xlsx</t>
  </si>
  <si>
    <t xml:space="preserve">Same data also in WB5: 'Outcome' (uncoded)</t>
  </si>
  <si>
    <t xml:space="preserve">ES018</t>
  </si>
  <si>
    <t xml:space="preserve">Students' Performance (Experiment 2)</t>
  </si>
  <si>
    <t xml:space="preserve">Same data also in WB5: 'Students' Perormance' (uncoded)</t>
  </si>
  <si>
    <t xml:space="preserve">ES019</t>
  </si>
  <si>
    <t xml:space="preserve">S005</t>
  </si>
  <si>
    <t xml:space="preserve">Bachiri et al. (2023)</t>
  </si>
  <si>
    <t xml:space="preserve">Morocco</t>
  </si>
  <si>
    <t xml:space="preserve">STEM</t>
  </si>
  <si>
    <t xml:space="preserve">Generative AI</t>
  </si>
  <si>
    <t xml:space="preserve">Yes</t>
  </si>
  <si>
    <t xml:space="preserve">1 week to 1 month</t>
  </si>
  <si>
    <t xml:space="preserve">Skill-based outcome</t>
  </si>
  <si>
    <t xml:space="preserve">Learning engagement</t>
  </si>
  <si>
    <t xml:space="preserve">Automatic Questions Generation method</t>
  </si>
  <si>
    <t xml:space="preserve">Same data also in WB2: 'Intrinsic motivation' (Curiosity; Epistemic curiosity)</t>
  </si>
  <si>
    <t xml:space="preserve">ES020</t>
  </si>
  <si>
    <t xml:space="preserve">ES021</t>
  </si>
  <si>
    <t xml:space="preserve">S006</t>
  </si>
  <si>
    <t xml:space="preserve">Baha et al. (2023)</t>
  </si>
  <si>
    <t xml:space="preserve">Not reported in source workbook (verify)</t>
  </si>
  <si>
    <t xml:space="preserve">Chatbot</t>
  </si>
  <si>
    <t xml:space="preserve">Learning gain</t>
  </si>
  <si>
    <t xml:space="preserve">Quiz</t>
  </si>
  <si>
    <t xml:space="preserve">ES022</t>
  </si>
  <si>
    <t xml:space="preserve">S007</t>
  </si>
  <si>
    <t xml:space="preserve">Chang et al. (2022)</t>
  </si>
  <si>
    <t xml:space="preserve">Taiwan</t>
  </si>
  <si>
    <t xml:space="preserve">Conversational AI</t>
  </si>
  <si>
    <t xml:space="preserve">1(4)</t>
  </si>
  <si>
    <t xml:space="preserve">Critical thinking</t>
  </si>
  <si>
    <t xml:space="preserve">E.S_File_Meta_Analysis_.xlsx</t>
  </si>
  <si>
    <t xml:space="preserve">ES023</t>
  </si>
  <si>
    <t xml:space="preserve">Learning achievement</t>
  </si>
  <si>
    <t xml:space="preserve">Achievement test</t>
  </si>
  <si>
    <t xml:space="preserve">Same data also in WB5: 'Learning achievement' (uncoded)</t>
  </si>
  <si>
    <t xml:space="preserve">ES024</t>
  </si>
  <si>
    <t xml:space="preserve">S008</t>
  </si>
  <si>
    <t xml:space="preserve">Knowledge test</t>
  </si>
  <si>
    <t xml:space="preserve">ES025</t>
  </si>
  <si>
    <t xml:space="preserve">S009</t>
  </si>
  <si>
    <t xml:space="preserve">Chen and Chang (2024)</t>
  </si>
  <si>
    <t xml:space="preserve">China</t>
  </si>
  <si>
    <t xml:space="preserve">Secondary education</t>
  </si>
  <si>
    <t xml:space="preserve">2 (10)</t>
  </si>
  <si>
    <t xml:space="preserve">ES026</t>
  </si>
  <si>
    <t xml:space="preserve">ES027</t>
  </si>
  <si>
    <t xml:space="preserve">Interest</t>
  </si>
  <si>
    <t xml:space="preserve">Extracted_Data_AI_agents_Learner_curiosity.xlsx</t>
  </si>
  <si>
    <t xml:space="preserve">ES028</t>
  </si>
  <si>
    <t xml:space="preserve">S010</t>
  </si>
  <si>
    <t xml:space="preserve">Chen and Liu (2024)</t>
  </si>
  <si>
    <t xml:space="preserve">Students’ performance</t>
  </si>
  <si>
    <t xml:space="preserve">Diagnostic Test</t>
  </si>
  <si>
    <t xml:space="preserve">ES029</t>
  </si>
  <si>
    <t xml:space="preserve">ES030</t>
  </si>
  <si>
    <t xml:space="preserve">Intrinsic motivation</t>
  </si>
  <si>
    <t xml:space="preserve">ES031</t>
  </si>
  <si>
    <t xml:space="preserve">ES032</t>
  </si>
  <si>
    <t xml:space="preserve">S011</t>
  </si>
  <si>
    <t xml:space="preserve">Chen et al. (2022)</t>
  </si>
  <si>
    <t xml:space="preserve">AI-assisted learning</t>
  </si>
  <si>
    <t xml:space="preserve">Drawing performance</t>
  </si>
  <si>
    <t xml:space="preserve">Torrance Tests of Creative Thinking</t>
  </si>
  <si>
    <t xml:space="preserve">ES033</t>
  </si>
  <si>
    <t xml:space="preserve">ES034</t>
  </si>
  <si>
    <t xml:space="preserve">S012</t>
  </si>
  <si>
    <t xml:space="preserve">Chen et al. (2024)</t>
  </si>
  <si>
    <t xml:space="preserve">GenAI</t>
  </si>
  <si>
    <t xml:space="preserve">Generated image work</t>
  </si>
  <si>
    <t xml:space="preserve">ES035</t>
  </si>
  <si>
    <t xml:space="preserve">ES036</t>
  </si>
  <si>
    <t xml:space="preserve">S013</t>
  </si>
  <si>
    <t xml:space="preserve">Chen et al. (2025)</t>
  </si>
  <si>
    <t xml:space="preserve">Social Sciences</t>
  </si>
  <si>
    <t xml:space="preserve">2(2)</t>
  </si>
  <si>
    <t xml:space="preserve">ES037</t>
  </si>
  <si>
    <t xml:space="preserve">Agentic Engagement</t>
  </si>
  <si>
    <t xml:space="preserve">ES038</t>
  </si>
  <si>
    <t xml:space="preserve">ES039</t>
  </si>
  <si>
    <t xml:space="preserve">S014</t>
  </si>
  <si>
    <t xml:space="preserve">Secondary education (inferred from title)</t>
  </si>
  <si>
    <t xml:space="preserve">1 to 4 months</t>
  </si>
  <si>
    <t xml:space="preserve">ES040</t>
  </si>
  <si>
    <t xml:space="preserve">S015</t>
  </si>
  <si>
    <t xml:space="preserve">Cheng et al. (2020)</t>
  </si>
  <si>
    <t xml:space="preserve">Other AI tool (recognition / generation / analytics)</t>
  </si>
  <si>
    <t xml:space="preserve">AI for Medical Imaging</t>
  </si>
  <si>
    <t xml:space="preserve">Pre‐learning accuracy</t>
  </si>
  <si>
    <t xml:space="preserve">Same data also in WB5: 'Pre‐learning accuracy' (uncoded)</t>
  </si>
  <si>
    <t xml:space="preserve">ES041</t>
  </si>
  <si>
    <t xml:space="preserve">ES042</t>
  </si>
  <si>
    <t xml:space="preserve">Pre‐learning sensitivity</t>
  </si>
  <si>
    <t xml:space="preserve">Same data also in WB5: 'Pre‐learning sensitivity' (uncoded)</t>
  </si>
  <si>
    <t xml:space="preserve">ES043</t>
  </si>
  <si>
    <t xml:space="preserve">ES044</t>
  </si>
  <si>
    <t xml:space="preserve">Pre‐learning specificity</t>
  </si>
  <si>
    <t xml:space="preserve">Same data also in WB5: 'Pre‐learning specificity' (uncoded)</t>
  </si>
  <si>
    <t xml:space="preserve">ES045</t>
  </si>
  <si>
    <t xml:space="preserve">ES046</t>
  </si>
  <si>
    <t xml:space="preserve">S016</t>
  </si>
  <si>
    <t xml:space="preserve">Darmawansah et al. (2025)</t>
  </si>
  <si>
    <t xml:space="preserve">EFL / Language</t>
  </si>
  <si>
    <t xml:space="preserve">AI speaking app (speech recognition / adaptive feedback) - AI-based speaking learning app within GFCA model</t>
  </si>
  <si>
    <t xml:space="preserve">Quasi-experiment, 2 intact classes</t>
  </si>
  <si>
    <t xml:space="preserve">Same AI app without GFCA model (AI-C) - active comparator</t>
  </si>
  <si>
    <t xml:space="preserve">9 weeks</t>
  </si>
  <si>
    <t xml:space="preserve">100 per week</t>
  </si>
  <si>
    <t xml:space="preserve">Lexical errors T2 (fewer = better)</t>
  </si>
  <si>
    <t xml:space="preserve">Error count in role-play</t>
  </si>
  <si>
    <t xml:space="preserve">z</t>
  </si>
  <si>
    <t xml:space="preserve">Extracted from uploaded paper (new study)</t>
  </si>
  <si>
    <t xml:space="preserve">Table 4</t>
  </si>
  <si>
    <t xml:space="preserve">ES047</t>
  </si>
  <si>
    <t xml:space="preserve">Morpho-syntactic errors T2 (fewer = better)</t>
  </si>
  <si>
    <t xml:space="preserve">Table 4; sign set so positive = fewer errors in AI-GFCA</t>
  </si>
  <si>
    <t xml:space="preserve">ES048</t>
  </si>
  <si>
    <t xml:space="preserve">Fluency</t>
  </si>
  <si>
    <t xml:space="preserve">AI app speaking assessment</t>
  </si>
  <si>
    <t xml:space="preserve">Table 3</t>
  </si>
  <si>
    <t xml:space="preserve">ES049</t>
  </si>
  <si>
    <t xml:space="preserve">IELTS speaking predictor</t>
  </si>
  <si>
    <t xml:space="preserve">AI app IELTS predictor score</t>
  </si>
  <si>
    <t xml:space="preserve">ES050</t>
  </si>
  <si>
    <t xml:space="preserve">Intonation</t>
  </si>
  <si>
    <t xml:space="preserve">Table 3 (n.s.)</t>
  </si>
  <si>
    <t xml:space="preserve">ES051</t>
  </si>
  <si>
    <t xml:space="preserve">Pronunciation</t>
  </si>
  <si>
    <t xml:space="preserve">ES052</t>
  </si>
  <si>
    <t xml:space="preserve">Role-play performance T1</t>
  </si>
  <si>
    <t xml:space="preserve">Role-play rubric (Mann-Whitney)</t>
  </si>
  <si>
    <t xml:space="preserve">Table 2; d from z: r=z/sqrt(N)</t>
  </si>
  <si>
    <t xml:space="preserve">ES053</t>
  </si>
  <si>
    <t xml:space="preserve">Role-play performance T2</t>
  </si>
  <si>
    <t xml:space="preserve">Table 2</t>
  </si>
  <si>
    <t xml:space="preserve">ES054</t>
  </si>
  <si>
    <t xml:space="preserve">Social competence</t>
  </si>
  <si>
    <t xml:space="preserve">Collaboration</t>
  </si>
  <si>
    <t xml:space="preserve">Interaction mindset questionnaire</t>
  </si>
  <si>
    <t xml:space="preserve">Table 7</t>
  </si>
  <si>
    <t xml:space="preserve">ES055</t>
  </si>
  <si>
    <t xml:space="preserve">Peer interaction</t>
  </si>
  <si>
    <t xml:space="preserve">ES056</t>
  </si>
  <si>
    <t xml:space="preserve">Provision of peer feedback</t>
  </si>
  <si>
    <t xml:space="preserve">ES057</t>
  </si>
  <si>
    <t xml:space="preserve">Reception of peer feedback</t>
  </si>
  <si>
    <t xml:space="preserve">Table 7 (n.s.)</t>
  </si>
  <si>
    <t xml:space="preserve">ES058</t>
  </si>
  <si>
    <t xml:space="preserve">S017</t>
  </si>
  <si>
    <t xml:space="preserve">Elmaadaway et al. (2025)</t>
  </si>
  <si>
    <t xml:space="preserve">Egypt</t>
  </si>
  <si>
    <t xml:space="preserve">Comprehension</t>
  </si>
  <si>
    <t xml:space="preserve">ES059</t>
  </si>
  <si>
    <t xml:space="preserve">ES060</t>
  </si>
  <si>
    <t xml:space="preserve">Vocabulary</t>
  </si>
  <si>
    <t xml:space="preserve">ES061</t>
  </si>
  <si>
    <t xml:space="preserve">ES062</t>
  </si>
  <si>
    <t xml:space="preserve">Fluency and accuracy</t>
  </si>
  <si>
    <t xml:space="preserve">ES063</t>
  </si>
  <si>
    <t xml:space="preserve">ES064</t>
  </si>
  <si>
    <t xml:space="preserve">Oral reading skill</t>
  </si>
  <si>
    <t xml:space="preserve">Oral reading test</t>
  </si>
  <si>
    <t xml:space="preserve">ES065</t>
  </si>
  <si>
    <t xml:space="preserve">ES066</t>
  </si>
  <si>
    <t xml:space="preserve">S018</t>
  </si>
  <si>
    <t xml:space="preserve">Essel et al. (2022)</t>
  </si>
  <si>
    <t xml:space="preserve">Ghana</t>
  </si>
  <si>
    <t xml:space="preserve">Course Achiement</t>
  </si>
  <si>
    <t xml:space="preserve">Same data also in WB5: 'Course Achiement' (uncoded)</t>
  </si>
  <si>
    <t xml:space="preserve">ES067</t>
  </si>
  <si>
    <t xml:space="preserve">ES068</t>
  </si>
  <si>
    <t xml:space="preserve">S019</t>
  </si>
  <si>
    <t xml:space="preserve">Fang et al. (2025)</t>
  </si>
  <si>
    <t xml:space="preserve">4 (1)</t>
  </si>
  <si>
    <t xml:space="preserve">Computational thinking</t>
  </si>
  <si>
    <t xml:space="preserve">Programming test</t>
  </si>
  <si>
    <t xml:space="preserve">ES069</t>
  </si>
  <si>
    <t xml:space="preserve">Learning performance</t>
  </si>
  <si>
    <t xml:space="preserve">ES070</t>
  </si>
  <si>
    <t xml:space="preserve">S020</t>
  </si>
  <si>
    <t xml:space="preserve">Fathi et al. (2024)</t>
  </si>
  <si>
    <t xml:space="preserve">Iran</t>
  </si>
  <si>
    <t xml:space="preserve">12 (60)</t>
  </si>
  <si>
    <t xml:space="preserve">Grammatical range and Accuracy</t>
  </si>
  <si>
    <t xml:space="preserve">IELTS test</t>
  </si>
  <si>
    <t xml:space="preserve">Same data also in WB5: 'Accuracy' (uncoded)</t>
  </si>
  <si>
    <t xml:space="preserve">ES071</t>
  </si>
  <si>
    <t xml:space="preserve">ES072</t>
  </si>
  <si>
    <t xml:space="preserve">Lexicon</t>
  </si>
  <si>
    <t xml:space="preserve">Same data also in WB5: 'Lexicon' (uncoded)</t>
  </si>
  <si>
    <t xml:space="preserve">ES073</t>
  </si>
  <si>
    <t xml:space="preserve">ES074</t>
  </si>
  <si>
    <t xml:space="preserve">Fluency and Coherence</t>
  </si>
  <si>
    <t xml:space="preserve">Same data also in WB5: 'Fluency' (uncoded)</t>
  </si>
  <si>
    <t xml:space="preserve">ES075</t>
  </si>
  <si>
    <t xml:space="preserve">ES076</t>
  </si>
  <si>
    <t xml:space="preserve">Same data also in WB5: 'Pronunciation' (uncoded)</t>
  </si>
  <si>
    <t xml:space="preserve">ES077</t>
  </si>
  <si>
    <t xml:space="preserve">ES078</t>
  </si>
  <si>
    <t xml:space="preserve">S021</t>
  </si>
  <si>
    <t xml:space="preserve">Feng and Wang (2023)</t>
  </si>
  <si>
    <t xml:space="preserve">24(120)</t>
  </si>
  <si>
    <t xml:space="preserve">More than 4 months</t>
  </si>
  <si>
    <t xml:space="preserve">Chinese reading comprehension</t>
  </si>
  <si>
    <t xml:space="preserve">Bilingual proficiency test</t>
  </si>
  <si>
    <t xml:space="preserve">ES079</t>
  </si>
  <si>
    <t xml:space="preserve">ES080</t>
  </si>
  <si>
    <t xml:space="preserve">Englis speaking</t>
  </si>
  <si>
    <t xml:space="preserve">ES081</t>
  </si>
  <si>
    <t xml:space="preserve">English reading comprehension</t>
  </si>
  <si>
    <t xml:space="preserve">ES082</t>
  </si>
  <si>
    <t xml:space="preserve">ES083</t>
  </si>
  <si>
    <t xml:space="preserve">English speaking</t>
  </si>
  <si>
    <t xml:space="preserve">ES084</t>
  </si>
  <si>
    <t xml:space="preserve">S022</t>
  </si>
  <si>
    <t xml:space="preserve">Fung et al. (2025)</t>
  </si>
  <si>
    <t xml:space="preserve">EFL</t>
  </si>
  <si>
    <t xml:space="preserve">Adaptive Learning AI</t>
  </si>
  <si>
    <t xml:space="preserve">Cognitive engagement</t>
  </si>
  <si>
    <t xml:space="preserve">ES085</t>
  </si>
  <si>
    <t xml:space="preserve">ES086</t>
  </si>
  <si>
    <t xml:space="preserve">S023</t>
  </si>
  <si>
    <t xml:space="preserve">Han et al. (2022)</t>
  </si>
  <si>
    <t xml:space="preserve">South Korea</t>
  </si>
  <si>
    <t xml:space="preserve">Nursing / Health sciences</t>
  </si>
  <si>
    <t xml:space="preserve">Conversational AI (chatbot) - Landbot AI chatbot (EFM nursing program)</t>
  </si>
  <si>
    <t xml:space="preserve">Quasi-experimental, nonequivalent control group pretest-posttest</t>
  </si>
  <si>
    <t xml:space="preserve">Video lecture only (no chatbot)</t>
  </si>
  <si>
    <t xml:space="preserve">2 weeks (Nov 3-16, 2021)</t>
  </si>
  <si>
    <t xml:space="preserve">N/R</t>
  </si>
  <si>
    <t xml:space="preserve">Clinical reasoning competency</t>
  </si>
  <si>
    <t xml:space="preserve">Clinical reasoning scale, 15 items (Liou et al.)</t>
  </si>
  <si>
    <t xml:space="preserve">ES087</t>
  </si>
  <si>
    <t xml:space="preserve">ES088</t>
  </si>
  <si>
    <t xml:space="preserve">Knowledge of EFM</t>
  </si>
  <si>
    <t xml:space="preserve">13-item EFM knowledge test (KR-20=.79)</t>
  </si>
  <si>
    <t xml:space="preserve">ES089</t>
  </si>
  <si>
    <t xml:space="preserve">ES090</t>
  </si>
  <si>
    <t xml:space="preserve">Interest in education</t>
  </si>
  <si>
    <t xml:space="preserve">Numerical rating scale (0-10)</t>
  </si>
  <si>
    <t xml:space="preserve">Table 3. NB: your curiosity workbook labelled this row 'Knowledge seeking'</t>
  </si>
  <si>
    <t xml:space="preserve">ES091</t>
  </si>
  <si>
    <t xml:space="preserve">ES092</t>
  </si>
  <si>
    <t xml:space="preserve">Emotional functioning</t>
  </si>
  <si>
    <t xml:space="preserve">Satisfaction with feedback</t>
  </si>
  <si>
    <t xml:space="preserve">ES093</t>
  </si>
  <si>
    <t xml:space="preserve">Learning dispositions</t>
  </si>
  <si>
    <t xml:space="preserve">Confidence in fetal health assessment</t>
  </si>
  <si>
    <t xml:space="preserve">3-item confidence scale (0-10 each)</t>
  </si>
  <si>
    <t xml:space="preserve">ES094</t>
  </si>
  <si>
    <t xml:space="preserve">ES095</t>
  </si>
  <si>
    <t xml:space="preserve">Self-management</t>
  </si>
  <si>
    <t xml:space="preserve">Self-directed learning</t>
  </si>
  <si>
    <t xml:space="preserve">Table 3. NB: your curiosity workbook labelled this row 'Exploration'</t>
  </si>
  <si>
    <t xml:space="preserve">ES096</t>
  </si>
  <si>
    <t xml:space="preserve">ES097</t>
  </si>
  <si>
    <t xml:space="preserve">S024</t>
  </si>
  <si>
    <t xml:space="preserve">Hari et al. (2025)</t>
  </si>
  <si>
    <t xml:space="preserve">Slovenia</t>
  </si>
  <si>
    <t xml:space="preserve">Multidisciplinary</t>
  </si>
  <si>
    <t xml:space="preserve">AI educational robots</t>
  </si>
  <si>
    <t xml:space="preserve">Affective Engagement</t>
  </si>
  <si>
    <t xml:space="preserve">Extracted_Raw_Data_AI_SES.xlsx</t>
  </si>
  <si>
    <t xml:space="preserve">ES098</t>
  </si>
  <si>
    <t xml:space="preserve">Behavioral engagement</t>
  </si>
  <si>
    <t xml:space="preserve">ES099</t>
  </si>
  <si>
    <t xml:space="preserve">Emotional engagement</t>
  </si>
  <si>
    <t xml:space="preserve">ES100</t>
  </si>
  <si>
    <t xml:space="preserve">S025</t>
  </si>
  <si>
    <t xml:space="preserve">Hong and Guo (2025)</t>
  </si>
  <si>
    <t xml:space="preserve">ITS</t>
  </si>
  <si>
    <t xml:space="preserve">Cognitive load</t>
  </si>
  <si>
    <t xml:space="preserve">Cognitive load (1)</t>
  </si>
  <si>
    <t xml:space="preserve">Lower score = better (direction -1). Verify scale direction in the paper.</t>
  </si>
  <si>
    <t xml:space="preserve">ES101</t>
  </si>
  <si>
    <t xml:space="preserve">ES102</t>
  </si>
  <si>
    <t xml:space="preserve">Cognitive load (2)</t>
  </si>
  <si>
    <t xml:space="preserve">ES103</t>
  </si>
  <si>
    <t xml:space="preserve">ES104</t>
  </si>
  <si>
    <t xml:space="preserve">Cognitive load (3)</t>
  </si>
  <si>
    <t xml:space="preserve">ES105</t>
  </si>
  <si>
    <t xml:space="preserve">ES106</t>
  </si>
  <si>
    <t xml:space="preserve">Learning desire</t>
  </si>
  <si>
    <t xml:space="preserve">ES107</t>
  </si>
  <si>
    <t xml:space="preserve">ES108</t>
  </si>
  <si>
    <t xml:space="preserve">S026</t>
  </si>
  <si>
    <t xml:space="preserve">Hsu and Hsu (2025)</t>
  </si>
  <si>
    <t xml:space="preserve">ES109</t>
  </si>
  <si>
    <t xml:space="preserve">ES110</t>
  </si>
  <si>
    <t xml:space="preserve">S027</t>
  </si>
  <si>
    <t xml:space="preserve">Huang and Qiao (2024)</t>
  </si>
  <si>
    <t xml:space="preserve">ES111</t>
  </si>
  <si>
    <t xml:space="preserve">ES112</t>
  </si>
  <si>
    <t xml:space="preserve">ES113</t>
  </si>
  <si>
    <t xml:space="preserve">ES114</t>
  </si>
  <si>
    <t xml:space="preserve">S028</t>
  </si>
  <si>
    <t xml:space="preserve">Huang et al. (2023)</t>
  </si>
  <si>
    <t xml:space="preserve">Computer Science</t>
  </si>
  <si>
    <t xml:space="preserve">AI for Adaptive Learning in Education</t>
  </si>
  <si>
    <t xml:space="preserve">Same data also in WB5: 'Learners' engagement in Programming course' (uncoded)</t>
  </si>
  <si>
    <t xml:space="preserve">ES115</t>
  </si>
  <si>
    <t xml:space="preserve">ES116</t>
  </si>
  <si>
    <t xml:space="preserve">ES117</t>
  </si>
  <si>
    <t xml:space="preserve">S029</t>
  </si>
  <si>
    <t xml:space="preserve">Hui (2024)</t>
  </si>
  <si>
    <t xml:space="preserve">Global Warming Knowledge</t>
  </si>
  <si>
    <t xml:space="preserve">Single-group pre/post (no control) - no between-group ES.</t>
  </si>
  <si>
    <t xml:space="preserve">ES118</t>
  </si>
  <si>
    <t xml:space="preserve">ES119</t>
  </si>
  <si>
    <t xml:space="preserve">S030</t>
  </si>
  <si>
    <t xml:space="preserve">Jiuzhou et al. (2024)</t>
  </si>
  <si>
    <t xml:space="preserve">Secondary education (vocational school)</t>
  </si>
  <si>
    <t xml:space="preserve">Music</t>
  </si>
  <si>
    <t xml:space="preserve">Generative AI / AI music software - Kimi Assistant (AI chatbot) + Laiyinzhipu notation software</t>
  </si>
  <si>
    <t xml:space="preserve">Within-subjects (same students: traditional vs AI condition)</t>
  </si>
  <si>
    <t xml:space="preserve">Same students learning without AI (traditional condition)</t>
  </si>
  <si>
    <t xml:space="preserve">9-week procedure (3 weeks per condition)</t>
  </si>
  <si>
    <t xml:space="preserve">Music skills test - total correct rate</t>
  </si>
  <si>
    <t xml:space="preserve">17-item music listening &amp; reading test</t>
  </si>
  <si>
    <t xml:space="preserve">t_paired</t>
  </si>
  <si>
    <t xml:space="preserve">Table 5: 0.88+/-0.02 (AI) vs 0.63+/-0.02 (traditional). Reported SDs implausibly small; d_z computed from paired t (t/sqrt(n))</t>
  </si>
  <si>
    <t xml:space="preserve">ES120</t>
  </si>
  <si>
    <t xml:space="preserve">Interest in music lessons (attitude item 3)</t>
  </si>
  <si>
    <t xml:space="preserve">Attitude questionnaire item (lower = more agreement)</t>
  </si>
  <si>
    <t xml:space="preserve">Table 8; authors interpret as improved attitude with AI</t>
  </si>
  <si>
    <t xml:space="preserve">ES121</t>
  </si>
  <si>
    <t xml:space="preserve">Willingness to study after class (attitude item 4)</t>
  </si>
  <si>
    <t xml:space="preserve">Attitude questionnaire item</t>
  </si>
  <si>
    <t xml:space="preserve">Table 8 (n.s.)</t>
  </si>
  <si>
    <t xml:space="preserve">ES122</t>
  </si>
  <si>
    <t xml:space="preserve">Discussing learning with others (behaviour item 6)</t>
  </si>
  <si>
    <t xml:space="preserve">Table 8</t>
  </si>
  <si>
    <t xml:space="preserve">ES123</t>
  </si>
  <si>
    <t xml:space="preserve">S031</t>
  </si>
  <si>
    <t xml:space="preserve">Katona &amp; Gyonyoru (2025)</t>
  </si>
  <si>
    <t xml:space="preserve">Hungary</t>
  </si>
  <si>
    <t xml:space="preserve">ES124</t>
  </si>
  <si>
    <t xml:space="preserve">ES125</t>
  </si>
  <si>
    <t xml:space="preserve">S032</t>
  </si>
  <si>
    <t xml:space="preserve">Khazanchi et al. (2025)</t>
  </si>
  <si>
    <t xml:space="preserve">Edmentum Exact Path (AI-assisted adaptive learning)</t>
  </si>
  <si>
    <t xml:space="preserve">5 (25)</t>
  </si>
  <si>
    <t xml:space="preserve">Mathematics performance</t>
  </si>
  <si>
    <t xml:space="preserve">ES126</t>
  </si>
  <si>
    <t xml:space="preserve">ES127</t>
  </si>
  <si>
    <t xml:space="preserve">S033</t>
  </si>
  <si>
    <t xml:space="preserve">Kim and Cho (2026)</t>
  </si>
  <si>
    <t xml:space="preserve">Content Engagement</t>
  </si>
  <si>
    <t xml:space="preserve">ES128</t>
  </si>
  <si>
    <t xml:space="preserve">ES129</t>
  </si>
  <si>
    <t xml:space="preserve">Perceived curiosity</t>
  </si>
  <si>
    <t xml:space="preserve">ES130</t>
  </si>
  <si>
    <t xml:space="preserve">ES131</t>
  </si>
  <si>
    <t xml:space="preserve">S034</t>
  </si>
  <si>
    <t xml:space="preserve">Kim and Lee (2023)</t>
  </si>
  <si>
    <t xml:space="preserve">Art &amp; design (public advertisement drawing)</t>
  </si>
  <si>
    <t xml:space="preserve">AI drawing assistant - Google AutoDraw (AI drawing suggestions)</t>
  </si>
  <si>
    <t xml:space="preserve">Within-subjects repeated measures (Self vs Student-AI collaboration)</t>
  </si>
  <si>
    <t xml:space="preserve">Same students drawing without AI (Self)</t>
  </si>
  <si>
    <t xml:space="preserve">Single session</t>
  </si>
  <si>
    <t xml:space="preserve">Creativity in content</t>
  </si>
  <si>
    <t xml:space="preserve">Expert rubric (8 raters x 20 students; n set to 20 students)</t>
  </si>
  <si>
    <t xml:space="preserve">Table 3 (ratings pooled across 8 experts; paper used n=160 ratings)</t>
  </si>
  <si>
    <t xml:space="preserve">ES132</t>
  </si>
  <si>
    <t xml:space="preserve">Public utility in effectiveness</t>
  </si>
  <si>
    <t xml:space="preserve">Expert rubric</t>
  </si>
  <si>
    <t xml:space="preserve">ES133</t>
  </si>
  <si>
    <t xml:space="preserve">Drawing task total score</t>
  </si>
  <si>
    <t xml:space="preserve">Expert rubric total (15)</t>
  </si>
  <si>
    <t xml:space="preserve">ES134</t>
  </si>
  <si>
    <t xml:space="preserve">Expressivity in expression</t>
  </si>
  <si>
    <t xml:space="preserve">ES135</t>
  </si>
  <si>
    <t xml:space="preserve">S035</t>
  </si>
  <si>
    <t xml:space="preserve">Klar (2025)</t>
  </si>
  <si>
    <t xml:space="preserve">Germany</t>
  </si>
  <si>
    <t xml:space="preserve">ES136</t>
  </si>
  <si>
    <t xml:space="preserve">S036</t>
  </si>
  <si>
    <t xml:space="preserve">Kruk and Kałużna (2024)</t>
  </si>
  <si>
    <t xml:space="preserve">Poland</t>
  </si>
  <si>
    <t xml:space="preserve">ES137</t>
  </si>
  <si>
    <t xml:space="preserve">S037</t>
  </si>
  <si>
    <t xml:space="preserve">Kwon et al. (2023)</t>
  </si>
  <si>
    <t xml:space="preserve">15 (10)</t>
  </si>
  <si>
    <t xml:space="preserve">EFL writing performance</t>
  </si>
  <si>
    <t xml:space="preserve">Kolmogorov-Smirnov test.</t>
  </si>
  <si>
    <t xml:space="preserve">ES138</t>
  </si>
  <si>
    <t xml:space="preserve">ES139</t>
  </si>
  <si>
    <t xml:space="preserve">S038</t>
  </si>
  <si>
    <t xml:space="preserve">Lademann et al. (2025)</t>
  </si>
  <si>
    <t xml:space="preserve">Primary education (Grade 6)</t>
  </si>
  <si>
    <t xml:space="preserve">Mathematics &amp; physics</t>
  </si>
  <si>
    <t xml:space="preserve">Randomized controlled trial</t>
  </si>
  <si>
    <t xml:space="preserve">Traditional textbook supplementary material</t>
  </si>
  <si>
    <t xml:space="preserve">Math interest</t>
  </si>
  <si>
    <t xml:space="preserve">Mann-Whitney U test</t>
  </si>
  <si>
    <t xml:space="preserve">ES140</t>
  </si>
  <si>
    <t xml:space="preserve">S039</t>
  </si>
  <si>
    <t xml:space="preserve">Lee et al. (2022)</t>
  </si>
  <si>
    <t xml:space="preserve">ES141</t>
  </si>
  <si>
    <t xml:space="preserve">ES142</t>
  </si>
  <si>
    <t xml:space="preserve">S040</t>
  </si>
  <si>
    <t xml:space="preserve">Liang et al. (2024)</t>
  </si>
  <si>
    <t xml:space="preserve">ES143</t>
  </si>
  <si>
    <t xml:space="preserve">S041</t>
  </si>
  <si>
    <t xml:space="preserve">Lim et al. (2025)</t>
  </si>
  <si>
    <t xml:space="preserve">Generating solutions: Fluency</t>
  </si>
  <si>
    <t xml:space="preserve">ES144</t>
  </si>
  <si>
    <t xml:space="preserve">ES145</t>
  </si>
  <si>
    <t xml:space="preserve">Generating solutions: Specificity</t>
  </si>
  <si>
    <t xml:space="preserve">ES146</t>
  </si>
  <si>
    <t xml:space="preserve">ES147</t>
  </si>
  <si>
    <t xml:space="preserve">Generating solutions: Validity</t>
  </si>
  <si>
    <t xml:space="preserve">ES148</t>
  </si>
  <si>
    <t xml:space="preserve">ES149</t>
  </si>
  <si>
    <t xml:space="preserve">Identifying problems: Fluency</t>
  </si>
  <si>
    <t xml:space="preserve">ES150</t>
  </si>
  <si>
    <t xml:space="preserve">ES151</t>
  </si>
  <si>
    <t xml:space="preserve">Identifying problems: Specificity</t>
  </si>
  <si>
    <t xml:space="preserve">ES152</t>
  </si>
  <si>
    <t xml:space="preserve">ES153</t>
  </si>
  <si>
    <t xml:space="preserve">Identifying problems: Validity</t>
  </si>
  <si>
    <t xml:space="preserve">ES154</t>
  </si>
  <si>
    <t xml:space="preserve">ES155</t>
  </si>
  <si>
    <t xml:space="preserve">S042</t>
  </si>
  <si>
    <t xml:space="preserve">Lin and Mubarok (2024)</t>
  </si>
  <si>
    <t xml:space="preserve">ES156</t>
  </si>
  <si>
    <t xml:space="preserve">ES157</t>
  </si>
  <si>
    <t xml:space="preserve">S043</t>
  </si>
  <si>
    <t xml:space="preserve">Liu (2024)</t>
  </si>
  <si>
    <t xml:space="preserve">15(15)</t>
  </si>
  <si>
    <t xml:space="preserve">Language Proficiency (Group 1)</t>
  </si>
  <si>
    <t xml:space="preserve">Comprehensive assessment framework</t>
  </si>
  <si>
    <t xml:space="preserve">Same data also in WB5: 'Language Proficiency (Group 1)' (uncoded)</t>
  </si>
  <si>
    <t xml:space="preserve">ES158</t>
  </si>
  <si>
    <t xml:space="preserve">ES159</t>
  </si>
  <si>
    <t xml:space="preserve">Language Proficiency (Group 2)</t>
  </si>
  <si>
    <t xml:space="preserve">Same data also in WB5: 'Language Proficiency (Group 2)' (uncoded)</t>
  </si>
  <si>
    <t xml:space="preserve">ES160</t>
  </si>
  <si>
    <t xml:space="preserve">ES161</t>
  </si>
  <si>
    <t xml:space="preserve">Language Proficiency (Group 3)</t>
  </si>
  <si>
    <t xml:space="preserve">Same data also in WB5: 'Language Proficiency (Group 3)' (uncoded)</t>
  </si>
  <si>
    <t xml:space="preserve">ES162</t>
  </si>
  <si>
    <t xml:space="preserve">ES163</t>
  </si>
  <si>
    <t xml:space="preserve">S044</t>
  </si>
  <si>
    <t xml:space="preserve">Liu and Chen (2023)</t>
  </si>
  <si>
    <t xml:space="preserve">AI-based ODT</t>
  </si>
  <si>
    <t xml:space="preserve">Vocabulary development</t>
  </si>
  <si>
    <t xml:space="preserve">Vocabulary tests</t>
  </si>
  <si>
    <t xml:space="preserve">ES164</t>
  </si>
  <si>
    <t xml:space="preserve">ES165</t>
  </si>
  <si>
    <t xml:space="preserve">S045</t>
  </si>
  <si>
    <t xml:space="preserve">Liu et al. (2024)</t>
  </si>
  <si>
    <t xml:space="preserve">LLM</t>
  </si>
  <si>
    <t xml:space="preserve">5 (10)</t>
  </si>
  <si>
    <t xml:space="preserve">Writing competency</t>
  </si>
  <si>
    <t xml:space="preserve">Shapiro-Wilk test</t>
  </si>
  <si>
    <t xml:space="preserve">ES166</t>
  </si>
  <si>
    <t xml:space="preserve">ES167</t>
  </si>
  <si>
    <t xml:space="preserve">S046</t>
  </si>
  <si>
    <t xml:space="preserve">Love et al. (2025)</t>
  </si>
  <si>
    <t xml:space="preserve">Australia</t>
  </si>
  <si>
    <t xml:space="preserve">Enjoyment</t>
  </si>
  <si>
    <t xml:space="preserve">ES168</t>
  </si>
  <si>
    <t xml:space="preserve">Perceived Stress</t>
  </si>
  <si>
    <t xml:space="preserve">ES169</t>
  </si>
  <si>
    <t xml:space="preserve">ES170</t>
  </si>
  <si>
    <t xml:space="preserve">ES171</t>
  </si>
  <si>
    <t xml:space="preserve">ES172</t>
  </si>
  <si>
    <t xml:space="preserve">ES173</t>
  </si>
  <si>
    <t xml:space="preserve">Perceived Effort</t>
  </si>
  <si>
    <t xml:space="preserve">ES174</t>
  </si>
  <si>
    <t xml:space="preserve">S047</t>
  </si>
  <si>
    <t xml:space="preserve">Mageira et al. (2022)</t>
  </si>
  <si>
    <t xml:space="preserve">Greece</t>
  </si>
  <si>
    <t xml:space="preserve">Cultural content</t>
  </si>
  <si>
    <t xml:space="preserve">Shapiro–Wilk test</t>
  </si>
  <si>
    <t xml:space="preserve">ES175</t>
  </si>
  <si>
    <t xml:space="preserve">Language knowledge</t>
  </si>
  <si>
    <t xml:space="preserve">ES176</t>
  </si>
  <si>
    <t xml:space="preserve">Knowledge seeking</t>
  </si>
  <si>
    <t xml:space="preserve">ES177</t>
  </si>
  <si>
    <t xml:space="preserve">S048</t>
  </si>
  <si>
    <t xml:space="preserve">Maria (2025)</t>
  </si>
  <si>
    <t xml:space="preserve">Apply knowledge to real-world</t>
  </si>
  <si>
    <t xml:space="preserve">ES178</t>
  </si>
  <si>
    <t xml:space="preserve">ES179</t>
  </si>
  <si>
    <t xml:space="preserve">Balance stockouts vs. holding cost</t>
  </si>
  <si>
    <t xml:space="preserve">ES180</t>
  </si>
  <si>
    <t xml:space="preserve">ES181</t>
  </si>
  <si>
    <t xml:space="preserve">Implications of excess inventory</t>
  </si>
  <si>
    <t xml:space="preserve">ES182</t>
  </si>
  <si>
    <t xml:space="preserve">ES183</t>
  </si>
  <si>
    <t xml:space="preserve">Trade-offs in inventory</t>
  </si>
  <si>
    <t xml:space="preserve">ES184</t>
  </si>
  <si>
    <t xml:space="preserve">ES185</t>
  </si>
  <si>
    <t xml:space="preserve">Calculate EOQ</t>
  </si>
  <si>
    <t xml:space="preserve">ES186</t>
  </si>
  <si>
    <t xml:space="preserve">ES187</t>
  </si>
  <si>
    <t xml:space="preserve">Stockout consequences</t>
  </si>
  <si>
    <t xml:space="preserve">ES188</t>
  </si>
  <si>
    <t xml:space="preserve">ES189</t>
  </si>
  <si>
    <t xml:space="preserve">Understanding inventory costs</t>
  </si>
  <si>
    <t xml:space="preserve">ES190</t>
  </si>
  <si>
    <t xml:space="preserve">ES191</t>
  </si>
  <si>
    <t xml:space="preserve">S049</t>
  </si>
  <si>
    <t xml:space="preserve">Mo and Crosthwaite (2025)</t>
  </si>
  <si>
    <t xml:space="preserve">United Kingdom</t>
  </si>
  <si>
    <t xml:space="preserve">Engagement</t>
  </si>
  <si>
    <t xml:space="preserve">ES192</t>
  </si>
  <si>
    <t xml:space="preserve">S050</t>
  </si>
  <si>
    <t xml:space="preserve">Nayyar et al. (2025)</t>
  </si>
  <si>
    <t xml:space="preserve">Emotional Satisfaction test</t>
  </si>
  <si>
    <t xml:space="preserve">ES193</t>
  </si>
  <si>
    <t xml:space="preserve">ES194</t>
  </si>
  <si>
    <t xml:space="preserve">S051</t>
  </si>
  <si>
    <t xml:space="preserve">Pan et al. (2025)</t>
  </si>
  <si>
    <t xml:space="preserve">ES195</t>
  </si>
  <si>
    <t xml:space="preserve">ES196</t>
  </si>
  <si>
    <t xml:space="preserve">Cognition (within reading engagement)</t>
  </si>
  <si>
    <t xml:space="preserve">ES197</t>
  </si>
  <si>
    <t xml:space="preserve">ES198</t>
  </si>
  <si>
    <t xml:space="preserve">Cognition (self-regulated reading strategies)</t>
  </si>
  <si>
    <t xml:space="preserve">ES199</t>
  </si>
  <si>
    <t xml:space="preserve">ES200</t>
  </si>
  <si>
    <t xml:space="preserve">S052</t>
  </si>
  <si>
    <t xml:space="preserve">Pei et al. (2025)</t>
  </si>
  <si>
    <t xml:space="preserve">ChatGPT</t>
  </si>
  <si>
    <t xml:space="preserve">2 (13)</t>
  </si>
  <si>
    <t xml:space="preserve">ES201</t>
  </si>
  <si>
    <t xml:space="preserve">S053</t>
  </si>
  <si>
    <t xml:space="preserve">Quan (2026)</t>
  </si>
  <si>
    <t xml:space="preserve">Task Satisfaction</t>
  </si>
  <si>
    <t xml:space="preserve">ES202</t>
  </si>
  <si>
    <t xml:space="preserve">Perceived Collaboration Efficiency</t>
  </si>
  <si>
    <t xml:space="preserve">ES203</t>
  </si>
  <si>
    <t xml:space="preserve">S054</t>
  </si>
  <si>
    <t xml:space="preserve">Rad (2025)</t>
  </si>
  <si>
    <t xml:space="preserve">ES204</t>
  </si>
  <si>
    <t xml:space="preserve">ES205</t>
  </si>
  <si>
    <t xml:space="preserve">S055</t>
  </si>
  <si>
    <t xml:space="preserve">Ramazan (2023)</t>
  </si>
  <si>
    <t xml:space="preserve">Turkey</t>
  </si>
  <si>
    <t xml:space="preserve">Algorithmic thinking</t>
  </si>
  <si>
    <t xml:space="preserve">ES206</t>
  </si>
  <si>
    <t xml:space="preserve">ES207</t>
  </si>
  <si>
    <t xml:space="preserve">Computational thinking skills</t>
  </si>
  <si>
    <t xml:space="preserve">ES208</t>
  </si>
  <si>
    <t xml:space="preserve">ES209</t>
  </si>
  <si>
    <t xml:space="preserve">Creativity</t>
  </si>
  <si>
    <t xml:space="preserve">ES210</t>
  </si>
  <si>
    <t xml:space="preserve">ES211</t>
  </si>
  <si>
    <t xml:space="preserve">ES212</t>
  </si>
  <si>
    <t xml:space="preserve">ES213</t>
  </si>
  <si>
    <t xml:space="preserve">Problem solving</t>
  </si>
  <si>
    <t xml:space="preserve">ES214</t>
  </si>
  <si>
    <t xml:space="preserve">ES215</t>
  </si>
  <si>
    <t xml:space="preserve">Cooperativity</t>
  </si>
  <si>
    <t xml:space="preserve">ES216</t>
  </si>
  <si>
    <t xml:space="preserve">ES217</t>
  </si>
  <si>
    <t xml:space="preserve">S056</t>
  </si>
  <si>
    <t xml:space="preserve">Sapan and Uzun (2024)</t>
  </si>
  <si>
    <t xml:space="preserve">3 (6)</t>
  </si>
  <si>
    <t xml:space="preserve">Wilcoxon Signed Ranked test</t>
  </si>
  <si>
    <t xml:space="preserve">ES218</t>
  </si>
  <si>
    <t xml:space="preserve">ES219</t>
  </si>
  <si>
    <t xml:space="preserve">EFL writing skill</t>
  </si>
  <si>
    <t xml:space="preserve">ES220</t>
  </si>
  <si>
    <t xml:space="preserve">ES221</t>
  </si>
  <si>
    <t xml:space="preserve">S057</t>
  </si>
  <si>
    <t xml:space="preserve">Scatigna et al. (2026)</t>
  </si>
  <si>
    <t xml:space="preserve">Italy</t>
  </si>
  <si>
    <t xml:space="preserve">K-12 (level not specified)</t>
  </si>
  <si>
    <t xml:space="preserve">Happiness</t>
  </si>
  <si>
    <t xml:space="preserve">ES222</t>
  </si>
  <si>
    <t xml:space="preserve">ES223</t>
  </si>
  <si>
    <t xml:space="preserve">Commitment</t>
  </si>
  <si>
    <t xml:space="preserve">ES224</t>
  </si>
  <si>
    <t xml:space="preserve">S058</t>
  </si>
  <si>
    <t xml:space="preserve">Semenyuk et al. (2026)</t>
  </si>
  <si>
    <t xml:space="preserve">Effort Regulation</t>
  </si>
  <si>
    <t xml:space="preserve">ES225</t>
  </si>
  <si>
    <t xml:space="preserve">Cognitive Strategy  Use</t>
  </si>
  <si>
    <t xml:space="preserve">ES226</t>
  </si>
  <si>
    <t xml:space="preserve">Goal-Setting Effectiveness</t>
  </si>
  <si>
    <t xml:space="preserve">ES227</t>
  </si>
  <si>
    <t xml:space="preserve">Help-Seeking Appropriateness</t>
  </si>
  <si>
    <t xml:space="preserve">ES228</t>
  </si>
  <si>
    <t xml:space="preserve">Metacognitive Awareness</t>
  </si>
  <si>
    <t xml:space="preserve">ES229</t>
  </si>
  <si>
    <t xml:space="preserve">Planning Strategies</t>
  </si>
  <si>
    <t xml:space="preserve">ES230</t>
  </si>
  <si>
    <t xml:space="preserve">Self-Monitoring  Behaviors</t>
  </si>
  <si>
    <t xml:space="preserve">ES231</t>
  </si>
  <si>
    <t xml:space="preserve">Time Management  Efficiency</t>
  </si>
  <si>
    <t xml:space="preserve">ES232</t>
  </si>
  <si>
    <t xml:space="preserve">S059</t>
  </si>
  <si>
    <t xml:space="preserve">Smith (2026)</t>
  </si>
  <si>
    <t xml:space="preserve">Chemistry (STEM)</t>
  </si>
  <si>
    <t xml:space="preserve">Generative AI (content generator) - Google NotebookLM AI podcast</t>
  </si>
  <si>
    <t xml:space="preserve">Yes (academic curation)</t>
  </si>
  <si>
    <t xml:space="preserve">Descriptive post-course survey; observational comparison of AI users vs non-users</t>
  </si>
  <si>
    <t xml:space="preserve">Students who do not personally use AI (self-selected) - NOT an experimental control</t>
  </si>
  <si>
    <t xml:space="preserve">1 consolidation week</t>
  </si>
  <si>
    <t xml:space="preserve">Attitudes toward AI / technology acceptance</t>
  </si>
  <si>
    <t xml:space="preserve">AI can help students work more efficiently</t>
  </si>
  <si>
    <t xml:space="preserve">Likert 1-5</t>
  </si>
  <si>
    <t xml:space="preserve">Table 3; observational</t>
  </si>
  <si>
    <t xml:space="preserve">ES233</t>
  </si>
  <si>
    <t xml:space="preserve">AI is ethically problematic (reverse: lower = more positive)</t>
  </si>
  <si>
    <t xml:space="preserve">Table 3; observational; direction reversed</t>
  </si>
  <si>
    <t xml:space="preserve">ES234</t>
  </si>
  <si>
    <t xml:space="preserve">AI should become more integrated into education</t>
  </si>
  <si>
    <t xml:space="preserve">Table 3; OBSERVATIONAL (AI users vs non-users), not an intervention effect. NB: your curiosity workbook compared different questionnaire items (listeners vs non-listeners) which are not comparable</t>
  </si>
  <si>
    <t xml:space="preserve">ES235</t>
  </si>
  <si>
    <t xml:space="preserve">S060</t>
  </si>
  <si>
    <t xml:space="preserve">Song and Song (2023)</t>
  </si>
  <si>
    <t xml:space="preserve">Generative AI (chatbot) - ChatGPT</t>
  </si>
  <si>
    <t xml:space="preserve">Randomized pretest-posttest control group (mixed methods)</t>
  </si>
  <si>
    <t xml:space="preserve">Traditional writing instruction</t>
  </si>
  <si>
    <t xml:space="preserve">12 weeks (24 sessions, 2/week)</t>
  </si>
  <si>
    <t xml:space="preserve">Writing organization</t>
  </si>
  <si>
    <t xml:space="preserve">Writing rubric - organization</t>
  </si>
  <si>
    <t xml:space="preserve">ES236</t>
  </si>
  <si>
    <t xml:space="preserve">ES237</t>
  </si>
  <si>
    <t xml:space="preserve">Language use</t>
  </si>
  <si>
    <t xml:space="preserve">Writing rubric - language use (grammar/vocabulary)</t>
  </si>
  <si>
    <t xml:space="preserve">ES238</t>
  </si>
  <si>
    <t xml:space="preserve">ES239</t>
  </si>
  <si>
    <t xml:space="preserve">Overall writing</t>
  </si>
  <si>
    <t xml:space="preserve">Academic writing rubric</t>
  </si>
  <si>
    <t xml:space="preserve">ES240</t>
  </si>
  <si>
    <t xml:space="preserve">ES241</t>
  </si>
  <si>
    <t xml:space="preserve">Writing content</t>
  </si>
  <si>
    <t xml:space="preserve">Writing rubric - content</t>
  </si>
  <si>
    <t xml:space="preserve">ES242</t>
  </si>
  <si>
    <t xml:space="preserve">ES243</t>
  </si>
  <si>
    <t xml:space="preserve">Writing motivation</t>
  </si>
  <si>
    <t xml:space="preserve">Writing motivation questionnaire</t>
  </si>
  <si>
    <t xml:space="preserve">ES244</t>
  </si>
  <si>
    <t xml:space="preserve">ES245</t>
  </si>
  <si>
    <t xml:space="preserve">S061</t>
  </si>
  <si>
    <t xml:space="preserve">Song et al. (2025)</t>
  </si>
  <si>
    <t xml:space="preserve">Higher education (PhD students)</t>
  </si>
  <si>
    <t xml:space="preserve">Education</t>
  </si>
  <si>
    <t xml:space="preserve">Generative AI (chatbot) - Dou Bao (ByteDance LLM chatbot)</t>
  </si>
  <si>
    <t xml:space="preserve">Quasi-experiment, random assignment, 2 groups</t>
  </si>
  <si>
    <t xml:space="preserve">Student-peer dialogue (no AI)</t>
  </si>
  <si>
    <t xml:space="preserve">5 weeks (1 interaction/week) within a 3-month study</t>
  </si>
  <si>
    <t xml:space="preserve">30 per interaction</t>
  </si>
  <si>
    <t xml:space="preserve">Creative problem-solving performance (research proposal)</t>
  </si>
  <si>
    <t xml:space="preserve">Research proposal rubric score (ANCOVA, pre-test covariate)</t>
  </si>
  <si>
    <t xml:space="preserve">Table 7; F=15.06</t>
  </si>
  <si>
    <t xml:space="preserve">ES246</t>
  </si>
  <si>
    <t xml:space="preserve">Intention to use</t>
  </si>
  <si>
    <t xml:space="preserve">Perception questionnaire (5-point)</t>
  </si>
  <si>
    <t xml:space="preserve">Table 6</t>
  </si>
  <si>
    <t xml:space="preserve">ES247</t>
  </si>
  <si>
    <t xml:space="preserve">Perceived ease of use</t>
  </si>
  <si>
    <t xml:space="preserve">ES248</t>
  </si>
  <si>
    <t xml:space="preserve">Perceived usefulness</t>
  </si>
  <si>
    <t xml:space="preserve">ES249</t>
  </si>
  <si>
    <t xml:space="preserve">Student-construction (dialogue)</t>
  </si>
  <si>
    <t xml:space="preserve">% of dialogue coded as student construction</t>
  </si>
  <si>
    <t xml:space="preserve">Table 3 process measure</t>
  </si>
  <si>
    <t xml:space="preserve">ES250</t>
  </si>
  <si>
    <t xml:space="preserve">Student-elaboration (dialogue)</t>
  </si>
  <si>
    <t xml:space="preserve">% of dialogue coded as student elaboration</t>
  </si>
  <si>
    <t xml:space="preserve">ES251</t>
  </si>
  <si>
    <t xml:space="preserve">Student-speculation (dialogue)</t>
  </si>
  <si>
    <t xml:space="preserve">% of dialogue coded as student speculation</t>
  </si>
  <si>
    <t xml:space="preserve">ES252</t>
  </si>
  <si>
    <t xml:space="preserve">S062</t>
  </si>
  <si>
    <t xml:space="preserve">Tasdelen and Bodemer (2025)</t>
  </si>
  <si>
    <t xml:space="preserve">Mathematical word problems</t>
  </si>
  <si>
    <t xml:space="preserve">ES253</t>
  </si>
  <si>
    <t xml:space="preserve">ES254</t>
  </si>
  <si>
    <t xml:space="preserve">ES255</t>
  </si>
  <si>
    <t xml:space="preserve">ES256</t>
  </si>
  <si>
    <t xml:space="preserve">ES257</t>
  </si>
  <si>
    <t xml:space="preserve">ES258</t>
  </si>
  <si>
    <t xml:space="preserve">S063</t>
  </si>
  <si>
    <t xml:space="preserve">Tegos et al. (2016)</t>
  </si>
  <si>
    <t xml:space="preserve">D-Intervention</t>
  </si>
  <si>
    <t xml:space="preserve">ES259</t>
  </si>
  <si>
    <t xml:space="preserve">ES260</t>
  </si>
  <si>
    <t xml:space="preserve">U-Intervention</t>
  </si>
  <si>
    <t xml:space="preserve">ES261</t>
  </si>
  <si>
    <t xml:space="preserve">ES262</t>
  </si>
  <si>
    <t xml:space="preserve">S064</t>
  </si>
  <si>
    <t xml:space="preserve">Tong et al. (2025)</t>
  </si>
  <si>
    <t xml:space="preserve">ChatGPT-4o</t>
  </si>
  <si>
    <t xml:space="preserve">Scientific thinking</t>
  </si>
  <si>
    <t xml:space="preserve">Inquiry in Scientific Thinking, Analytics, and Reasoning (iSTAR) test</t>
  </si>
  <si>
    <t xml:space="preserve">ES263</t>
  </si>
  <si>
    <t xml:space="preserve">ES264</t>
  </si>
  <si>
    <t xml:space="preserve">Solving scientific knowledge</t>
  </si>
  <si>
    <t xml:space="preserve">Work and Mechanical Energy (WME) test</t>
  </si>
  <si>
    <t xml:space="preserve">ES265</t>
  </si>
  <si>
    <t xml:space="preserve">ES266</t>
  </si>
  <si>
    <t xml:space="preserve">S065</t>
  </si>
  <si>
    <t xml:space="preserve">Urban (2024)</t>
  </si>
  <si>
    <t xml:space="preserve">Czech Republic</t>
  </si>
  <si>
    <t xml:space="preserve">Problem solving performance</t>
  </si>
  <si>
    <t xml:space="preserve">Unusual Uses Task</t>
  </si>
  <si>
    <t xml:space="preserve">ES267</t>
  </si>
  <si>
    <t xml:space="preserve">Product Improvement Task (quality)</t>
  </si>
  <si>
    <t xml:space="preserve">ES268</t>
  </si>
  <si>
    <t xml:space="preserve">Product Improvement Task (elaboration)</t>
  </si>
  <si>
    <t xml:space="preserve">ES269</t>
  </si>
  <si>
    <t xml:space="preserve">Product Improvement Task (originality)</t>
  </si>
  <si>
    <t xml:space="preserve">ES270</t>
  </si>
  <si>
    <t xml:space="preserve">ES271</t>
  </si>
  <si>
    <t xml:space="preserve">S066</t>
  </si>
  <si>
    <t xml:space="preserve">Vartiainen et al. (2022)</t>
  </si>
  <si>
    <t xml:space="preserve">Sweden</t>
  </si>
  <si>
    <t xml:space="preserve">1(2)</t>
  </si>
  <si>
    <t xml:space="preserve">Performance in solving mini-challenges</t>
  </si>
  <si>
    <t xml:space="preserve">Task-based performance</t>
  </si>
  <si>
    <t xml:space="preserve">ES272</t>
  </si>
  <si>
    <t xml:space="preserve">S067</t>
  </si>
  <si>
    <t xml:space="preserve">Wang et al. (2025)</t>
  </si>
  <si>
    <t xml:space="preserve">6 (1)</t>
  </si>
  <si>
    <t xml:space="preserve">Cognitive Load (Overall)</t>
  </si>
  <si>
    <t xml:space="preserve">ES273</t>
  </si>
  <si>
    <t xml:space="preserve">Standardized test</t>
  </si>
  <si>
    <t xml:space="preserve">ES274</t>
  </si>
  <si>
    <t xml:space="preserve">S068</t>
  </si>
  <si>
    <t xml:space="preserve">Wongwatkit and Panjaburee (2024)</t>
  </si>
  <si>
    <t xml:space="preserve">Thailand</t>
  </si>
  <si>
    <t xml:space="preserve">AI-based intelligent tutoring systems</t>
  </si>
  <si>
    <t xml:space="preserve">Digital literacy learning achievement</t>
  </si>
  <si>
    <t xml:space="preserve">ES275</t>
  </si>
  <si>
    <t xml:space="preserve">ES276</t>
  </si>
  <si>
    <t xml:space="preserve">S069</t>
  </si>
  <si>
    <t xml:space="preserve">Xiao (2025)</t>
  </si>
  <si>
    <t xml:space="preserve">8(16)</t>
  </si>
  <si>
    <t xml:space="preserve">Listening Skills</t>
  </si>
  <si>
    <t xml:space="preserve">Same data also in WB5: 'Listening Skills' (uncoded)</t>
  </si>
  <si>
    <t xml:space="preserve">ES277</t>
  </si>
  <si>
    <t xml:space="preserve">ES278</t>
  </si>
  <si>
    <t xml:space="preserve">Exploration</t>
  </si>
  <si>
    <t xml:space="preserve">ES279</t>
  </si>
  <si>
    <t xml:space="preserve">ES280</t>
  </si>
  <si>
    <t xml:space="preserve">S070</t>
  </si>
  <si>
    <t xml:space="preserve">Xiaodong (2025)</t>
  </si>
  <si>
    <t xml:space="preserve">General CPS</t>
  </si>
  <si>
    <t xml:space="preserve">ES281</t>
  </si>
  <si>
    <t xml:space="preserve">ES282</t>
  </si>
  <si>
    <t xml:space="preserve">Learning &amp; Knowledge Building</t>
  </si>
  <si>
    <t xml:space="preserve">ES283</t>
  </si>
  <si>
    <t xml:space="preserve">ES284</t>
  </si>
  <si>
    <t xml:space="preserve">Task Regulation</t>
  </si>
  <si>
    <t xml:space="preserve">ES285</t>
  </si>
  <si>
    <t xml:space="preserve">ES286</t>
  </si>
  <si>
    <t xml:space="preserve">Participation</t>
  </si>
  <si>
    <t xml:space="preserve">ES287</t>
  </si>
  <si>
    <t xml:space="preserve">ES288</t>
  </si>
  <si>
    <t xml:space="preserve">Perspective Taking</t>
  </si>
  <si>
    <t xml:space="preserve">ES289</t>
  </si>
  <si>
    <t xml:space="preserve">ES290</t>
  </si>
  <si>
    <t xml:space="preserve">Social Regulation</t>
  </si>
  <si>
    <t xml:space="preserve">ES291</t>
  </si>
  <si>
    <t xml:space="preserve">ES292</t>
  </si>
  <si>
    <t xml:space="preserve">S071</t>
  </si>
  <si>
    <t xml:space="preserve">Xing et al. (2025)</t>
  </si>
  <si>
    <t xml:space="preserve">Secondary education (middle school)</t>
  </si>
  <si>
    <t xml:space="preserve">Mathematics</t>
  </si>
  <si>
    <t xml:space="preserve">Generative AI (teachable agent) - ALTER-Math (GPT-4 teachable agent in Math Nation)</t>
  </si>
  <si>
    <t xml:space="preserve">Quasi-experiment (Study 3 of DBR), pretest-posttest</t>
  </si>
  <si>
    <t xml:space="preserve">Math Nation business-as-usual (no AI agent)</t>
  </si>
  <si>
    <t xml:space="preserve">3 class periods over ~2-3 weeks</t>
  </si>
  <si>
    <t xml:space="preserve">42 per period</t>
  </si>
  <si>
    <t xml:space="preserve">Mathematics knowledge</t>
  </si>
  <si>
    <t xml:space="preserve">15-item FAST-aligned knowledge test (proportion correct)</t>
  </si>
  <si>
    <t xml:space="preserve">Extracted from uploaded paper (replaces rows in your workbook(s): WB3)</t>
  </si>
  <si>
    <t xml:space="preserve">ES293</t>
  </si>
  <si>
    <t xml:space="preserve">ES294</t>
  </si>
  <si>
    <t xml:space="preserve">S072</t>
  </si>
  <si>
    <t xml:space="preserve">Xu et al. (2025)</t>
  </si>
  <si>
    <t xml:space="preserve">dance skills</t>
  </si>
  <si>
    <t xml:space="preserve">ES295</t>
  </si>
  <si>
    <t xml:space="preserve">ES296</t>
  </si>
  <si>
    <t xml:space="preserve">S073</t>
  </si>
  <si>
    <t xml:space="preserve">Yang et al. (2023)</t>
  </si>
  <si>
    <t xml:space="preserve">cognitive load (AR)</t>
  </si>
  <si>
    <t xml:space="preserve">ES297</t>
  </si>
  <si>
    <t xml:space="preserve">cognitive load (GAIER)</t>
  </si>
  <si>
    <t xml:space="preserve">ES298</t>
  </si>
  <si>
    <t xml:space="preserve">problem‐solving tendency (AR)</t>
  </si>
  <si>
    <t xml:space="preserve">ES299</t>
  </si>
  <si>
    <t xml:space="preserve">problem‐solving tendency (GAIER)</t>
  </si>
  <si>
    <t xml:space="preserve">ES300</t>
  </si>
  <si>
    <t xml:space="preserve">learning achievement (AR)</t>
  </si>
  <si>
    <t xml:space="preserve">ES301</t>
  </si>
  <si>
    <t xml:space="preserve">Learning achievement (GAIER)</t>
  </si>
  <si>
    <t xml:space="preserve">Same data also in WB5: 'learning achievement (GAIER)' (uncoded)</t>
  </si>
  <si>
    <t xml:space="preserve">ES302</t>
  </si>
  <si>
    <t xml:space="preserve">ES303</t>
  </si>
  <si>
    <t xml:space="preserve">S074</t>
  </si>
  <si>
    <t xml:space="preserve">Yang et al. (2025)</t>
  </si>
  <si>
    <t xml:space="preserve">6 (12)</t>
  </si>
  <si>
    <t xml:space="preserve">ES304</t>
  </si>
  <si>
    <t xml:space="preserve">ES305</t>
  </si>
  <si>
    <t xml:space="preserve">S075</t>
  </si>
  <si>
    <t xml:space="preserve">Ye et al. (2025)</t>
  </si>
  <si>
    <t xml:space="preserve">11 (11)</t>
  </si>
  <si>
    <t xml:space="preserve">ES306</t>
  </si>
  <si>
    <t xml:space="preserve">Academic achievement</t>
  </si>
  <si>
    <t xml:space="preserve">ES307</t>
  </si>
  <si>
    <t xml:space="preserve">S076</t>
  </si>
  <si>
    <t xml:space="preserve">Ying (2025)</t>
  </si>
  <si>
    <t xml:space="preserve">Biochemistry eduction</t>
  </si>
  <si>
    <t xml:space="preserve">ES308</t>
  </si>
  <si>
    <t xml:space="preserve">ES309</t>
  </si>
  <si>
    <t xml:space="preserve">S077</t>
  </si>
  <si>
    <t xml:space="preserve">Zeng et al. (2025)</t>
  </si>
  <si>
    <t xml:space="preserve">Art &amp; design (film character design)</t>
  </si>
  <si>
    <t xml:space="preserve">AI drawing / design assistant - AI Smart Sketchpad (AISS)</t>
  </si>
  <si>
    <t xml:space="preserve">Quasi-experiment, 2 groups, pretest-posttest</t>
  </si>
  <si>
    <t xml:space="preserve">Procreate digital painting software (non-AI)</t>
  </si>
  <si>
    <t xml:space="preserve">5 weeks</t>
  </si>
  <si>
    <t xml:space="preserve">80 per class</t>
  </si>
  <si>
    <t xml:space="preserve">20-item multiple-choice character design test</t>
  </si>
  <si>
    <t xml:space="preserve">ES310</t>
  </si>
  <si>
    <t xml:space="preserve">Table 3, t=-3.24</t>
  </si>
  <si>
    <t xml:space="preserve">ES311</t>
  </si>
  <si>
    <t xml:space="preserve">Satisfaction (motivation)</t>
  </si>
  <si>
    <t xml:space="preserve">ARCS subscale</t>
  </si>
  <si>
    <t xml:space="preserve">ES312</t>
  </si>
  <si>
    <t xml:space="preserve">Agentic engagement</t>
  </si>
  <si>
    <t xml:space="preserve">Engagement subscale</t>
  </si>
  <si>
    <t xml:space="preserve">Table 5</t>
  </si>
  <si>
    <t xml:space="preserve">ES313</t>
  </si>
  <si>
    <t xml:space="preserve">Attention (motivation)</t>
  </si>
  <si>
    <t xml:space="preserve">ES314</t>
  </si>
  <si>
    <t xml:space="preserve">Behavioural engagement</t>
  </si>
  <si>
    <t xml:space="preserve">ES315</t>
  </si>
  <si>
    <t xml:space="preserve">ES316</t>
  </si>
  <si>
    <t xml:space="preserve">ES317</t>
  </si>
  <si>
    <t xml:space="preserve">Overall engagement</t>
  </si>
  <si>
    <t xml:space="preserve">Engagement scale (22 items, 5-point)</t>
  </si>
  <si>
    <t xml:space="preserve">ES318</t>
  </si>
  <si>
    <t xml:space="preserve">Overall motivation (ARCS)</t>
  </si>
  <si>
    <t xml:space="preserve">ARCS motivation scale</t>
  </si>
  <si>
    <t xml:space="preserve">ES319</t>
  </si>
  <si>
    <t xml:space="preserve">Relevance (motivation)</t>
  </si>
  <si>
    <t xml:space="preserve">ES320</t>
  </si>
  <si>
    <t xml:space="preserve">Self-confidence (motivation)</t>
  </si>
  <si>
    <t xml:space="preserve">ES321</t>
  </si>
  <si>
    <t xml:space="preserve">S078</t>
  </si>
  <si>
    <t xml:space="preserve">Zhang et al. (2025)</t>
  </si>
  <si>
    <t xml:space="preserve">Writing anxiety</t>
  </si>
  <si>
    <t xml:space="preserve">ES322</t>
  </si>
  <si>
    <t xml:space="preserve">ES323</t>
  </si>
  <si>
    <t xml:space="preserve">Learning attitude</t>
  </si>
  <si>
    <t xml:space="preserve">ES324</t>
  </si>
  <si>
    <t xml:space="preserve">ES325</t>
  </si>
  <si>
    <t xml:space="preserve">S079</t>
  </si>
  <si>
    <t xml:space="preserve">Zhao (2025)</t>
  </si>
  <si>
    <t xml:space="preserve">4 (18)</t>
  </si>
  <si>
    <t xml:space="preserve">Language Precision</t>
  </si>
  <si>
    <t xml:space="preserve">Same data also in WB5: 'Language Precision Group 1' (uncoded)</t>
  </si>
  <si>
    <t xml:space="preserve">ES326</t>
  </si>
  <si>
    <t xml:space="preserve">ES327</t>
  </si>
  <si>
    <t xml:space="preserve">Language Precision Group 2</t>
  </si>
  <si>
    <t xml:space="preserve">ES328</t>
  </si>
  <si>
    <t xml:space="preserve">ES329</t>
  </si>
  <si>
    <t xml:space="preserve">Language Precision Group 3</t>
  </si>
  <si>
    <t xml:space="preserve">ES330</t>
  </si>
  <si>
    <t xml:space="preserve">ES331</t>
  </si>
  <si>
    <t xml:space="preserve">Content Summarization</t>
  </si>
  <si>
    <t xml:space="preserve">Same data also in WB5: 'Content Summarization Group 1' (uncoded)</t>
  </si>
  <si>
    <t xml:space="preserve">ES332</t>
  </si>
  <si>
    <t xml:space="preserve">Same data also in WB5: 'Content Summarization Group 2' (uncoded)</t>
  </si>
  <si>
    <t xml:space="preserve">ES333</t>
  </si>
  <si>
    <t xml:space="preserve">Content Summarization Group 1</t>
  </si>
  <si>
    <t xml:space="preserve">ES334</t>
  </si>
  <si>
    <t xml:space="preserve">Content Summarization Group 2</t>
  </si>
  <si>
    <t xml:space="preserve">ES335</t>
  </si>
  <si>
    <t xml:space="preserve">Content Summarization Group 3</t>
  </si>
  <si>
    <t xml:space="preserve">ES336</t>
  </si>
  <si>
    <t xml:space="preserve">ES337</t>
  </si>
  <si>
    <t xml:space="preserve">Creative Writing</t>
  </si>
  <si>
    <t xml:space="preserve">Same data also in WB5: 'Creative Writing Group 3' (uncoded)</t>
  </si>
  <si>
    <t xml:space="preserve">ES338</t>
  </si>
  <si>
    <t xml:space="preserve">ES339</t>
  </si>
  <si>
    <t xml:space="preserve">Creative Writing Group 1</t>
  </si>
  <si>
    <t xml:space="preserve">ES340</t>
  </si>
  <si>
    <t xml:space="preserve">ES341</t>
  </si>
  <si>
    <t xml:space="preserve">Creative Writing Group 2</t>
  </si>
  <si>
    <t xml:space="preserve">ES342</t>
  </si>
  <si>
    <t xml:space="preserve">ES343</t>
  </si>
  <si>
    <t xml:space="preserve">S080</t>
  </si>
  <si>
    <t xml:space="preserve">Zhexenova et al. (2020)</t>
  </si>
  <si>
    <t xml:space="preserve">Kazakhstan</t>
  </si>
  <si>
    <t xml:space="preserve">Writing Latin-based Kazakh letters</t>
  </si>
  <si>
    <t xml:space="preserve">Shapiro-Wilk tests</t>
  </si>
  <si>
    <t xml:space="preserve">ES344</t>
  </si>
  <si>
    <t xml:space="preserve">ES345</t>
  </si>
  <si>
    <t xml:space="preserve">S081</t>
  </si>
  <si>
    <t xml:space="preserve">Zhou et al. (2025)</t>
  </si>
  <si>
    <t xml:space="preserve">English Speaking Skills</t>
  </si>
  <si>
    <t xml:space="preserve">College English Test Band 4</t>
  </si>
  <si>
    <t xml:space="preserve">Same data also in WB5: 'English Speaking Skills' (uncoded)</t>
  </si>
  <si>
    <t xml:space="preserve">ES346</t>
  </si>
  <si>
    <t xml:space="preserve">Title</t>
  </si>
  <si>
    <t xml:space="preserve">Publication source</t>
  </si>
  <si>
    <t xml:space="preserve">Type of publication</t>
  </si>
  <si>
    <t xml:space="preserve">Total N</t>
  </si>
  <si>
    <t xml:space="preserve">No. of ES rows</t>
  </si>
  <si>
    <t xml:space="preserve">No. of ES in primary analysis</t>
  </si>
  <si>
    <t xml:space="preserve">Cognitive ES (primary)</t>
  </si>
  <si>
    <t xml:space="preserve">Non-cognitive ES (primary)</t>
  </si>
  <si>
    <t xml:space="preserve">Uploaded file</t>
  </si>
  <si>
    <t xml:space="preserve">Conversational agents for fostering curiosity-driven learning in children</t>
  </si>
  <si>
    <t xml:space="preserve">International Journal of Human-Computer Studies (arXiv:2204.03546)</t>
  </si>
  <si>
    <t xml:space="preserve">Journal article</t>
  </si>
  <si>
    <t xml:space="preserve">Abdelghani_et_al._-_2022 (PDF); 2204.html = arXiv abstract (duplicate)</t>
  </si>
  <si>
    <t xml:space="preserve">GPT-3-Driven Pedagogical Agents to Train Children's Curious Question-Asking Skills</t>
  </si>
  <si>
    <t xml:space="preserve">International Journal of Artificial Intelligence in Education, 34(2), 483-518</t>
  </si>
  <si>
    <t xml:space="preserve">Abdelghani_et_al._-_2024 (PDF); S1560429226003100.html = ScienceDirect copy (duplicate)</t>
  </si>
  <si>
    <t xml:space="preserve">A social robot’s influence on children’s figural creativity during gameplay</t>
  </si>
  <si>
    <t xml:space="preserve">Journal article (assumed)</t>
  </si>
  <si>
    <t xml:space="preserve">Your workbook(s): WB3</t>
  </si>
  <si>
    <t xml:space="preserve">The Impact of Batch Deep Reinforcement Learning on Student Performance: A Simple Act of Explanation Can Go A Long Way</t>
  </si>
  <si>
    <t xml:space="preserve">Your workbook(s): WB1, WB5</t>
  </si>
  <si>
    <t xml:space="preserve">Artificial Intelligence Empowers Gamification: Optimizing Student Engagement and Learning Outcomes in E-learning and MOOCs</t>
  </si>
  <si>
    <t xml:space="preserve">Your workbook(s): WB2, WB3</t>
  </si>
  <si>
    <t xml:space="preserve">The impact of educational chatbot on student learning experience</t>
  </si>
  <si>
    <t xml:space="preserve">Chatbot-facilitated Nursing Education: Incorporating a Knowledge-Based Chatbot System into a Nursing Training Program</t>
  </si>
  <si>
    <t xml:space="preserve">Promoting students' learning achievement and self-    efficacy: A mobile chatbot approach for nursing training</t>
  </si>
  <si>
    <t xml:space="preserve">Effectiveness of AI-assisted game-based learning on science learning outcomes, intrinsic motivation, cognitive load, and learning behavior | Education and Information Technologies</t>
  </si>
  <si>
    <t xml:space="preserve">Impact of AI-Robot image recognition technology on improving students' conceptual understanding of cell division and science learning motivation</t>
  </si>
  <si>
    <t xml:space="preserve">Children’s Digital Art Ability Training System Based on AI-Assisted Learning: A Case Study of Drawing Color Perception</t>
  </si>
  <si>
    <t xml:space="preserve">A progressive prompt-based image-generative AI approach to promoting students' achievement and perceptions in learning ancient Chinese poetry</t>
  </si>
  <si>
    <t xml:space="preserve">Leveraging AI in design education: exploring virtual instructors and conversational techniques in flipped classroom models</t>
  </si>
  <si>
    <t xml:space="preserve">Your workbook(s): WB1, WB2</t>
  </si>
  <si>
    <t xml:space="preserve">Generative AI-powered arts-based learning in middle school history: Impact on achievement, motivation, and cognitive load</t>
  </si>
  <si>
    <t xml:space="preserve">Artificial intelligence‑based education assists medical students’ interpretation of hip fracture</t>
  </si>
  <si>
    <t xml:space="preserve">An artificial intelligence-supported GFCA learning model to enhance L2 students' role-play performance, English speaking skills, and interaction mindset</t>
  </si>
  <si>
    <t xml:space="preserve">Education and Information Technologies</t>
  </si>
  <si>
    <t xml:space="preserve">Darmawansah_et_al._-_2025 (PDF)</t>
  </si>
  <si>
    <t xml:space="preserve">Improving Primary School Students' Oral Reading Fluency Through Voice Chatbot-Based AI</t>
  </si>
  <si>
    <t xml:space="preserve">The impact of a virtual teaching assistant (chatbot) on students’ learning in Ghanaian higher education</t>
  </si>
  <si>
    <t xml:space="preserve">Effects of a GenAI-based debugging approach integrating the reflective strategy on senior high school students' learning performance and computational thinking</t>
  </si>
  <si>
    <t xml:space="preserve">Improving EFL learners’ speaking skills and willingness to communicate via artificial intelligence-mediated interactions</t>
  </si>
  <si>
    <t xml:space="preserve">A comparative study on the development of Chinese and English abilities of Chinese primary school students through two bilingual reading modes: human-AI robot interaction and paper books</t>
  </si>
  <si>
    <t xml:space="preserve">Exploring the impact of robot interaction on learning engagement: a comparative study of two multi-modal robots</t>
  </si>
  <si>
    <t xml:space="preserve">Your workbook(s): WB2</t>
  </si>
  <si>
    <t xml:space="preserve">Analysis of the effect of an artificial intelligence chatbot educational program on non-face-to-face classes: a quasi-experimental study</t>
  </si>
  <si>
    <t xml:space="preserve">BMC Medical Education</t>
  </si>
  <si>
    <t xml:space="preserve">Han_et_al._-_2022 (PDF)</t>
  </si>
  <si>
    <t xml:space="preserve">Enhancing Student Motivation and Engagement Through the Use of a Slovenian-Speaking Social Robot AlphaMini</t>
  </si>
  <si>
    <t xml:space="preserve">Education Sciences</t>
  </si>
  <si>
    <t xml:space="preserve">Your workbook(s): WB4</t>
  </si>
  <si>
    <t xml:space="preserve">Effects of AI-enhanced multi-display language teaching systems on learning motivation, cognitive load management, and learner autonomy</t>
  </si>
  <si>
    <t xml:space="preserve">Your workbook(s): WB2, WB5</t>
  </si>
  <si>
    <t xml:space="preserve">Teaching AI with games: the impact of generative AI drawing on computational thinking skills</t>
  </si>
  <si>
    <t xml:space="preserve">Enhancing Computational Thinking Skills Through Artificial Intelligence Education at a STEAM High School</t>
  </si>
  <si>
    <t xml:space="preserve">Effects of artificial Intelligence–Enabled personalized recommendations on learners’ learning engagement, motivation, and outcomes in a flipped classroom</t>
  </si>
  <si>
    <t xml:space="preserve">Your workbook(s): WB1, WB2, WB5</t>
  </si>
  <si>
    <t xml:space="preserve">The Impact of AI Chatbot-Supported Guided Discovery Learning on Pre-service Teachers’ Learning Performance and Motivation</t>
  </si>
  <si>
    <t xml:space="preserve">Your workbook(s): WB5</t>
  </si>
  <si>
    <t xml:space="preserve">Impact of AI Software on Improving Learning Outcomes and Attitudes of Music Students in Chinese Vocational Schools</t>
  </si>
  <si>
    <t xml:space="preserve">Journal of Technical Education and Training, 16(3), 132-146</t>
  </si>
  <si>
    <t xml:space="preserve">Jiuzhou_et_al._-_2024 (PDF)</t>
  </si>
  <si>
    <t xml:space="preserve">Integrating AI-based adaptive learning into the flipped classroom model to enhance engagement and learning outcomes</t>
  </si>
  <si>
    <t xml:space="preserve">The Effect of AI-Based Systems on Mathematics Achievement in Rural Context: A Quantitative Study</t>
  </si>
  <si>
    <t xml:space="preserve">How AI involvement affects curiosity and content engagement in AI-generated advertisements</t>
  </si>
  <si>
    <t xml:space="preserve">Are Two Heads Better Than One? The Effect of Student-AI Collaboration on Students' Learning Task Performance</t>
  </si>
  <si>
    <t xml:space="preserve">TechTrends, 67, 365-375</t>
  </si>
  <si>
    <t xml:space="preserve">Kim_and_Lee_-_2023 (PDF)</t>
  </si>
  <si>
    <t xml:space="preserve">Using ChatGPT is easy, using it effectively is tough? A mixed methods study on K-12 students' perceptions, interaction patterns, and support for learning with generative AI chatbots</t>
  </si>
  <si>
    <t xml:space="preserve">Investigating the Role of AI Tools in Enhancing Translation Skills, Emotional Experiences, and Motivation in L2 Learning</t>
  </si>
  <si>
    <t xml:space="preserve">The application of chatbot as an L2 writing practice tool</t>
  </si>
  <si>
    <t xml:space="preserve">Augmenting learning environments using AI custom chatbots: Effects on learning performance, cognitive load, and affective variables</t>
  </si>
  <si>
    <t xml:space="preserve">Physical Review Physics Education Research, 21, 010147</t>
  </si>
  <si>
    <t xml:space="preserve">Your workbook(s): WB2; study details from uploaded PhysRevPhysEducRes.21.html (abstract page only - full text not in upload)</t>
  </si>
  <si>
    <t xml:space="preserve">Impacts of an AI‐based chabot on college students’ after‐class review, academic performance, self‐efficacy, learning attitude, and motivation</t>
  </si>
  <si>
    <t xml:space="preserve">Effect of an AI‐based chatbot on students' learning performance in alternate reality game‐based museum learning</t>
  </si>
  <si>
    <t xml:space="preserve">Development and implementation of a generative artificial intelligence-enhanced simulation to enhance problem-solving skills for pre-service teachers</t>
  </si>
  <si>
    <t xml:space="preserve">Promoting young learners' computational thinking with AI-based robots and the ICAP model in blended learning contexts</t>
  </si>
  <si>
    <t xml:space="preserve">Impact of AI gamification on EFL learning outcomes and nonlinear dynamic motivation: Comparing adaptive learning paths, conversational agents, and storytelling</t>
  </si>
  <si>
    <t xml:space="preserve">Using an AI-Based Object Detection Translation Application for English Vocabulary Learning</t>
  </si>
  <si>
    <t xml:space="preserve">Integrating large language models into EFL writing instruction: effects on performance, self-regulated learning strategies, and motivation</t>
  </si>
  <si>
    <t xml:space="preserve">Teaching a Conversational Agent using Natural Language: Effect on Learning and Engagement</t>
  </si>
  <si>
    <t xml:space="preserve">International Journal of Artificial Intelligence in Education</t>
  </si>
  <si>
    <t xml:space="preserve">Educational AI Chatbots for Content and Language Integrated Learning</t>
  </si>
  <si>
    <t xml:space="preserve">Teaching mathematical concepts in management with generative artificial intelligence: The power of human oversight in AI-driven learning</t>
  </si>
  <si>
    <t xml:space="preserve">Exploring the affordances of generative AI large language models for stance and engagement in academic writing</t>
  </si>
  <si>
    <t xml:space="preserve">Journal of English for Academic Purposes</t>
  </si>
  <si>
    <t xml:space="preserve">Artificial Intelligence as a Catalyst for Promoting Utility Value Perceptions of Chemistry</t>
  </si>
  <si>
    <t xml:space="preserve">Effects of GenAI-empowered interactive support on university EFL students' self-regulated strategy use and engagement in reading</t>
  </si>
  <si>
    <t xml:space="preserve">Formally integrating Generative AI into secondary education: Application of ChatGPT in EFL writing instruction</t>
  </si>
  <si>
    <t xml:space="preserve">The impact of large language models on collaborative learning processes and outcomes in higher education for English translation</t>
  </si>
  <si>
    <t xml:space="preserve">Scientific Reports</t>
  </si>
  <si>
    <t xml:space="preserve">Reinforcing L2 reading comprehension through artificial intelligence intervention: refining engagement to foster self‑regulated learning</t>
  </si>
  <si>
    <t xml:space="preserve">The effect of generative artificial intelligence (AI)-based tool use on students' computational thinking skills, programming self-efficacy and motivation</t>
  </si>
  <si>
    <t xml:space="preserve">The Effect of ChatGPT-Integrated English Teaching on High School EFL Learners' Writing Skills and Vocabulary Development</t>
  </si>
  <si>
    <t xml:space="preserve">The impact of social robot interaction on engagement and narrative complexity in primary school children</t>
  </si>
  <si>
    <t xml:space="preserve">International Journal of Social Robotics</t>
  </si>
  <si>
    <t xml:space="preserve">Development of self-regulated learning skills in university students through intelligent AI agents</t>
  </si>
  <si>
    <t xml:space="preserve">European Journal of Contemporary Education</t>
  </si>
  <si>
    <t xml:space="preserve">Creating a Podcast Using Generative Artificial Intelligence to Support Student Learning of Organic Reaction Mechanisms</t>
  </si>
  <si>
    <t xml:space="preserve">Journal of Chemical Education</t>
  </si>
  <si>
    <t xml:space="preserve">Smith_-_2026 (PDF)</t>
  </si>
  <si>
    <t xml:space="preserve">Enhancing academic writing skills and motivation: assessing the efficacy of ChatGPT in AI-assisted language learning for EFL students</t>
  </si>
  <si>
    <t xml:space="preserve">Frontiers in Psychology, 14:1260843</t>
  </si>
  <si>
    <t xml:space="preserve">Song_and_Song_-_2023 (PDF)</t>
  </si>
  <si>
    <t xml:space="preserve">Interactions with generative AI chatbots: unveiling dialogic dynamics, students' perceptions, and practical competencies in creative problem-solving</t>
  </si>
  <si>
    <t xml:space="preserve">International Journal of Educational Technology in Higher Education, 22:12</t>
  </si>
  <si>
    <t xml:space="preserve">Song_et_al._-_2025 (PDF)</t>
  </si>
  <si>
    <t xml:space="preserve">Generative AI in the Classroom: Effects of Context-Personalized Learning Material and Tasks on Motivation and Performance</t>
  </si>
  <si>
    <t xml:space="preserve">Conversational agents for academically productive talk: a comparison of directed and undirected agent interventions</t>
  </si>
  <si>
    <t xml:space="preserve">Exploring the role of human-AI collaboration in solving scientific problems</t>
  </si>
  <si>
    <t xml:space="preserve">ChatGPT improves creative problem-solving performance in university students: An experimental study</t>
  </si>
  <si>
    <t xml:space="preserve">Children’s learning-by-teaching with a social robot versus a younger child: Comparing interactions and tutoring styles</t>
  </si>
  <si>
    <t xml:space="preserve">Impact of AI-agent-supported collaborative learning on the learning outcomes of University programming courses</t>
  </si>
  <si>
    <t xml:space="preserve">A duplex adaptation mechanism in the personalized learning environment</t>
  </si>
  <si>
    <t xml:space="preserve">The impact of AI-driven speech recognition on EFL  listening comprehension, flow experience, and  anxiety: a randomized controlled trial</t>
  </si>
  <si>
    <t xml:space="preserve">The effects of generative AI on collaborative problem-solving and team creativity performance in digital story creation: an experimental study</t>
  </si>
  <si>
    <t xml:space="preserve">Development of a generative AI-powered teachable agent for middle school mathematics learning: A design-based research study</t>
  </si>
  <si>
    <t xml:space="preserve">British Journal of Educational Technology, 56(5), 2043-2077</t>
  </si>
  <si>
    <t xml:space="preserve">Xing_et_al._-_2025 (PDF)</t>
  </si>
  <si>
    <t xml:space="preserve">Effects of AI-assisted dance skills teaching, evaluation and visual feedback on dance students' learning performance, motivation and self-efficacy</t>
  </si>
  <si>
    <t xml:space="preserve">Developing a gamified artificial intelligence educational robot to promote learning effectiveness and behavior in laboratory safety courses for undergraduate stude</t>
  </si>
  <si>
    <t xml:space="preserve">The effectiveness of ChatGPT in assisting high school students in programming learning: evidence from a quasi-experimental research</t>
  </si>
  <si>
    <t xml:space="preserve">Improving students' programming performance: an integrated mind mapping and generative AI chatbot learning approach</t>
  </si>
  <si>
    <t xml:space="preserve">Teaching Innovation with AI Assistants: Application and Impact Evaluation in Biochemistry Education</t>
  </si>
  <si>
    <t xml:space="preserve">Enhancing College Students' Achievement, Motivation and Engagement in Film Character Design Through an Artificial Intelligence Smart Sketchpad</t>
  </si>
  <si>
    <t xml:space="preserve">IEEE Access, 13</t>
  </si>
  <si>
    <t xml:space="preserve">Zeng_et_al._-_2025 (PDF)</t>
  </si>
  <si>
    <t xml:space="preserve">AI-Facilitated Article Revisions for Primary School StudentsWith Writing Difficulties: Effects of a Large LanguageModel-Based PDRPE Approach on Writing Performance,Attitude and Anxiety</t>
  </si>
  <si>
    <t xml:space="preserve">Journal of Computer Assisted Learning</t>
  </si>
  <si>
    <t xml:space="preserve">The impact of AI-enhanced natural language processing tools on writing proficiency: an analysis of language precision, content summarization, and creative writing facilitation</t>
  </si>
  <si>
    <t xml:space="preserve">A Comparison of Social Robot to Tablet and Teacher in a New Script Learning Context</t>
  </si>
  <si>
    <t xml:space="preserve">Supporting english speaking practice in higher education: the impact of AI chatbot-integrated mobile-assisted blended learning framework</t>
  </si>
  <si>
    <t xml:space="preserve">Corr_ID</t>
  </si>
  <si>
    <t xml:space="preserve">AI construct type</t>
  </si>
  <si>
    <t xml:space="preserve">AI-related predictor</t>
  </si>
  <si>
    <t xml:space="preserve">Outcome</t>
  </si>
  <si>
    <t xml:space="preserve">Reported value</t>
  </si>
  <si>
    <t xml:space="preserve">Value type (r / latent r / beta)</t>
  </si>
  <si>
    <t xml:space="preserve">Fisher's z</t>
  </si>
  <si>
    <t xml:space="preserve">Var(z)</t>
  </si>
  <si>
    <t xml:space="preserve">SE(z)</t>
  </si>
  <si>
    <t xml:space="preserve">r 95% CI lower</t>
  </si>
  <si>
    <t xml:space="preserve">r 95% CI upper</t>
  </si>
  <si>
    <t xml:space="preserve">d-equivalent (2r/sqrt(1-r^2))</t>
  </si>
  <si>
    <t xml:space="preserve">Include in pooled r (Y/N)</t>
  </si>
  <si>
    <t xml:space="preserve">Notes</t>
  </si>
  <si>
    <t xml:space="preserve">wz_inc</t>
  </si>
  <si>
    <t xml:space="preserve">wz2_inc</t>
  </si>
  <si>
    <t xml:space="preserve">C001</t>
  </si>
  <si>
    <t xml:space="preserve">R01</t>
  </si>
  <si>
    <t xml:space="preserve">Dong and Gan (2026)</t>
  </si>
  <si>
    <t xml:space="preserve">Exploring Academic Engagement of Chinese Art Students in Multimodal AI-Assisted Learning: The Roles of Teacher Support and AI Literacy</t>
  </si>
  <si>
    <t xml:space="preserve">European Journal of Education</t>
  </si>
  <si>
    <t xml:space="preserve">Art</t>
  </si>
  <si>
    <t xml:space="preserve">Multimodal AI</t>
  </si>
  <si>
    <t xml:space="preserve">Cross-sectional survey, latent profile analysis</t>
  </si>
  <si>
    <t xml:space="preserve">AI literacy</t>
  </si>
  <si>
    <t xml:space="preserve">Academic engagement (overall)</t>
  </si>
  <si>
    <t xml:space="preserve">Engagement scale</t>
  </si>
  <si>
    <t xml:space="preserve">r</t>
  </si>
  <si>
    <t xml:space="preserve">Table 2; CAUTION implausibly high r</t>
  </si>
  <si>
    <t xml:space="preserve">C002</t>
  </si>
  <si>
    <t xml:space="preserve">C003</t>
  </si>
  <si>
    <t xml:space="preserve">C004</t>
  </si>
  <si>
    <t xml:space="preserve">R02</t>
  </si>
  <si>
    <t xml:space="preserve">Jia and Tu (2024)</t>
  </si>
  <si>
    <t xml:space="preserve">Towards a New Conceptual Model of AI-Enhanced Learning for College Students: The Roles of Artificial Intelligence Capabilities, General Self-Efficacy, Learning Motivation, and Critical Thinking Awareness</t>
  </si>
  <si>
    <t xml:space="preserve">Systems, 12, 74</t>
  </si>
  <si>
    <t xml:space="preserve">University AI capabilities</t>
  </si>
  <si>
    <t xml:space="preserve">Cross-sectional survey, SEM</t>
  </si>
  <si>
    <t xml:space="preserve">AI capabilities (AIC)</t>
  </si>
  <si>
    <t xml:space="preserve">Critical thinking awareness</t>
  </si>
  <si>
    <t xml:space="preserve">CTA scale</t>
  </si>
  <si>
    <t xml:space="preserve">latent r</t>
  </si>
  <si>
    <t xml:space="preserve">Table 4 Fornell-Larcker off-diagonal</t>
  </si>
  <si>
    <t xml:space="preserve">C005</t>
  </si>
  <si>
    <t xml:space="preserve">General self-efficacy</t>
  </si>
  <si>
    <t xml:space="preserve">GSE scale</t>
  </si>
  <si>
    <t xml:space="preserve">C006</t>
  </si>
  <si>
    <t xml:space="preserve">Learning motivation</t>
  </si>
  <si>
    <t xml:space="preserve">LM scale</t>
  </si>
  <si>
    <t xml:space="preserve">C007</t>
  </si>
  <si>
    <t xml:space="preserve">R03</t>
  </si>
  <si>
    <t xml:space="preserve">Liu et al. (2025)</t>
  </si>
  <si>
    <t xml:space="preserve">Assessing strategic use of artificial intelligence in self-regulated learning: Instrument development and evidence from Chinese undergraduates</t>
  </si>
  <si>
    <t xml:space="preserve">International Journal of Educational Technology in Higher Education, 22:69</t>
  </si>
  <si>
    <t xml:space="preserve">Generative AI (general use)</t>
  </si>
  <si>
    <t xml:space="preserve">Instrument validation survey</t>
  </si>
  <si>
    <t xml:space="preserve">Frequency of AI use</t>
  </si>
  <si>
    <t xml:space="preserve">Planning &amp; performing (SRL with AI)</t>
  </si>
  <si>
    <t xml:space="preserve">SRL-AI strategy inventory</t>
  </si>
  <si>
    <t xml:space="preserve">C008</t>
  </si>
  <si>
    <t xml:space="preserve">Output-focused metacognitive regulation</t>
  </si>
  <si>
    <t xml:space="preserve">C009</t>
  </si>
  <si>
    <t xml:space="preserve">Behavioral regulation</t>
  </si>
  <si>
    <t xml:space="preserve">C010</t>
  </si>
  <si>
    <t xml:space="preserve">Evaluation &amp; assessment</t>
  </si>
  <si>
    <t xml:space="preserve">C011</t>
  </si>
  <si>
    <t xml:space="preserve">R04</t>
  </si>
  <si>
    <t xml:space="preserve">Pellas (2025)</t>
  </si>
  <si>
    <t xml:space="preserve">The role of students' higher-order thinking skills in the relationship between academic achievements and machine learning using generative AI chatbots</t>
  </si>
  <si>
    <t xml:space="preserve">Research and Practice in Technology Enhanced Learning, 20:36</t>
  </si>
  <si>
    <t xml:space="preserve">Media &amp; information literacy</t>
  </si>
  <si>
    <t xml:space="preserve">Generative AI chatbots (student-built)</t>
  </si>
  <si>
    <t xml:space="preserve">Cross-sectional, path analysis</t>
  </si>
  <si>
    <t xml:space="preserve">Attitude toward machine learning with GenAI chatbots (MLAS)</t>
  </si>
  <si>
    <t xml:space="preserve">Academic achievement test</t>
  </si>
  <si>
    <t xml:space="preserve">Text p.17 (Table 2 prints .34 - discrepancy in paper)</t>
  </si>
  <si>
    <t xml:space="preserve">C012</t>
  </si>
  <si>
    <t xml:space="preserve">Problem-solving</t>
  </si>
  <si>
    <t xml:space="preserve">Problem-solving scale</t>
  </si>
  <si>
    <t xml:space="preserve">Text p.17 (Table 2 prints -.17)</t>
  </si>
  <si>
    <t xml:space="preserve">C013</t>
  </si>
  <si>
    <t xml:space="preserve">Critical thinking scale</t>
  </si>
  <si>
    <t xml:space="preserve">Text p.17 (Table 2 prints -.77)</t>
  </si>
  <si>
    <t xml:space="preserve">C014</t>
  </si>
  <si>
    <t xml:space="preserve">Creativity scale</t>
  </si>
  <si>
    <t xml:space="preserve">Text p.17 (Table 2 prints .63)</t>
  </si>
  <si>
    <t xml:space="preserve">C015</t>
  </si>
  <si>
    <t xml:space="preserve">R05</t>
  </si>
  <si>
    <t xml:space="preserve">Shi et al. (2025)</t>
  </si>
  <si>
    <t xml:space="preserve">Exploring How AI Literacy and Self-Regulated Learning Relate to Student Writing Performance and Well-Being in Generative AI-Supported Higher Education</t>
  </si>
  <si>
    <t xml:space="preserve">Behavioral Sciences (MDPI)</t>
  </si>
  <si>
    <t xml:space="preserve">Multidisciplinary (writing)</t>
  </si>
  <si>
    <t xml:space="preserve">Writing performance</t>
  </si>
  <si>
    <t xml:space="preserve">Self-reported writing performance</t>
  </si>
  <si>
    <t xml:space="preserve">beta</t>
  </si>
  <si>
    <t xml:space="preserve">Table 3 path (no correlation matrix) | beta (standardized path) - not a zero-order r; excluded from pooled r by default</t>
  </si>
  <si>
    <t xml:space="preserve">C016</t>
  </si>
  <si>
    <t xml:space="preserve">GAI-driven well-being</t>
  </si>
  <si>
    <t xml:space="preserve">Well-being scale</t>
  </si>
  <si>
    <t xml:space="preserve">Table 3 path | beta (standardized path) - not a zero-order r; excluded from pooled r by default</t>
  </si>
  <si>
    <t xml:space="preserve">C017</t>
  </si>
  <si>
    <t xml:space="preserve">R06</t>
  </si>
  <si>
    <t xml:space="preserve">Singh and Aziz (2025)</t>
  </si>
  <si>
    <t xml:space="preserve">Impact of intelligent learning assistants on creativity of university students: a self-determination theory perspective</t>
  </si>
  <si>
    <t xml:space="preserve">Future Business Journal, 11:122</t>
  </si>
  <si>
    <t xml:space="preserve">Saudi Arabia</t>
  </si>
  <si>
    <t xml:space="preserve">Intelligent learning assistants (ILAs)</t>
  </si>
  <si>
    <t xml:space="preserve">Cross-sectional survey, OLS regression</t>
  </si>
  <si>
    <t xml:space="preserve">ILA-enabled autonomy</t>
  </si>
  <si>
    <t xml:space="preserve">C018</t>
  </si>
  <si>
    <t xml:space="preserve">ILA-enabled competence</t>
  </si>
  <si>
    <t xml:space="preserve">C019</t>
  </si>
  <si>
    <t xml:space="preserve">ILA-enabled relatedness</t>
  </si>
  <si>
    <t xml:space="preserve">C020</t>
  </si>
  <si>
    <t xml:space="preserve">R07</t>
  </si>
  <si>
    <t xml:space="preserve">Wang and Li (2024)</t>
  </si>
  <si>
    <t xml:space="preserve">The Impact of AI Usage on University Students' Willingness for Autonomous Learning</t>
  </si>
  <si>
    <t xml:space="preserve">Behavioral Sciences, 14, 956</t>
  </si>
  <si>
    <t xml:space="preserve">Cross-sectional survey, SEM (ECM)</t>
  </si>
  <si>
    <t xml:space="preserve">Continuance intention to use AI</t>
  </si>
  <si>
    <t xml:space="preserve">Willingness for autonomous learning</t>
  </si>
  <si>
    <t xml:space="preserve">WAL scale</t>
  </si>
  <si>
    <t xml:space="preserve">Standardized path (no correlation matrix reported) | beta (standardized path) - not a zero-order r; excluded from pooled r by default</t>
  </si>
  <si>
    <t xml:space="preserve">C021</t>
  </si>
  <si>
    <t xml:space="preserve">Digital efficacy (AI use)</t>
  </si>
  <si>
    <t xml:space="preserve">Standardized path | beta (standardized path) - not a zero-order r; excluded from pooled r by default</t>
  </si>
  <si>
    <t xml:space="preserve">C022</t>
  </si>
  <si>
    <t xml:space="preserve">R08</t>
  </si>
  <si>
    <t xml:space="preserve">Wu and Liu (2025)</t>
  </si>
  <si>
    <t xml:space="preserve">Exploring mechanisms of effective informal GenAI-supported second language speaking practice: a cognitive-motivational perspective</t>
  </si>
  <si>
    <t xml:space="preserve">International Journal of Educational Technology in Higher Education</t>
  </si>
  <si>
    <t xml:space="preserve">Conversational generative AI</t>
  </si>
  <si>
    <t xml:space="preserve">Cross-sectional survey, PLS-SEM</t>
  </si>
  <si>
    <t xml:space="preserve">GenAI competence</t>
  </si>
  <si>
    <t xml:space="preserve">L2 speaking performance</t>
  </si>
  <si>
    <t xml:space="preserve">Speaking performance</t>
  </si>
  <si>
    <t xml:space="preserve">C023</t>
  </si>
  <si>
    <t xml:space="preserve">Cognitive processing</t>
  </si>
  <si>
    <t xml:space="preserve">Cognitive processing scale</t>
  </si>
  <si>
    <t xml:space="preserve">C024</t>
  </si>
  <si>
    <t xml:space="preserve">Curiosity (achievement emotion)</t>
  </si>
  <si>
    <t xml:space="preserve">C025</t>
  </si>
  <si>
    <t xml:space="preserve">Enjoyment scale</t>
  </si>
  <si>
    <t xml:space="preserve">C026</t>
  </si>
  <si>
    <t xml:space="preserve">Boredom (lower = better)</t>
  </si>
  <si>
    <t xml:space="preserve">Boredom scale</t>
  </si>
  <si>
    <t xml:space="preserve">Table 4; higher boredom is unfavourable</t>
  </si>
  <si>
    <t xml:space="preserve">C027</t>
  </si>
  <si>
    <t xml:space="preserve">Ideal L2 self</t>
  </si>
  <si>
    <t xml:space="preserve">Ideal L2 self scale</t>
  </si>
  <si>
    <t xml:space="preserve">C028</t>
  </si>
  <si>
    <t xml:space="preserve">R09</t>
  </si>
  <si>
    <t xml:space="preserve">Yang et al. (2026)</t>
  </si>
  <si>
    <t xml:space="preserve">The Impact of AI Identity on University Students' Research Creativity and the Moderating Role of Ethical Dilemmas</t>
  </si>
  <si>
    <t xml:space="preserve">Generative AI (research use)</t>
  </si>
  <si>
    <t xml:space="preserve">Cross-sectional survey, hierarchical regression</t>
  </si>
  <si>
    <t xml:space="preserve">AI identity</t>
  </si>
  <si>
    <t xml:space="preserve">Research creativity</t>
  </si>
  <si>
    <t xml:space="preserve">Research creativity scale</t>
  </si>
  <si>
    <t xml:space="preserve">C029</t>
  </si>
  <si>
    <t xml:space="preserve">Exploratory learning</t>
  </si>
  <si>
    <t xml:space="preserve">Ambidextrous learning scale</t>
  </si>
  <si>
    <t xml:space="preserve">C030</t>
  </si>
  <si>
    <t xml:space="preserve">Exploitative learning</t>
  </si>
  <si>
    <t xml:space="preserve">C031</t>
  </si>
  <si>
    <t xml:space="preserve">R10</t>
  </si>
  <si>
    <t xml:space="preserve">Yaseen et al. (2025)</t>
  </si>
  <si>
    <t xml:space="preserve">The Impact of Adaptive Learning Technologies, Personalized Feedback, and Interactive AI Tools on Student Engagement: The Moderating Role of Digital Literacy</t>
  </si>
  <si>
    <t xml:space="preserve">Sustainability, 17, 1133</t>
  </si>
  <si>
    <t xml:space="preserve">Jordan</t>
  </si>
  <si>
    <t xml:space="preserve">Adaptive learning / AI feedback / interactive AI tools</t>
  </si>
  <si>
    <t xml:space="preserve">Adaptive learning technologies</t>
  </si>
  <si>
    <t xml:space="preserve">Student engagement</t>
  </si>
  <si>
    <t xml:space="preserve">Table 2 ('structural model' correlations). CAUTION: Fornell-Larcker table internally inconsistent</t>
  </si>
  <si>
    <t xml:space="preserve">C032</t>
  </si>
  <si>
    <t xml:space="preserve">Interactive AI tools</t>
  </si>
  <si>
    <t xml:space="preserve">Table 2; caution as above</t>
  </si>
  <si>
    <t xml:space="preserve">C033</t>
  </si>
  <si>
    <t xml:space="preserve">Personalized (AI) feedback</t>
  </si>
  <si>
    <t xml:space="preserve">C034</t>
  </si>
  <si>
    <t xml:space="preserve">R11</t>
  </si>
  <si>
    <t xml:space="preserve">Zhang et al. (2026)</t>
  </si>
  <si>
    <t xml:space="preserve">The relationship between hope and learning engagement among Chinese university students: the serial mediating roles of generative AI acceptance and self-directed learning</t>
  </si>
  <si>
    <t xml:space="preserve">Frontiers in Psychology, 17:1935139</t>
  </si>
  <si>
    <t xml:space="preserve">Generative AI acceptance</t>
  </si>
  <si>
    <t xml:space="preserve">Learning engagement scale</t>
  </si>
  <si>
    <t xml:space="preserve">Table 1 Pearson</t>
  </si>
  <si>
    <t xml:space="preserve">C035</t>
  </si>
  <si>
    <t xml:space="preserve">SDL scale</t>
  </si>
  <si>
    <t xml:space="preserve">C036</t>
  </si>
  <si>
    <t xml:space="preserve">R12</t>
  </si>
  <si>
    <t xml:space="preserve">Zhou and Peng (2025)</t>
  </si>
  <si>
    <t xml:space="preserve">The Usage of AI in Teaching and Students' Creativity: The Mediating Role of Learning Engagement and the Moderating Role of AI Literacy</t>
  </si>
  <si>
    <t xml:space="preserve">Behavioral Sciences, 15, 587</t>
  </si>
  <si>
    <t xml:space="preserve">AI in teaching (general)</t>
  </si>
  <si>
    <t xml:space="preserve">Usage of AI in teaching</t>
  </si>
  <si>
    <t xml:space="preserve">Table 1</t>
  </si>
  <si>
    <t xml:space="preserve">C037</t>
  </si>
  <si>
    <t xml:space="preserve">Student creativity</t>
  </si>
  <si>
    <t xml:space="preserve">C038</t>
  </si>
  <si>
    <t xml:space="preserve">C039</t>
  </si>
  <si>
    <t xml:space="preserve">C040</t>
  </si>
  <si>
    <t xml:space="preserve">R13</t>
  </si>
  <si>
    <t xml:space="preserve">Zong and Yang (2025)</t>
  </si>
  <si>
    <t xml:space="preserve">How AI-Enhanced Social-Emotional Learning Framework Transforms EFL Students' Engagement and Emotional Well-Being</t>
  </si>
  <si>
    <t xml:space="preserve">AI-enhanced SEL tools</t>
  </si>
  <si>
    <t xml:space="preserve">AI-enhanced SEL</t>
  </si>
  <si>
    <t xml:space="preserve">Emotional well-being</t>
  </si>
  <si>
    <t xml:space="preserve">Table 3 (text reports .788) - inconsistent</t>
  </si>
  <si>
    <t xml:space="preserve">C041</t>
  </si>
  <si>
    <t xml:space="preserve">Table 3 (text reports .657) - inconsistent</t>
  </si>
  <si>
    <t xml:space="preserve">Random-effects (DerSimonian-Laird) summary - experimental studies (Hedges' g)</t>
  </si>
  <si>
    <t xml:space="preserve">Pools ES_Data rows with Include = Y. Rows are treated as independent (see README caveat). k studies counts distinct Study_IDs (formula). Positive g favours the AI condition.</t>
  </si>
  <si>
    <t xml:space="preserve">Grouping</t>
  </si>
  <si>
    <t xml:space="preserve">Level</t>
  </si>
  <si>
    <t xml:space="preserve">k (effect sizes)</t>
  </si>
  <si>
    <t xml:space="preserve">k (studies)</t>
  </si>
  <si>
    <t xml:space="preserve">Sum w</t>
  </si>
  <si>
    <t xml:space="preserve">Sum w*g</t>
  </si>
  <si>
    <t xml:space="preserve">Sum w*g^2</t>
  </si>
  <si>
    <t xml:space="preserve">Sum w^2</t>
  </si>
  <si>
    <t xml:space="preserve">Q</t>
  </si>
  <si>
    <t xml:space="preserve">df</t>
  </si>
  <si>
    <t xml:space="preserve">p (Q)</t>
  </si>
  <si>
    <t xml:space="preserve">tau^2</t>
  </si>
  <si>
    <t xml:space="preserve">I^2</t>
  </si>
  <si>
    <t xml:space="preserve">Pooled g (random)</t>
  </si>
  <si>
    <t xml:space="preserve">SE</t>
  </si>
  <si>
    <t xml:space="preserve">95% CI lower</t>
  </si>
  <si>
    <t xml:space="preserve">95% CI upper</t>
  </si>
  <si>
    <t xml:space="preserve">p</t>
  </si>
  <si>
    <t xml:space="preserve">Pooled g (fixed)</t>
  </si>
  <si>
    <t xml:space="preserve">Overall</t>
  </si>
  <si>
    <t xml:space="preserve">All outcomes</t>
  </si>
  <si>
    <t xml:space="preserve">Cognitive subgroup</t>
  </si>
  <si>
    <t xml:space="preserve">Non-cognitive subgroup</t>
  </si>
  <si>
    <t xml:space="preserve">AI agent type (Cognitive)</t>
  </si>
  <si>
    <t xml:space="preserve">AI agent type (Non-cognitive)</t>
  </si>
  <si>
    <t xml:space="preserve">Education level (Cognitive)</t>
  </si>
  <si>
    <t xml:space="preserve">Duration (Cognitive)</t>
  </si>
  <si>
    <t xml:space="preserve">Education level (Non-cognitive)</t>
  </si>
  <si>
    <t xml:space="preserve">Duration (Non-cognitive)</t>
  </si>
  <si>
    <t xml:space="preserve">Random-effects summary - correlational studies (Fisher z back-transformed to r)</t>
  </si>
  <si>
    <t xml:space="preserve">k (correlations)</t>
  </si>
  <si>
    <t xml:space="preserve">Sum w*z</t>
  </si>
  <si>
    <t xml:space="preserve">Sum w*z^2</t>
  </si>
  <si>
    <t xml:space="preserve">Pooled z (random)</t>
  </si>
  <si>
    <t xml:space="preserve">Pooled r</t>
  </si>
  <si>
    <t xml:space="preserve">d-equivalent</t>
  </si>
  <si>
    <t xml:space="preserve">Subgroup</t>
  </si>
  <si>
    <t xml:space="preserve">#</t>
  </si>
  <si>
    <t xml:space="preserve">Identified record (author, year, title)</t>
  </si>
  <si>
    <t xml:space="preserve">Document type</t>
  </si>
  <si>
    <t xml:space="preserve">Design</t>
  </si>
  <si>
    <t xml:space="preserve">Decision</t>
  </si>
  <si>
    <t xml:space="preserve">Reason / note</t>
  </si>
  <si>
    <t xml:space="preserve">Study_ID / Corr ID in this workbook</t>
  </si>
  <si>
    <t xml:space="preserve">Han_et_al._-_2022 ... chatbot educational program (PDF)</t>
  </si>
  <si>
    <t xml:space="preserve">Han et al. (2022) BMC Med Educ</t>
  </si>
  <si>
    <t xml:space="preserve">Journal article (full text)</t>
  </si>
  <si>
    <t xml:space="preserve">Quasi-experimental, NEC pretest-posttest (n=61)</t>
  </si>
  <si>
    <t xml:space="preserve">Included - experimental ES</t>
  </si>
  <si>
    <t xml:space="preserve">6 outcomes, pre &amp; post M/SD (Table 3); replaces curiosity-workbook rows (mislabelled)</t>
  </si>
  <si>
    <t xml:space="preserve">Abdelghani_et_al._-_2022 ... curiosity-driven learning (PDF)</t>
  </si>
  <si>
    <t xml:space="preserve">Abdelghani et al. (2022) IJHCS</t>
  </si>
  <si>
    <t xml:space="preserve">Pseudo-randomized 2-group experiment (n=51)</t>
  </si>
  <si>
    <t xml:space="preserve">Baseline profile + post outcomes (exploration time, learning progress, divergent QA via F)</t>
  </si>
  <si>
    <t xml:space="preserve">2204.html</t>
  </si>
  <si>
    <t xml:space="preserve">Abdelghani et al. (2022) - arXiv 2204.03546 landing page</t>
  </si>
  <si>
    <t xml:space="preserve">Abstract page</t>
  </si>
  <si>
    <t xml:space="preserve">-</t>
  </si>
  <si>
    <t xml:space="preserve">Duplicate record</t>
  </si>
  <si>
    <t xml:space="preserve">Same study as the Abdelghani 2022 PDF</t>
  </si>
  <si>
    <t xml:space="preserve">Abdelghani_et_al._-_2024 ... GPT-3-Driven Pedagogical Agents (PDF)</t>
  </si>
  <si>
    <t xml:space="preserve">Abdelghani et al. (2024) IJAIED</t>
  </si>
  <si>
    <t xml:space="preserve">Pseudo-randomized 3-group experiment, active comparator (n=75)</t>
  </si>
  <si>
    <t xml:space="preserve">GPT-3 open agent vs hand-crafted agent; t-based ES; baseline profiles</t>
  </si>
  <si>
    <t xml:space="preserve">S1560429226003100.html</t>
  </si>
  <si>
    <t xml:space="preserve">Abdelghani et al. (2024) - ScienceDirect page</t>
  </si>
  <si>
    <t xml:space="preserve">Web page</t>
  </si>
  <si>
    <t xml:space="preserve">Same study as the Abdelghani 2024 PDF</t>
  </si>
  <si>
    <t xml:space="preserve">Song_et_al._-_2025 ... GenAI chatbots dialogic dynamics (PDF)</t>
  </si>
  <si>
    <t xml:space="preserve">Song et al. (2025) IJETHE</t>
  </si>
  <si>
    <t xml:space="preserve">Quasi-experiment, random assignment (n=80)</t>
  </si>
  <si>
    <t xml:space="preserve">CPS performance, dialogue process measures, perceptions</t>
  </si>
  <si>
    <t xml:space="preserve">Song_and_Song_-_2023 ... ChatGPT academic writing (PDF)</t>
  </si>
  <si>
    <t xml:space="preserve">Song &amp; Song (2023) Front Psychol</t>
  </si>
  <si>
    <t xml:space="preserve">Randomized pretest-posttest control (n=50)</t>
  </si>
  <si>
    <t xml:space="preserve">Writing (overall, content, organization, language) + writing motivation</t>
  </si>
  <si>
    <t xml:space="preserve">Darmawansah_et_al._-_2025 ... AI-GFCA (PDF)</t>
  </si>
  <si>
    <t xml:space="preserve">Darmawansah et al. (2025) EAIT</t>
  </si>
  <si>
    <t xml:space="preserve">Quasi-experiment, 2 classes (n=45), active comparator</t>
  </si>
  <si>
    <t xml:space="preserve">Mann-Whitney z converted to d</t>
  </si>
  <si>
    <t xml:space="preserve">Zeng_et_al._-_2025 ... AI Smart Sketchpad (PDF)</t>
  </si>
  <si>
    <t xml:space="preserve">Zeng et al. (2025) IEEE Access</t>
  </si>
  <si>
    <t xml:space="preserve">Quasi-experiment (n=60)</t>
  </si>
  <si>
    <t xml:space="preserve">Achievement pre/post, engagement &amp; motivation subscales</t>
  </si>
  <si>
    <t xml:space="preserve">Xing_et_al._-_2025 ... teachable agent (PDF)</t>
  </si>
  <si>
    <t xml:space="preserve">Xing et al. (2025) BJET</t>
  </si>
  <si>
    <t xml:space="preserve">Design-based research; Study 3 quasi-experiment (n=212)</t>
  </si>
  <si>
    <t xml:space="preserve">Knowledge pre/post (Table 6); same values as Raw_Data_ES workbook</t>
  </si>
  <si>
    <t xml:space="preserve">Jiuzhou_et_al._-_2024 ... music students (PDF)</t>
  </si>
  <si>
    <t xml:space="preserve">Jiuzhou et al. (2024) JTET</t>
  </si>
  <si>
    <t xml:space="preserve">Within-subjects (n=44)</t>
  </si>
  <si>
    <t xml:space="preserve">Paired t used (reported SDs implausible); flag for sensitivity analysis</t>
  </si>
  <si>
    <t xml:space="preserve">Kim_and_Lee_-_2023 ... Student-AI Collaboration (PDF)</t>
  </si>
  <si>
    <t xml:space="preserve">Kim &amp; Lee (2023) TechTrends</t>
  </si>
  <si>
    <t xml:space="preserve">Within-subjects repeated measures (n=20)</t>
  </si>
  <si>
    <t xml:space="preserve">Creativity, expressivity, public utility, total</t>
  </si>
  <si>
    <t xml:space="preserve">Smith_-_2026 ... GenAI podcast (PDF)</t>
  </si>
  <si>
    <t xml:space="preserve">Smith (2026) J Chem Educ</t>
  </si>
  <si>
    <t xml:space="preserve">Descriptive survey; no control group</t>
  </si>
  <si>
    <t xml:space="preserve">Included - experimental ES (observational rows, Include = N)</t>
  </si>
  <si>
    <t xml:space="preserve">Only AI-users vs non-users attitudes are comparable; excluded from primary analysis</t>
  </si>
  <si>
    <t xml:space="preserve">PhysRevPhysEducRes.21.html</t>
  </si>
  <si>
    <t xml:space="preserve">Lademann et al. (2025) Phys Rev PER</t>
  </si>
  <si>
    <t xml:space="preserve">Abstract / landing page only</t>
  </si>
  <si>
    <t xml:space="preserve">RCT (n=214)</t>
  </si>
  <si>
    <t xml:space="preserve">Included - experimental ES (from your workbook)</t>
  </si>
  <si>
    <t xml:space="preserve">Full text not in upload; workbook row kept. Upload PDF for cognitive load, emotion, self-efficacy outcomes</t>
  </si>
  <si>
    <t xml:space="preserve">Zhou_and_Peng_-_2025 ... AI in Teaching and Creativity (PDF)</t>
  </si>
  <si>
    <t xml:space="preserve">Zhou &amp; Peng (2025) Behav Sci</t>
  </si>
  <si>
    <t xml:space="preserve">Cross-sectional survey (n=432)</t>
  </si>
  <si>
    <t xml:space="preserve">Included - correlational ES</t>
  </si>
  <si>
    <t xml:space="preserve">Pearson r (Table 1)</t>
  </si>
  <si>
    <t xml:space="preserve">Correlational_Studies</t>
  </si>
  <si>
    <t xml:space="preserve">Jia_and_Tu_-_2024 ... AI-Enhanced Learning model (PDF)</t>
  </si>
  <si>
    <t xml:space="preserve">Jia &amp; Tu (2024) Systems</t>
  </si>
  <si>
    <t xml:space="preserve">Cross-sectional SEM (n=637)</t>
  </si>
  <si>
    <t xml:space="preserve">Latent correlations (Fornell-Larcker)</t>
  </si>
  <si>
    <t xml:space="preserve">Yaseen_et_al._-_2025 ... Adaptive Learning Technologies (PDF)</t>
  </si>
  <si>
    <t xml:space="preserve">Yaseen et al. (2025) Sustainability</t>
  </si>
  <si>
    <t xml:space="preserve">Cross-sectional PLS-SEM (n=500, Jordan)</t>
  </si>
  <si>
    <t xml:space="preserve">Correlations with engagement; validity tables inconsistent</t>
  </si>
  <si>
    <t xml:space="preserve">Pellas_-_2025 ... higher-order thinking skills (PDF)</t>
  </si>
  <si>
    <t xml:space="preserve">Pellas (2025) RPTEL</t>
  </si>
  <si>
    <t xml:space="preserve">Cross-sectional path analysis (n=416)</t>
  </si>
  <si>
    <t xml:space="preserve">Text r values used (table conflicts)</t>
  </si>
  <si>
    <t xml:space="preserve">Yang_et_al._-_2026 ... AI Identity research creativity (PDF)</t>
  </si>
  <si>
    <t xml:space="preserve">Cross-sectional (n=451)</t>
  </si>
  <si>
    <t xml:space="preserve">Pearson r (Table 3)</t>
  </si>
  <si>
    <t xml:space="preserve">Singh_and_Aziz_-_2025 ... intelligent learning assistants creativity (PDF)</t>
  </si>
  <si>
    <t xml:space="preserve">Singh &amp; Aziz (2025) Future Business J</t>
  </si>
  <si>
    <t xml:space="preserve">Cross-sectional (n=304)</t>
  </si>
  <si>
    <t xml:space="preserve">Pearson r (Table 6)</t>
  </si>
  <si>
    <t xml:space="preserve">Wang_and_Li_-_2024 ... AI Usage autonomous learning (PDF)</t>
  </si>
  <si>
    <t xml:space="preserve">Wang &amp; Li (2024) Behav Sci</t>
  </si>
  <si>
    <t xml:space="preserve">Cross-sectional SEM (n=721)</t>
  </si>
  <si>
    <t xml:space="preserve">Only standardized paths (beta) reported; Include = N by default</t>
  </si>
  <si>
    <t xml:space="preserve">Shi_et_al._-_2025 ... AI Literacy &amp; SRL writing (PDF)</t>
  </si>
  <si>
    <t xml:space="preserve">Cross-sectional SEM (n=257)</t>
  </si>
  <si>
    <t xml:space="preserve">Zhang_et_al._-_2026 ... hope and learning engagement (PDF)</t>
  </si>
  <si>
    <t xml:space="preserve">Zhang et al. (2026) Front Psychol</t>
  </si>
  <si>
    <t xml:space="preserve">Cross-sectional SEM (n=478)</t>
  </si>
  <si>
    <t xml:space="preserve">Wu_and_Liu_-_2025 ... GenAI L2 speaking practice (PDF)</t>
  </si>
  <si>
    <t xml:space="preserve">Wu &amp; Liu (2025) IJETHE</t>
  </si>
  <si>
    <t xml:space="preserve">Cross-sectional PLS-SEM (n=158)</t>
  </si>
  <si>
    <t xml:space="preserve">Latent r (Table 4): GenAI competence with speaking, curiosity, enjoyment...</t>
  </si>
  <si>
    <t xml:space="preserve">Zong_and_Yang_-_2025 ... AI-Enhanced SEL (PDF)</t>
  </si>
  <si>
    <t xml:space="preserve">Zong &amp; Yang (2025) Eur J Educ</t>
  </si>
  <si>
    <t xml:space="preserve">Cross-sectional SEM (n=816)</t>
  </si>
  <si>
    <t xml:space="preserve">Latent r; table/text mismatch</t>
  </si>
  <si>
    <t xml:space="preserve">Dong_and_Gan_-_2026 ... multimodal AI art students (PDF)</t>
  </si>
  <si>
    <t xml:space="preserve">Dong &amp; Gan (2026) Eur J Educ</t>
  </si>
  <si>
    <t xml:space="preserve">Cross-sectional LPA (n=440)</t>
  </si>
  <si>
    <t xml:space="preserve">r = .89-.94 implausibly high; sensitivity analysis advised</t>
  </si>
  <si>
    <t xml:space="preserve">Liu_et_al._-_2025 ... strategic use of AI in SRL (PDF)</t>
  </si>
  <si>
    <t xml:space="preserve">Liu et al. (2025) IJETHE</t>
  </si>
  <si>
    <t xml:space="preserve">Instrument validation survey (n=707)</t>
  </si>
  <si>
    <t xml:space="preserve">AI-use frequency vs SRL-with-AI strategies (Table 5)</t>
  </si>
  <si>
    <t xml:space="preserve">Guner_and_Erkan_-_2025 ... ChatGPT programming (PDF)</t>
  </si>
  <si>
    <t xml:space="preserve">Guner &amp; Erkan (2025)</t>
  </si>
  <si>
    <t xml:space="preserve">All students used ChatGPT; profile comparison, no control</t>
  </si>
  <si>
    <t xml:space="preserve">Excluded from ES extraction</t>
  </si>
  <si>
    <t xml:space="preserve">No non-AI comparison group (AI-interaction profiles only)</t>
  </si>
  <si>
    <t xml:space="preserve">Du_et_al._-_2025 ... accept AI chatbots personality (PDF)</t>
  </si>
  <si>
    <t xml:space="preserve">Du et al. (2025)</t>
  </si>
  <si>
    <t xml:space="preserve">Cross-sectional SEM (TAM) + interviews</t>
  </si>
  <si>
    <t xml:space="preserve">Technology acceptance only (personality -&gt; PU/PEOU/BI); no learning outcome</t>
  </si>
  <si>
    <t xml:space="preserve">Rahman_et_al._-_2025 ... mindset to adopt AI chatbots (PDF)</t>
  </si>
  <si>
    <t xml:space="preserve">Rahman et al. (2025) Future Business J</t>
  </si>
  <si>
    <t xml:space="preserve">Cross-sectional PLS-SEM (n=429)</t>
  </si>
  <si>
    <t xml:space="preserve">Adoption/acceptance constructs only; no learning outcome</t>
  </si>
  <si>
    <t xml:space="preserve">Al-Abdullatif_and_Alsubaie_-_2024 ... ChatGPT use intentions (PDF)</t>
  </si>
  <si>
    <t xml:space="preserve">Al-Abdullatif &amp; Alsubaie (2024)</t>
  </si>
  <si>
    <t xml:space="preserve">Cross-sectional PLS-SEM (n=676)</t>
  </si>
  <si>
    <t xml:space="preserve">Use intention / perceived value only; no learning outcome</t>
  </si>
  <si>
    <t xml:space="preserve">Sunmboye_et_al._-_2025 ... AI personalized learning (PDF)</t>
  </si>
  <si>
    <t xml:space="preserve">Sunmboye et al. (2025)</t>
  </si>
  <si>
    <t xml:space="preserve">Cross-sectional survey (n=230)</t>
  </si>
  <si>
    <t xml:space="preserve">Demographic associations with AI use; no learning outcome ES</t>
  </si>
  <si>
    <t xml:space="preserve">Duan_et_al._-_2025 ... AI in medical education attitudes (PDF)</t>
  </si>
  <si>
    <t xml:space="preserve">Duan et al. (2025)</t>
  </si>
  <si>
    <t xml:space="preserve">Cross-sectional survey (n=553)</t>
  </si>
  <si>
    <t xml:space="preserve">Attitudes/awareness by gender &amp; level; no AI-vs-control learning outcome</t>
  </si>
  <si>
    <t xml:space="preserve">Fan_et_al._-_2025 ... GenAI engineering students (PDF)</t>
  </si>
  <si>
    <t xml:space="preserve">Fan et al. (2025) Sci Rep</t>
  </si>
  <si>
    <t xml:space="preserve">Descriptive survey (n=148)</t>
  </si>
  <si>
    <t xml:space="preserve">Percentages of self-reported impact only</t>
  </si>
  <si>
    <t xml:space="preserve">Neo_et_al._-_2022 ... MERLIN chatbot (PDF)</t>
  </si>
  <si>
    <t xml:space="preserve">Neo et al. (2022)</t>
  </si>
  <si>
    <t xml:space="preserve">Single-group descriptive survey (n=62)</t>
  </si>
  <si>
    <t xml:space="preserve">No comparison group; descriptive % only</t>
  </si>
  <si>
    <t xml:space="preserve">Woo_and_Cho_-_2025 ... Human-AI Collaboration (PDF)</t>
  </si>
  <si>
    <t xml:space="preserve">Woo &amp; Cho (2025)</t>
  </si>
  <si>
    <t xml:space="preserve">Mixed methods, post-only questionnaire</t>
  </si>
  <si>
    <t xml:space="preserve">No comparison group; descriptive</t>
  </si>
  <si>
    <t xml:space="preserve">Zirenko_et_al._-_2025 ... metaphors of AI (PDF)</t>
  </si>
  <si>
    <t xml:space="preserve">Zirenko et al. (2025)</t>
  </si>
  <si>
    <t xml:space="preserve">Qualitative metaphor analysis (n=124)</t>
  </si>
  <si>
    <t xml:space="preserve">Qualitative</t>
  </si>
  <si>
    <t xml:space="preserve">Wang_-_2025 ... GenAI-assisted writing processes (PDF)</t>
  </si>
  <si>
    <t xml:space="preserve">Wang (2025)</t>
  </si>
  <si>
    <t xml:space="preserve">Phenomenological (n=6)</t>
  </si>
  <si>
    <t xml:space="preserve">Black_and_Tomlinson_-_2025 ... adopt AI for writing (PDF)</t>
  </si>
  <si>
    <t xml:space="preserve">Black &amp; Tomlinson (2025) Sci Rep</t>
  </si>
  <si>
    <t xml:space="preserve">Exploratory qualitative (n=39)</t>
  </si>
  <si>
    <t xml:space="preserve">Jin_et_al._-_2023 ... SRL AI applications (PDF)</t>
  </si>
  <si>
    <t xml:space="preserve">Jin et al. (2023)</t>
  </si>
  <si>
    <t xml:space="preserve">Speed-dating design study, interviews (n=16)</t>
  </si>
  <si>
    <t xml:space="preserve">Yu_et_al._-_2017 ... AI-powered personalization in MOOC (PDF)</t>
  </si>
  <si>
    <t xml:space="preserve">Yu et al. (2017) npj Sci Learn</t>
  </si>
  <si>
    <t xml:space="preserve">Perspective article</t>
  </si>
  <si>
    <t xml:space="preserve">Non-empirical</t>
  </si>
  <si>
    <t xml:space="preserve">No data</t>
  </si>
  <si>
    <t xml:space="preserve">Liang_and_He_-_2026 ... AI adaptive learning system (PDF)</t>
  </si>
  <si>
    <t xml:space="preserve">Liang &amp; He (2026)</t>
  </si>
  <si>
    <t xml:space="preserve">System development on OULAD dataset</t>
  </si>
  <si>
    <t xml:space="preserve">Reports model accuracy only; no student learning outcome comparison</t>
  </si>
  <si>
    <t xml:space="preserve">PQDT164736119.html</t>
  </si>
  <si>
    <t xml:space="preserve">Chen, Chia-Ling (2025) thesis, National Taiwan Normal Univ. - AI-generated images for language writing</t>
  </si>
  <si>
    <t xml:space="preserve">Dissertation abstract (ProQuest/WoS page)</t>
  </si>
  <si>
    <t xml:space="preserve">Experimental + survey (n=128)</t>
  </si>
  <si>
    <t xml:space="preserve">Excluded from ES extraction - full text needed</t>
  </si>
  <si>
    <t xml:space="preserve">Abstract only; upload full text to extract AI self-efficacy, interest, epistemic curiosity, writing outcomes</t>
  </si>
  <si>
    <t xml:space="preserve">PQDT169836607.html</t>
  </si>
  <si>
    <t xml:space="preserve">Same record as PQDT164736119.html (file content identical)</t>
  </si>
  <si>
    <t xml:space="preserve">Dissertation abstract</t>
  </si>
  <si>
    <t xml:space="preserve">Identical file uploaded twice</t>
  </si>
  <si>
    <t xml:space="preserve">WOS001357423700001.html</t>
  </si>
  <si>
    <t xml:space="preserve">Chen, LX (2025) 'Unlocking the Beat: How AI Tools Drive Music Students' Motivation, Engagement, Creativity and Learning Success', Eur J Educ (n=521)</t>
  </si>
  <si>
    <t xml:space="preserve">WoS search-results page</t>
  </si>
  <si>
    <t xml:space="preserve">Cross-sectional survey</t>
  </si>
  <si>
    <t xml:space="preserve">Only a search-results snippet saved; upload the PDF to extract correlations</t>
  </si>
  <si>
    <t xml:space="preserve">WOS001313997300002.html</t>
  </si>
  <si>
    <t xml:space="preserve">Lin, HZ &amp; Chen, Q (2024) 'AI-integrated educational applications and college students' creativity and academic emotions', BMC Psychology</t>
  </si>
  <si>
    <t xml:space="preserve">Mixed methods (per abstract)</t>
  </si>
  <si>
    <t xml:space="preserve">Only a search-results snippet saved; upload the PDF</t>
  </si>
  <si>
    <t xml:space="preserve">WOS001856614800007.html</t>
  </si>
  <si>
    <t xml:space="preserve">'Designing an AI assistant to support independent learning in first- and second-year students' (WoS record)</t>
  </si>
  <si>
    <t xml:space="preserve">Unknown</t>
  </si>
  <si>
    <t xml:space="preserve">WOS001488488800012.html</t>
  </si>
  <si>
    <t xml:space="preserve">Alyoussef et al. (2025) 'AI Adoption for Collaboration: Factors Influencing Inclusive Learning Adoption in Higher Education', IEEE Access (n=443)</t>
  </si>
  <si>
    <t xml:space="preserve">WoS full-record page (abstract)</t>
  </si>
  <si>
    <t xml:space="preserve">Cross-sectional SEM (TAM)</t>
  </si>
  <si>
    <t xml:space="preserve">Technology acceptance only; abstract only</t>
  </si>
  <si>
    <t xml:space="preserve">WOS001419460000001.html</t>
  </si>
  <si>
    <t xml:space="preserve">WoS search-results page (records 79-83; target record could not be identified - possibly Jiuzhou et al. 2024, already included)</t>
  </si>
  <si>
    <t xml:space="preserve">No full text; check which record you meant</t>
  </si>
  <si>
    <t xml:space="preserve">Your workbook - cognitive outcomes, higher education (16 studies)</t>
  </si>
  <si>
    <t xml:space="preserve">Excel workbook</t>
  </si>
  <si>
    <t xml:space="preserve">Merged</t>
  </si>
  <si>
    <t xml:space="preserve">All rows merged into ES_Data (source column shows file)</t>
  </si>
  <si>
    <t xml:space="preserve">Your workbook - curiosity (27 studies)</t>
  </si>
  <si>
    <t xml:space="preserve">Rows for studies with uploaded full text were re-extracted from the PDF</t>
  </si>
  <si>
    <t xml:space="preserve">Your workbook - Study 2 raw data (31 studies)</t>
  </si>
  <si>
    <t xml:space="preserve">All rows merged</t>
  </si>
  <si>
    <t xml:space="preserve">Your workbook - social-emotional skills (7 studies)</t>
  </si>
  <si>
    <t xml:space="preserve">All rows merged; Sheet2 publication info used</t>
  </si>
  <si>
    <t xml:space="preserve">Your workbook - E.S file (25 studies)</t>
  </si>
  <si>
    <t xml:space="preserve">Outcomes coded into categories; duplicates with other workbooks removed</t>
  </si>
  <si>
    <t xml:space="preserve">Study</t>
  </si>
  <si>
    <t xml:space="preserve">Issue type</t>
  </si>
  <si>
    <t xml:space="preserve">Description</t>
  </si>
  <si>
    <t xml:space="preserve">Action taken / what to verify</t>
  </si>
  <si>
    <t xml:space="preserve">Country differs between workbooks</t>
  </si>
  <si>
    <t xml:space="preserve">China / Taiwan</t>
  </si>
  <si>
    <t xml:space="preserve">Used "Taiwan"; verify</t>
  </si>
  <si>
    <t xml:space="preserve">Author name differs between workbooks</t>
  </si>
  <si>
    <t xml:space="preserve">Yang et al. (2023) / Fan et al. (2023)</t>
  </si>
  <si>
    <t xml:space="preserve">Used "Yang et al. (2023)"; verify first author against the paper</t>
  </si>
  <si>
    <t xml:space="preserve">Fathi et al. (2024) / Jalil (2024)</t>
  </si>
  <si>
    <t xml:space="preserve">Used "Fathi et al. (2024)"; verify first author against the paper</t>
  </si>
  <si>
    <t xml:space="preserve">Katona &amp; Gyonyoru (2025) / Jozsef (2025)</t>
  </si>
  <si>
    <t xml:space="preserve">Used "Katona &amp; Gyonyoru (2025)"; verify first author against the paper</t>
  </si>
  <si>
    <t xml:space="preserve">Chang et al. (2022) / Ching (2022)</t>
  </si>
  <si>
    <t xml:space="preserve">Used "Chang et al. (2022)"; verify first author against the paper</t>
  </si>
  <si>
    <t xml:space="preserve">Chang et al. (2022) / Ching (2021)</t>
  </si>
  <si>
    <t xml:space="preserve">Essel et al. (2022) / Harry (2022)</t>
  </si>
  <si>
    <t xml:space="preserve">Used "Essel et al. (2022)"; verify first author against the paper</t>
  </si>
  <si>
    <t xml:space="preserve">Xiao (2025) / Yanling (2025)</t>
  </si>
  <si>
    <t xml:space="preserve">Used "Xiao (2025)"; verify first author against the paper</t>
  </si>
  <si>
    <t xml:space="preserve">Zhao (2025) / Dan (2024)</t>
  </si>
  <si>
    <t xml:space="preserve">Used "Zhao (2025)"; verify first author against the paper</t>
  </si>
  <si>
    <t xml:space="preserve">Ausin et al. (2023) / Markel (2022)</t>
  </si>
  <si>
    <t xml:space="preserve">Used "Ausin et al. (2023)"; verify first author against the paper</t>
  </si>
  <si>
    <t xml:space="preserve">Chen (2025) / Chen et al. (2025)</t>
  </si>
  <si>
    <t xml:space="preserve">Used "Chen et al. (2025)"; verify first author against the paper</t>
  </si>
  <si>
    <t xml:space="preserve">Huang et al. (2023) / Anna et al. (2023)</t>
  </si>
  <si>
    <t xml:space="preserve">Used "Huang et al. (2023)"; verify first author against the paper</t>
  </si>
  <si>
    <t xml:space="preserve">Zhou et al. (2025) / Qing (2025)</t>
  </si>
  <si>
    <t xml:space="preserve">Used "Zhou et al. (2025)"; verify first author against the paper</t>
  </si>
  <si>
    <t xml:space="preserve">Hong and Guo (2025) / Xiaoqing &amp; Liguo (2025)</t>
  </si>
  <si>
    <t xml:space="preserve">Used "Hong and Guo (2025)"; verify first author against the paper</t>
  </si>
  <si>
    <t xml:space="preserve">Pan et al. (2025) / Mengru et al. (2025)</t>
  </si>
  <si>
    <t xml:space="preserve">Used "Pan et al. (2025)"; verify first author against the paper</t>
  </si>
  <si>
    <t xml:space="preserve">Lee et al. (2022) / Yen (2022)</t>
  </si>
  <si>
    <t xml:space="preserve">Used "Lee et al. (2022)"; verify first author against the paper</t>
  </si>
  <si>
    <t xml:space="preserve">Xu et al. (2025) / Liu-Jie et al. (2025)</t>
  </si>
  <si>
    <t xml:space="preserve">Used "Xu et al. (2025)"; verify first author against the paper</t>
  </si>
  <si>
    <t xml:space="preserve">Lim et al.</t>
  </si>
  <si>
    <t xml:space="preserve">Identical values for two different outcomes</t>
  </si>
  <si>
    <t xml:space="preserve">WB5: 'Identifying problems: Specificity' and 'Generating solutions: Validity' (Pre-test) have identical n/M/SD</t>
  </si>
  <si>
    <t xml:space="preserve">Kept both rows; check the paper (possible copy-paste error)</t>
  </si>
  <si>
    <t xml:space="preserve">Zhao</t>
  </si>
  <si>
    <t xml:space="preserve">Data entry error</t>
  </si>
  <si>
    <t xml:space="preserve">E.S file: "Content Summarization Group 1" post-test control mean = 3.23; Cognitive workbook gives 33.23 (SD 4.18)</t>
  </si>
  <si>
    <t xml:space="preserve">Corrected to 33.23</t>
  </si>
  <si>
    <t xml:space="preserve">E.S file: "Content Summarization Group 2" post-test control mean = 3.23; Cognitive workbook gives 33.23 (SD 4.18)</t>
  </si>
  <si>
    <t xml:space="preserve">E.S file: "Content Summarization Group 3" post-test control mean = 3.23; Cognitive workbook gives 33.23 (SD 4.18)</t>
  </si>
  <si>
    <t xml:space="preserve">Lademann et al.</t>
  </si>
  <si>
    <t xml:space="preserve">Full text not uploaded</t>
  </si>
  <si>
    <t xml:space="preserve">PhysRevPhysEducRes.21.html contains only the abstract/landing page</t>
  </si>
  <si>
    <t xml:space="preserve">Kept your workbook row; please upload the PDF to extract cognitive load, emotions, self-efficacy and learning performance outcomes</t>
  </si>
  <si>
    <t xml:space="preserve">Mislabelled outcomes in curiosity workbook</t>
  </si>
  <si>
    <t xml:space="preserve">Rows "Knowledge seeking" and "Exploration" are actually "Interest in education" and "Self-directed learning" (Table 3)</t>
  </si>
  <si>
    <t xml:space="preserve">Re-extracted all 6 outcomes from the PDF</t>
  </si>
  <si>
    <t xml:space="preserve">Baseline entered as post-test</t>
  </si>
  <si>
    <t xml:space="preserve">Curiosity trait and Perception of curiosity values in curiosity workbook are baseline profile measures (Table 2)</t>
  </si>
  <si>
    <t xml:space="preserve">Recoded as Pre-test; added post-intervention outcomes (exploration time, learning progress, divergent QA)</t>
  </si>
  <si>
    <t xml:space="preserve">Baseline entered as post-test; wrong country</t>
  </si>
  <si>
    <t xml:space="preserve">Curiosity values are Table 1 profile (baseline) measures; study was in France (workbook says China); comparator is a hand-crafted AI agent (active control)</t>
  </si>
  <si>
    <t xml:space="preserve">Recoded as Pre-test, country = France; added t-based post outcomes</t>
  </si>
  <si>
    <t xml:space="preserve">Non-comparable groups</t>
  </si>
  <si>
    <t xml:space="preserve">Curiosity workbook compared different questionnaire items answered by listeners (n=28) vs non-listeners (n=20)</t>
  </si>
  <si>
    <t xml:space="preserve">Replaced with AI users vs non-users on identical items (observational, excluded from primary analysis)</t>
  </si>
  <si>
    <t xml:space="preserve">Unit of analysis</t>
  </si>
  <si>
    <t xml:space="preserve">Paper analysed n=160 expert ratings (20 students x 8 raters)</t>
  </si>
  <si>
    <t xml:space="preserve">Entered n=20 per condition (students); within-subjects design</t>
  </si>
  <si>
    <t xml:space="preserve">Implausible SDs</t>
  </si>
  <si>
    <t xml:space="preserve">Total correct rate 0.63 +/- 0.02 vs 0.88 +/- 0.02 (n=44) would give d &gt; 12</t>
  </si>
  <si>
    <t xml:space="preserve">Used paired t = 8.613 to compute d_z = t/sqrt(n)</t>
  </si>
  <si>
    <t xml:space="preserve">Non-parametric statistics only</t>
  </si>
  <si>
    <t xml:space="preserve">Only Mann-Whitney U / z reported (no means/SDs)</t>
  </si>
  <si>
    <t xml:space="preserve">d computed from z via r = z/sqrt(N); comparator also used AI (active control)</t>
  </si>
  <si>
    <t xml:space="preserve">Table vs text mismatch</t>
  </si>
  <si>
    <t xml:space="preserve">Correlations in Table 2 differ from those reported in text</t>
  </si>
  <si>
    <t xml:space="preserve">Used text values; check with author</t>
  </si>
  <si>
    <t xml:space="preserve">Latent correlations .711/.813 (Table 3) vs .788/.657 (text)</t>
  </si>
  <si>
    <t xml:space="preserve">Used Table 3 values</t>
  </si>
  <si>
    <t xml:space="preserve">Inconsistent validity tables</t>
  </si>
  <si>
    <t xml:space="preserve">Fornell-Larcker off-diagonals exceed diagonals</t>
  </si>
  <si>
    <t xml:space="preserve">Used Table 2 correlations; treat with caution</t>
  </si>
  <si>
    <t xml:space="preserve">Implausibly high correlations</t>
  </si>
  <si>
    <t xml:space="preserve">AI literacy - engagement r = .94</t>
  </si>
  <si>
    <t xml:space="preserve">Recorded as reported; consider sensitivity analysis without this study</t>
  </si>
  <si>
    <t xml:space="preserve">Liu</t>
  </si>
  <si>
    <t xml:space="preserve">Suspicious SD ratio</t>
  </si>
  <si>
    <t xml:space="preserve">Language Proficiency (Group 1) (Pre-test): SDs 0.917 vs 10.262</t>
  </si>
  <si>
    <t xml:space="preserve">Check against the paper</t>
  </si>
  <si>
    <t xml:space="preserve">Katona &amp; Gyonyoru</t>
  </si>
  <si>
    <t xml:space="preserve">Large baseline difference</t>
  </si>
  <si>
    <t xml:space="preserve">Learning achievement pre-test means 55.2 vs 82.3</t>
  </si>
  <si>
    <t xml:space="preserve">Check whether values/groups are swapped</t>
  </si>
  <si>
    <t xml:space="preserve">Essel et al.</t>
  </si>
  <si>
    <t xml:space="preserve">Course Achiement (Pre-test): SDs 4.95 vs 0.49</t>
  </si>
  <si>
    <t xml:space="preserve">Xiao</t>
  </si>
  <si>
    <t xml:space="preserve">Listening Skills pre-test means 4.23 vs 5.75</t>
  </si>
  <si>
    <t xml:space="preserve">Stored Hedges' g differs from recomputed</t>
  </si>
  <si>
    <t xml:space="preserve">Language Proficiency (Group 1) (Post-test): your workbook g = -0.034; recomputed from n/M/SD g = 9.040</t>
  </si>
  <si>
    <t xml:space="preserve">Workbook now uses the formula value; check which is right</t>
  </si>
  <si>
    <t xml:space="preserve">Extreme effect size (|g| &gt; 3)</t>
  </si>
  <si>
    <t xml:space="preserve">Language Proficiency (Group 1) (Post-test): g = 9.04</t>
  </si>
  <si>
    <t xml:space="preserve">Verify M/SD (SE vs SD confusion?) and consider sensitivity analysis excluding this row</t>
  </si>
  <si>
    <t xml:space="preserve">Fathi et al.</t>
  </si>
  <si>
    <t xml:space="preserve">Lexicon (Post-test): your workbook g = 0.085; recomputed from n/M/SD g = 0.849</t>
  </si>
  <si>
    <t xml:space="preserve">Grammatical range and Accuracy (Post-test): your workbook g = 0.183; recomputed from n/M/SD g = 0.826</t>
  </si>
  <si>
    <t xml:space="preserve">Course Achiement (Post-test): g = 4.53</t>
  </si>
  <si>
    <t xml:space="preserve">Language Precision (Post-test): your workbook g = 2.246; recomputed from n/M/SD g = 10.246</t>
  </si>
  <si>
    <t xml:space="preserve">Language Precision (Post-test): g = 10.25</t>
  </si>
  <si>
    <t xml:space="preserve">Content Summarization (Pre-test): your workbook g = 0.311; recomputed from n/M/SD g = -0.311</t>
  </si>
  <si>
    <t xml:space="preserve">Content Summarization (Post-test): your workbook g = 1.229; recomputed from n/M/SD g = 7.229</t>
  </si>
  <si>
    <t xml:space="preserve">Content Summarization (Post-test): g = 7.23</t>
  </si>
  <si>
    <t xml:space="preserve">Creative Writing (Post-test): g = 4.42</t>
  </si>
  <si>
    <t xml:space="preserve">Ausin et al.</t>
  </si>
  <si>
    <t xml:space="preserve">Students' Performance (Experiment 1) (Post-test): your workbook g = 0.260; recomputed from n/M/SD g = -0.260</t>
  </si>
  <si>
    <t xml:space="preserve">Students' Performance (Experiment 2) (Post-test): your workbook g = 0.582; recomputed from n/M/SD g = -0.582</t>
  </si>
  <si>
    <t xml:space="preserve">Zhou et al.</t>
  </si>
  <si>
    <t xml:space="preserve">English Speaking Skills (Post-test): your workbook g = 0.015; recomputed from n/M/SD g = 0.615</t>
  </si>
  <si>
    <t xml:space="preserve">Feng and Wang</t>
  </si>
  <si>
    <t xml:space="preserve">English reading comprehension (Post-test): g = 7.35</t>
  </si>
  <si>
    <t xml:space="preserve">English speaking (Post-test): g = 6.49</t>
  </si>
  <si>
    <t xml:space="preserve">Elmaadaway et al.</t>
  </si>
  <si>
    <t xml:space="preserve">Fluency and accuracy (Post-test): g = 4.55</t>
  </si>
  <si>
    <t xml:space="preserve">Vocabulary (Post-test): g = 3.59</t>
  </si>
  <si>
    <t xml:space="preserve">Comprehension (Post-test): g = 4.39</t>
  </si>
  <si>
    <t xml:space="preserve">Oral reading skill (Post-test): g = 5.70</t>
  </si>
  <si>
    <t xml:space="preserve">Kruk and Kałużna</t>
  </si>
  <si>
    <t xml:space="preserve">Curiosity (Post-test): your workbook g = 2.419; recomputed from n/M/SD g = 0.655</t>
  </si>
  <si>
    <t xml:space="preserve">Kim and Cho</t>
  </si>
  <si>
    <t xml:space="preserve">Perceived curiosity (Pre-test): your workbook g = -0.120; recomputed from n/M/SD g = -0.320</t>
  </si>
  <si>
    <t xml:space="preserve">Content Engagement (Pre-test): your workbook g = 3.290; recomputed from n/M/SD g = -0.290</t>
  </si>
  <si>
    <t xml:space="preserve">Exploration (Pre-test): your workbook g = 0.292; recomputed from n/M/SD g = -0.132</t>
  </si>
  <si>
    <t xml:space="preserve">Exploration (Post-test): your workbook g = 1.075; recomputed from n/M/SD g = 0.641</t>
  </si>
  <si>
    <t xml:space="preserve">Huang et al.</t>
  </si>
  <si>
    <t xml:space="preserve">Intrinsic motivation (Post-test): your workbook g = 0.315; recomputed from n/M/SD g = -0.242</t>
  </si>
  <si>
    <t xml:space="preserve">Urban</t>
  </si>
  <si>
    <t xml:space="preserve">Interest (Post-test): your workbook g = 0.430; recomputed from n/M/SD g = 1.363</t>
  </si>
  <si>
    <t xml:space="preserve">Tasdelen and Bodemer</t>
  </si>
  <si>
    <t xml:space="preserve">Interest (Pre-test): your workbook g = 4.415; recomputed from n/M/SD g = -0.051</t>
  </si>
  <si>
    <t xml:space="preserve">Interest (Post-test): your workbook g = -0.265; recomputed from n/M/SD g = 0.100</t>
  </si>
  <si>
    <t xml:space="preserve">Intrinsic motivation (Pre-test): your workbook g = 0.009; recomputed from n/M/SD g = 0.377</t>
  </si>
  <si>
    <t xml:space="preserve">Intrinsic motivation (Post-test): your workbook g = 0.117; recomputed from n/M/SD g = 0.487</t>
  </si>
  <si>
    <t xml:space="preserve">Rad</t>
  </si>
  <si>
    <t xml:space="preserve">Cognitive engagement (Pre-test): your workbook g = 4.462; recomputed from n/M/SD g = -0.037</t>
  </si>
  <si>
    <t xml:space="preserve">Cognitive engagement (Post-test): your workbook g = 3.306; recomputed from n/M/SD g = 2.621</t>
  </si>
  <si>
    <t xml:space="preserve">Fung et al.</t>
  </si>
  <si>
    <t xml:space="preserve">Intrinsic motivation (Post-test): your workbook g = 2.612; recomputed from n/M/SD g = 0.612</t>
  </si>
  <si>
    <t xml:space="preserve">Yang et al.</t>
  </si>
  <si>
    <t xml:space="preserve">cognitive load (GAIER) (Post-test): g = -5.61</t>
  </si>
  <si>
    <t xml:space="preserve">cognitive load (AR) (Post-test): g = -5.28</t>
  </si>
  <si>
    <t xml:space="preserve">Hong and Guo</t>
  </si>
  <si>
    <t xml:space="preserve">Cognitive load (1) (Post-test): g = 9.34</t>
  </si>
  <si>
    <t xml:space="preserve">Cognitive load (2) (Post-test): g = 4.78</t>
  </si>
  <si>
    <t xml:space="preserve">Cognitive load (3) (Post-test): g = 4.63</t>
  </si>
  <si>
    <t xml:space="preserve">Language Precision Group 2 (Post-test): g = 4.86</t>
  </si>
  <si>
    <t xml:space="preserve">Language Precision Group 3 (Post-test): g = 4.73</t>
  </si>
  <si>
    <t xml:space="preserve">Content Summarization Group 1 (Post-test): g = 10.14</t>
  </si>
  <si>
    <t xml:space="preserve">Content Summarization Group 3 (Post-test): g = 6.97</t>
  </si>
  <si>
    <t xml:space="preserve">Creative Writing Group 1 (Post-test): g = 6.83</t>
  </si>
  <si>
    <t xml:space="preserve">Creative Writing Group 2 (Post-test): g = 4.04</t>
  </si>
  <si>
    <t xml:space="preserve">Variable / category</t>
  </si>
  <si>
    <t xml:space="preserve">Definition / coding rule</t>
  </si>
  <si>
    <t xml:space="preserve">Examples from the dataset</t>
  </si>
  <si>
    <t xml:space="preserve">Outcomes reflecting knowledge, skills, thinking or cognitive processing.</t>
  </si>
  <si>
    <t xml:space="preserve">Learning achievement, writing, critical thinking, cognitive load</t>
  </si>
  <si>
    <t xml:space="preserve">Motivational, affective, self-regulatory, social and curiosity-related outcomes, and attitudes toward AI.</t>
  </si>
  <si>
    <t xml:space="preserve">Engagement, motivation, anxiety, SRL, collaboration, curiosity</t>
  </si>
  <si>
    <t xml:space="preserve">Acquisition/recall/understanding of domain knowledge; achievement &amp; knowledge tests, vocabulary, language knowledge.</t>
  </si>
  <si>
    <t xml:space="preserve">Learning achievement, knowledge of EFM, mathematics knowledge</t>
  </si>
  <si>
    <t xml:space="preserve">Performance of a procedural or productive skill (language skills, writing, speaking, drawing, programming, dance).</t>
  </si>
  <si>
    <t xml:space="preserve">Overall writing, pronunciation, role-play performance</t>
  </si>
  <si>
    <t xml:space="preserve">Critical thinking, problem solving, creativity, computational/algorithmic thinking, reasoning, question generation.</t>
  </si>
  <si>
    <t xml:space="preserve">Clinical reasoning, creative problem solving, divergent questions</t>
  </si>
  <si>
    <t xml:space="preserve">Perceived mental effort / load during learning. Coded Direction = -1 (lower = better). Verify scale direction for each study.</t>
  </si>
  <si>
    <t xml:space="preserve">NASA-TLX, Paas scale</t>
  </si>
  <si>
    <t xml:space="preserve">Motivation, engagement (behavioural, cognitive, emotional, agentic), interest/attitude toward learning, self-efficacy, confidence (from your SES workbook scheme).</t>
  </si>
  <si>
    <t xml:space="preserve">Writing motivation, ARCS motivation, engagement</t>
  </si>
  <si>
    <t xml:space="preserve">Emotions and affect: enjoyment, satisfaction, happiness, anxiety, stress, well-being (lower anxiety/stress = better; set Direction = -1).</t>
  </si>
  <si>
    <t xml:space="preserve">Satisfaction with feedback, writing anxiety</t>
  </si>
  <si>
    <t xml:space="preserve">Self-regulated / self-directed learning, metacognition, planning, goal setting, help seeking, time management, autonomy.</t>
  </si>
  <si>
    <t xml:space="preserve">Self-directed learning, metacognitive awareness</t>
  </si>
  <si>
    <t xml:space="preserve">Collaboration, peer interaction, cooperativity, perspective taking, social regulation.</t>
  </si>
  <si>
    <t xml:space="preserve">Peer interaction, collaboration, cooperativity</t>
  </si>
  <si>
    <t xml:space="preserve">Curiosity and curiosity-driven behaviour (from your curiosity workbook). Dimension coded in 'Curiosity dimension'.</t>
  </si>
  <si>
    <t xml:space="preserve">Curiosity trait, exploration time, interest in education</t>
  </si>
  <si>
    <t xml:space="preserve">Desire for knowledge/understanding; interest, intrinsic motivation to learn, knowledge seeking.</t>
  </si>
  <si>
    <t xml:space="preserve">Perception of curiosity, interest</t>
  </si>
  <si>
    <t xml:space="preserve">Curiosity elicited by novel stimuli; exploration behaviour, learning desire.</t>
  </si>
  <si>
    <t xml:space="preserve">Exploration time</t>
  </si>
  <si>
    <t xml:space="preserve">Stable dispositional curiosity; speculation/elaboration behaviour.</t>
  </si>
  <si>
    <t xml:space="preserve">Curiosity trait questionnaire</t>
  </si>
  <si>
    <t xml:space="preserve">Perceived usefulness, ease of use, intention to use, attitudes toward AI in education. Report separately - not a learning outcome in the strict sense.</t>
  </si>
  <si>
    <t xml:space="preserve">Perceived usefulness, intention to use</t>
  </si>
  <si>
    <t xml:space="preserve">Rule-based or NLP chatbots / conversational pedagogical agents not described as LLM-based.</t>
  </si>
  <si>
    <t xml:space="preserve">Landbot chatbot, Kids Ask agent</t>
  </si>
  <si>
    <t xml:space="preserve">ChatGPT, GPT-3/4, other LLM chatbots, GenAI image/podcast tools.</t>
  </si>
  <si>
    <t xml:space="preserve">ChatGPT, Dou Bao, NotebookLM</t>
  </si>
  <si>
    <t xml:space="preserve">ITS, adaptive learning systems, reinforcement-learning tutors, AI speech-recognition feedback apps.</t>
  </si>
  <si>
    <t xml:space="preserve">Edmentum Exact Path, adaptive speaking app</t>
  </si>
  <si>
    <t xml:space="preserve">Physical/social robots with AI.</t>
  </si>
  <si>
    <t xml:space="preserve">Social robot, AI robot image recognition</t>
  </si>
  <si>
    <t xml:space="preserve">Other AI tool</t>
  </si>
  <si>
    <t xml:space="preserve">AI recognition / generation / analytics tools not fitting the above.</t>
  </si>
  <si>
    <t xml:space="preserve">AI Smart Sketchpad, AutoDraw, medical imaging AI</t>
  </si>
  <si>
    <t xml:space="preserve">Pre-test / Post-test / Gain</t>
  </si>
  <si>
    <t xml:space="preserve">Pre-test rows document baseline equivalence (Include = N). Post-test or gain rows are pooled (Include = Y).</t>
  </si>
  <si>
    <t xml:space="preserve">d = (tmean - cmean) / SDpooled; SDpooled = sqrt(((tn-1)tsd^2 + (cn-1)csd^2)/(tn+cn-2)); multiplied by Direction.</t>
  </si>
  <si>
    <t xml:space="preserve">Independent-samples t: d = t * sqrt(1/tn + 1/cn).</t>
  </si>
  <si>
    <t xml:space="preserve">Two-group F (df1 = 1): d = sqrt(F) * sqrt(1/tn + 1/cn).</t>
  </si>
  <si>
    <t xml:space="preserve">Mann-Whitney / Wilcoxon z: r = z / sqrt(N); d = 2r / sqrt(1 - r^2).</t>
  </si>
  <si>
    <t xml:space="preserve">Within-subjects paired t: d_z = t / sqrt(n); Var = 1/n + g^2/(2n); J = 1 - 3/(4(n-1)-1).</t>
  </si>
  <si>
    <t xml:space="preserve">Hedges' g</t>
  </si>
  <si>
    <t xml:space="preserve">g = d * J, J = 1 - 3/(4(tn+cn) - 9). Var(g) = (tn+cn)/(tn*cn) + g^2/(2(tn+cn)). SE = sqrt(Var). 95% CI = g +/- 1.96*SE. z = g/SE. Weight = 1/Var (fixed-effect; equivalent to _meta_weight in Stata meta).</t>
  </si>
  <si>
    <t xml:space="preserve">Random-effects pooling (Summary)</t>
  </si>
  <si>
    <t xml:space="preserve">DerSimonian-Laird: Q = Sum(w g^2) - (Sum w g)^2/Sum w; tau^2 = max(0,(Q - df)/(Sum w - Sum w^2/Sum w)); g_RE = Sum(g/(v+tau^2)) / Sum(1/(v+tau^2)); I^2 = (Q - df)/Q.</t>
  </si>
  <si>
    <t xml:space="preserve">Correlational effects</t>
  </si>
  <si>
    <t xml:space="preserve">Fisher z = atanh(r), Var = 1/(N-3); pooled z back-transformed with FISHERINV. beta (standardized path) rows kept for reference but Include = N.</t>
  </si>
  <si>
    <t xml:space="preserve">Less than 1 week; 1 week to 1 month; 1 to 4 months; More than 4 months (from weeks in 'Intervention duration W(S)' when not coded in source).</t>
  </si>
  <si>
    <t xml:space="preserve">W(S) = weeks (sessions)</t>
  </si>
  <si>
    <t xml:space="preserve">Primary / Secondary / Higher education / K-12 unspecified. '(inferred from title)' = not coded in your workbook; verify.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</si>
</sst>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0"/>
    <numFmt numFmtId="167" formatCode="General"/>
    <numFmt numFmtId="168" formatCode="0"/>
    <numFmt numFmtId="169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385723"/>
        <bgColor rgb="FF333300"/>
      </patternFill>
    </fill>
    <fill>
      <patternFill patternType="solid">
        <fgColor rgb="FF7F6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3857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35.0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23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23.85" hidden="false" customHeight="false" outlineLevel="0" collapsed="false">
      <c r="A2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3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2" min="11" style="0" width="28"/>
    <col collapsed="false" customWidth="true" hidden="false" outlineLevel="0" max="13" min="13" style="0" width="12"/>
    <col collapsed="false" customWidth="true" hidden="false" outlineLevel="0" max="14" min="14" style="0" width="9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16"/>
    <col collapsed="false" customWidth="true" hidden="false" outlineLevel="0" max="19" min="19" style="0" width="32"/>
    <col collapsed="false" customWidth="true" hidden="false" outlineLevel="0" max="20" min="20" style="0" width="26"/>
    <col collapsed="false" customWidth="true" hidden="false" outlineLevel="0" max="21" min="21" style="0" width="11"/>
    <col collapsed="false" customWidth="true" hidden="false" outlineLevel="0" max="27" min="22" style="0" width="7"/>
    <col collapsed="false" customWidth="true" hidden="false" outlineLevel="0" max="29" min="28" style="0" width="10"/>
    <col collapsed="false" customWidth="true" hidden="false" outlineLevel="0" max="30" min="30" style="0" width="8"/>
    <col collapsed="false" customWidth="true" hidden="false" outlineLevel="0" max="41" min="31" style="0" width="9"/>
    <col collapsed="false" customWidth="true" hidden="false" outlineLevel="0" max="42" min="42" style="0" width="11"/>
    <col collapsed="false" customWidth="true" hidden="false" outlineLevel="0" max="43" min="43" style="0" width="30"/>
    <col collapsed="false" customWidth="true" hidden="false" outlineLevel="0" max="44" min="44" style="0" width="45"/>
    <col collapsed="false" customWidth="true" hidden="true" outlineLevel="0" max="50" min="45" style="0" width="7"/>
  </cols>
  <sheetData>
    <row r="1" customFormat="false" ht="42" hidden="false" customHeight="tru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  <c r="Q1" s="4" t="s">
        <v>34</v>
      </c>
      <c r="R1" s="4" t="s">
        <v>35</v>
      </c>
      <c r="S1" s="4" t="s">
        <v>36</v>
      </c>
      <c r="T1" s="4" t="s">
        <v>37</v>
      </c>
      <c r="U1" s="4" t="s">
        <v>38</v>
      </c>
      <c r="V1" s="4" t="s">
        <v>39</v>
      </c>
      <c r="W1" s="4" t="s">
        <v>40</v>
      </c>
      <c r="X1" s="4" t="s">
        <v>41</v>
      </c>
      <c r="Y1" s="4" t="s">
        <v>42</v>
      </c>
      <c r="Z1" s="4" t="s">
        <v>43</v>
      </c>
      <c r="AA1" s="4" t="s">
        <v>44</v>
      </c>
      <c r="AB1" s="4" t="s">
        <v>45</v>
      </c>
      <c r="AC1" s="4" t="s">
        <v>46</v>
      </c>
      <c r="AD1" s="4" t="s">
        <v>47</v>
      </c>
      <c r="AE1" s="4" t="s">
        <v>48</v>
      </c>
      <c r="AF1" s="4" t="s">
        <v>49</v>
      </c>
      <c r="AG1" s="4" t="s">
        <v>50</v>
      </c>
      <c r="AH1" s="4" t="s">
        <v>51</v>
      </c>
      <c r="AI1" s="4" t="s">
        <v>52</v>
      </c>
      <c r="AJ1" s="4" t="s">
        <v>53</v>
      </c>
      <c r="AK1" s="4" t="s">
        <v>54</v>
      </c>
      <c r="AL1" s="4" t="s">
        <v>55</v>
      </c>
      <c r="AM1" s="4" t="s">
        <v>56</v>
      </c>
      <c r="AN1" s="4" t="s">
        <v>57</v>
      </c>
      <c r="AO1" s="4" t="s">
        <v>58</v>
      </c>
      <c r="AP1" s="4" t="s">
        <v>59</v>
      </c>
      <c r="AQ1" s="4" t="s">
        <v>60</v>
      </c>
      <c r="AR1" s="4" t="s">
        <v>61</v>
      </c>
      <c r="AS1" s="4" t="s">
        <v>62</v>
      </c>
      <c r="AT1" s="4" t="s">
        <v>63</v>
      </c>
      <c r="AU1" s="4" t="s">
        <v>64</v>
      </c>
      <c r="AV1" s="4" t="s">
        <v>65</v>
      </c>
      <c r="AW1" s="4" t="s">
        <v>66</v>
      </c>
      <c r="AX1" s="4" t="s">
        <v>67</v>
      </c>
    </row>
    <row r="2" customFormat="false" ht="15" hidden="false" customHeight="false" outlineLevel="0" collapsed="false">
      <c r="A2" s="5" t="s">
        <v>68</v>
      </c>
      <c r="B2" s="5" t="s">
        <v>69</v>
      </c>
      <c r="C2" s="5" t="s">
        <v>70</v>
      </c>
      <c r="D2" s="5" t="n">
        <v>2022</v>
      </c>
      <c r="E2" s="5" t="s">
        <v>71</v>
      </c>
      <c r="F2" s="5" t="s">
        <v>72</v>
      </c>
      <c r="G2" s="5" t="s">
        <v>73</v>
      </c>
      <c r="H2" s="5" t="s">
        <v>74</v>
      </c>
      <c r="I2" s="5" t="s">
        <v>75</v>
      </c>
      <c r="J2" s="5" t="s">
        <v>76</v>
      </c>
      <c r="K2" s="5" t="s">
        <v>77</v>
      </c>
      <c r="L2" s="5" t="s">
        <v>78</v>
      </c>
      <c r="M2" s="5" t="s">
        <v>79</v>
      </c>
      <c r="N2" s="5" t="s">
        <v>80</v>
      </c>
      <c r="O2" s="5" t="s">
        <v>81</v>
      </c>
      <c r="P2" s="6" t="s">
        <v>82</v>
      </c>
      <c r="Q2" s="6" t="s">
        <v>83</v>
      </c>
      <c r="R2" s="5"/>
      <c r="S2" s="6" t="s">
        <v>84</v>
      </c>
      <c r="T2" s="5" t="s">
        <v>85</v>
      </c>
      <c r="U2" s="6" t="s">
        <v>86</v>
      </c>
      <c r="V2" s="5" t="n">
        <v>25</v>
      </c>
      <c r="W2" s="5"/>
      <c r="X2" s="5"/>
      <c r="Y2" s="5" t="n">
        <v>26</v>
      </c>
      <c r="Z2" s="5"/>
      <c r="AA2" s="5"/>
      <c r="AB2" s="5" t="s">
        <v>87</v>
      </c>
      <c r="AC2" s="5" t="n">
        <v>17.87</v>
      </c>
      <c r="AD2" s="5" t="n">
        <v>1</v>
      </c>
      <c r="AE2" s="7" t="n">
        <f aca="false">IFERROR(IF(AB2="MSD",IF(COUNT(V2,W2,X2,Y2,Z2,AA2)&lt;6,"",(W2-Z2)/SQRT(((V2-1)*X2^2+(Y2-1)*AA2^2)/(V2+Y2-2))*AD2),IF(AB2="t",AC2*SQRT(1/V2+1/Y2)*AD2,IF(AB2="F",SQRT(AC2)*SQRT(1/V2+1/Y2)*AD2,IF(AB2="z",2*(AC2/SQRT(V2+Y2))/SQRT(1-(AC2/SQRT(V2+Y2))^2)*AD2,IF(AB2="t_paired",AC2/SQRT(V2)*AD2,""))))),"")</f>
        <v>1.18410628421088</v>
      </c>
      <c r="AF2" s="7" t="n">
        <f aca="false">IF(AE2="","",IF(AB2="t_paired",1-3/(4*(V2-1)-1),1-3/(4*(V2+Y2)-9)))</f>
        <v>0.984615384615385</v>
      </c>
      <c r="AG2" s="7" t="n">
        <f aca="false">IF(AE2="","",AE2*AF2)</f>
        <v>1.16588926445379</v>
      </c>
      <c r="AH2" s="7" t="n">
        <f aca="false">IF(AG2="","",IF(AB2="t_paired",1/V2+AG2^2/(2*V2),(V2+Y2)/(V2*Y2)+AG2^2/(2*(V2+Y2))))</f>
        <v>0.0917879872553482</v>
      </c>
      <c r="AI2" s="7" t="n">
        <f aca="false">IF(AH2="","",SQRT(AH2))</f>
        <v>0.30296532351962</v>
      </c>
      <c r="AJ2" s="7" t="n">
        <f aca="false">IF(AI2="","",AG2-1.96*AI2)</f>
        <v>0.572077230355332</v>
      </c>
      <c r="AK2" s="7" t="n">
        <f aca="false">IF(AI2="","",AG2+1.96*AI2)</f>
        <v>1.75970129855224</v>
      </c>
      <c r="AL2" s="7" t="n">
        <f aca="false">IF(AI2="","",AG2/AI2)</f>
        <v>3.84825976421781</v>
      </c>
      <c r="AM2" s="8" t="n">
        <f aca="false">IF(AL2="","",2*(1-NORMSDIST(ABS(AL2))))</f>
        <v>0.000118959876303171</v>
      </c>
      <c r="AN2" s="9" t="n">
        <f aca="false">IF(COUNT(V2)=0,"",IF(AB2="t_paired",V2,V2+N(Y2)))</f>
        <v>51</v>
      </c>
      <c r="AO2" s="7" t="n">
        <f aca="false">IF(AH2="","",1/AH2)</f>
        <v>10.8946718399878</v>
      </c>
      <c r="AP2" s="5" t="s">
        <v>88</v>
      </c>
      <c r="AQ2" s="5" t="s">
        <v>89</v>
      </c>
      <c r="AR2" s="5" t="s">
        <v>90</v>
      </c>
      <c r="AS2" s="7" t="n">
        <f aca="false">IF(AND(AP2="Y",ISNUMBER(AO2)),AO2,0)</f>
        <v>10.8946718399878</v>
      </c>
      <c r="AT2" s="7" t="n">
        <f aca="false">IF(AS2&gt;0,AS2*AG2,0)</f>
        <v>12.7019809379888</v>
      </c>
      <c r="AU2" s="7" t="n">
        <f aca="false">IF(AS2&gt;0,AS2*AG2^2,0)</f>
        <v>14.8091032128977</v>
      </c>
      <c r="AV2" s="9" t="n">
        <f aca="false">IF(AS2&gt;0,AS2^2,0)</f>
        <v>118.693874501023</v>
      </c>
      <c r="AW2" s="7" t="n">
        <f aca="false">IF(AS2&gt;0,AG2,0)</f>
        <v>1.16588926445379</v>
      </c>
      <c r="AX2" s="7" t="n">
        <f aca="false">IF(AS2&gt;0,AH2,1)</f>
        <v>0.0917879872553482</v>
      </c>
    </row>
    <row r="3" customFormat="false" ht="15" hidden="false" customHeight="false" outlineLevel="0" collapsed="false">
      <c r="A3" s="5" t="s">
        <v>91</v>
      </c>
      <c r="B3" s="5" t="s">
        <v>69</v>
      </c>
      <c r="C3" s="5" t="s">
        <v>70</v>
      </c>
      <c r="D3" s="5" t="n">
        <v>2022</v>
      </c>
      <c r="E3" s="5" t="s">
        <v>71</v>
      </c>
      <c r="F3" s="5" t="s">
        <v>72</v>
      </c>
      <c r="G3" s="5" t="s">
        <v>73</v>
      </c>
      <c r="H3" s="5" t="s">
        <v>74</v>
      </c>
      <c r="I3" s="5" t="s">
        <v>75</v>
      </c>
      <c r="J3" s="5" t="s">
        <v>76</v>
      </c>
      <c r="K3" s="5" t="s">
        <v>77</v>
      </c>
      <c r="L3" s="5" t="s">
        <v>78</v>
      </c>
      <c r="M3" s="5" t="s">
        <v>79</v>
      </c>
      <c r="N3" s="5" t="s">
        <v>80</v>
      </c>
      <c r="O3" s="5" t="s">
        <v>81</v>
      </c>
      <c r="P3" s="6" t="s">
        <v>82</v>
      </c>
      <c r="Q3" s="6" t="s">
        <v>83</v>
      </c>
      <c r="R3" s="5"/>
      <c r="S3" s="6" t="s">
        <v>92</v>
      </c>
      <c r="T3" s="5" t="s">
        <v>93</v>
      </c>
      <c r="U3" s="6" t="s">
        <v>86</v>
      </c>
      <c r="V3" s="5" t="n">
        <v>25</v>
      </c>
      <c r="W3" s="5"/>
      <c r="X3" s="5"/>
      <c r="Y3" s="5" t="n">
        <v>26</v>
      </c>
      <c r="Z3" s="5"/>
      <c r="AA3" s="5"/>
      <c r="AB3" s="5" t="s">
        <v>87</v>
      </c>
      <c r="AC3" s="5" t="n">
        <v>37.48</v>
      </c>
      <c r="AD3" s="5" t="n">
        <v>1</v>
      </c>
      <c r="AE3" s="7" t="n">
        <f aca="false">IFERROR(IF(AB3="MSD",IF(COUNT(V3,W3,X3,Y3,Z3,AA3)&lt;6,"",(W3-Z3)/SQRT(((V3-1)*X3^2+(Y3-1)*AA3^2)/(V3+Y3-2))*AD3),IF(AB3="t",AC3*SQRT(1/V3+1/Y3)*AD3,IF(AB3="F",SQRT(AC3)*SQRT(1/V3+1/Y3)*AD3,IF(AB3="z",2*(AC3/SQRT(V3+Y3))/SQRT(1-(AC3/SQRT(V3+Y3))^2)*AD3,IF(AB3="t_paired",AC3/SQRT(V3)*AD3,""))))),"")</f>
        <v>1.71485814618541</v>
      </c>
      <c r="AF3" s="7" t="n">
        <f aca="false">IF(AE3="","",IF(AB3="t_paired",1-3/(4*(V3-1)-1),1-3/(4*(V3+Y3)-9)))</f>
        <v>0.984615384615385</v>
      </c>
      <c r="AG3" s="7" t="n">
        <f aca="false">IF(AE3="","",AE3*AF3)</f>
        <v>1.68847571316717</v>
      </c>
      <c r="AH3" s="7" t="n">
        <f aca="false">IF(AG3="","",IF(AB3="t_paired",1/V3+AG3^2/(2*V3),(V3+Y3)/(V3*Y3)+AG3^2/(2*(V3+Y3))))</f>
        <v>0.106412030951297</v>
      </c>
      <c r="AI3" s="7" t="n">
        <f aca="false">IF(AH3="","",SQRT(AH3))</f>
        <v>0.326208569708549</v>
      </c>
      <c r="AJ3" s="7" t="n">
        <f aca="false">IF(AI3="","",AG3-1.96*AI3)</f>
        <v>1.04910691653842</v>
      </c>
      <c r="AK3" s="7" t="n">
        <f aca="false">IF(AI3="","",AG3+1.96*AI3)</f>
        <v>2.32784450979593</v>
      </c>
      <c r="AL3" s="7" t="n">
        <f aca="false">IF(AI3="","",AG3/AI3)</f>
        <v>5.1760617897799</v>
      </c>
      <c r="AM3" s="8" t="n">
        <f aca="false">IF(AL3="","",2*(1-NORMSDIST(ABS(AL3))))</f>
        <v>2.26618431797831E-007</v>
      </c>
      <c r="AN3" s="9" t="n">
        <f aca="false">IF(COUNT(V3)=0,"",IF(AB3="t_paired",V3,V3+N(Y3)))</f>
        <v>51</v>
      </c>
      <c r="AO3" s="7" t="n">
        <f aca="false">IF(AH3="","",1/AH3)</f>
        <v>9.39743364599141</v>
      </c>
      <c r="AP3" s="5" t="s">
        <v>88</v>
      </c>
      <c r="AQ3" s="5" t="s">
        <v>89</v>
      </c>
      <c r="AR3" s="5" t="s">
        <v>94</v>
      </c>
      <c r="AS3" s="7" t="n">
        <f aca="false">IF(AND(AP3="Y",ISNUMBER(AO3)),AO3,0)</f>
        <v>9.39743364599141</v>
      </c>
      <c r="AT3" s="7" t="n">
        <f aca="false">IF(AS3&gt;0,AS3*AG3,0)</f>
        <v>15.8673384773565</v>
      </c>
      <c r="AU3" s="7" t="n">
        <f aca="false">IF(AS3&gt;0,AS3*AG3^2,0)</f>
        <v>26.7916156516195</v>
      </c>
      <c r="AV3" s="9" t="n">
        <f aca="false">IF(AS3&gt;0,AS3^2,0)</f>
        <v>88.3117591308114</v>
      </c>
      <c r="AW3" s="7" t="n">
        <f aca="false">IF(AS3&gt;0,AG3,0)</f>
        <v>1.68847571316717</v>
      </c>
      <c r="AX3" s="7" t="n">
        <f aca="false">IF(AS3&gt;0,AH3,1)</f>
        <v>0.106412030951297</v>
      </c>
    </row>
    <row r="4" customFormat="false" ht="15" hidden="false" customHeight="false" outlineLevel="0" collapsed="false">
      <c r="A4" s="5" t="s">
        <v>95</v>
      </c>
      <c r="B4" s="5" t="s">
        <v>69</v>
      </c>
      <c r="C4" s="5" t="s">
        <v>70</v>
      </c>
      <c r="D4" s="5" t="n">
        <v>2022</v>
      </c>
      <c r="E4" s="5" t="s">
        <v>71</v>
      </c>
      <c r="F4" s="5" t="s">
        <v>72</v>
      </c>
      <c r="G4" s="5" t="s">
        <v>73</v>
      </c>
      <c r="H4" s="5" t="s">
        <v>74</v>
      </c>
      <c r="I4" s="5" t="s">
        <v>75</v>
      </c>
      <c r="J4" s="5" t="s">
        <v>76</v>
      </c>
      <c r="K4" s="5" t="s">
        <v>77</v>
      </c>
      <c r="L4" s="5" t="s">
        <v>78</v>
      </c>
      <c r="M4" s="5" t="s">
        <v>79</v>
      </c>
      <c r="N4" s="5" t="s">
        <v>80</v>
      </c>
      <c r="O4" s="5" t="s">
        <v>81</v>
      </c>
      <c r="P4" s="10" t="s">
        <v>82</v>
      </c>
      <c r="Q4" s="10" t="s">
        <v>83</v>
      </c>
      <c r="R4" s="5"/>
      <c r="S4" s="10" t="s">
        <v>96</v>
      </c>
      <c r="T4" s="5" t="s">
        <v>97</v>
      </c>
      <c r="U4" s="10" t="s">
        <v>98</v>
      </c>
      <c r="V4" s="5" t="n">
        <v>25</v>
      </c>
      <c r="W4" s="5" t="n">
        <v>8.24</v>
      </c>
      <c r="X4" s="5" t="n">
        <v>5.56</v>
      </c>
      <c r="Y4" s="5" t="n">
        <v>26</v>
      </c>
      <c r="Z4" s="5" t="n">
        <v>9.61</v>
      </c>
      <c r="AA4" s="5" t="n">
        <v>7.38</v>
      </c>
      <c r="AB4" s="5" t="s">
        <v>99</v>
      </c>
      <c r="AC4" s="5"/>
      <c r="AD4" s="5" t="n">
        <v>1</v>
      </c>
      <c r="AE4" s="7" t="n">
        <f aca="false">IFERROR(IF(AB4="MSD",IF(COUNT(V4,W4,X4,Y4,Z4,AA4)&lt;6,"",(W4-Z4)/SQRT(((V4-1)*X4^2+(Y4-1)*AA4^2)/(V4+Y4-2))*AD4),IF(AB4="t",AC4*SQRT(1/V4+1/Y4)*AD4,IF(AB4="F",SQRT(AC4)*SQRT(1/V4+1/Y4)*AD4,IF(AB4="z",2*(AC4/SQRT(V4+Y4))/SQRT(1-(AC4/SQRT(V4+Y4))^2)*AD4,IF(AB4="t_paired",AC4/SQRT(V4)*AD4,""))))),"")</f>
        <v>-0.209094972827256</v>
      </c>
      <c r="AF4" s="7" t="n">
        <f aca="false">IF(AE4="","",IF(AB4="t_paired",1-3/(4*(V4-1)-1),1-3/(4*(V4+Y4)-9)))</f>
        <v>0.984615384615385</v>
      </c>
      <c r="AG4" s="7" t="n">
        <f aca="false">IF(AE4="","",AE4*AF4)</f>
        <v>-0.205878127091452</v>
      </c>
      <c r="AH4" s="7" t="n">
        <f aca="false">IF(AG4="","",IF(AB4="t_paired",1/V4+AG4^2/(2*V4),(V4+Y4)/(V4*Y4)+AG4^2/(2*(V4+Y4))))</f>
        <v>0.0788770855518785</v>
      </c>
      <c r="AI4" s="7" t="n">
        <f aca="false">IF(AH4="","",SQRT(AH4))</f>
        <v>0.280850646344064</v>
      </c>
      <c r="AJ4" s="7" t="n">
        <f aca="false">IF(AI4="","",AG4-1.96*AI4)</f>
        <v>-0.756345393925818</v>
      </c>
      <c r="AK4" s="7" t="n">
        <f aca="false">IF(AI4="","",AG4+1.96*AI4)</f>
        <v>0.344589139742913</v>
      </c>
      <c r="AL4" s="7" t="n">
        <f aca="false">IF(AI4="","",AG4/AI4)</f>
        <v>-0.733051996751454</v>
      </c>
      <c r="AM4" s="8" t="n">
        <f aca="false">IF(AL4="","",2*(1-NORMSDIST(ABS(AL4))))</f>
        <v>0.463526716406121</v>
      </c>
      <c r="AN4" s="9" t="n">
        <f aca="false">IF(COUNT(V4)=0,"",IF(AB4="t_paired",V4,V4+N(Y4)))</f>
        <v>51</v>
      </c>
      <c r="AO4" s="7" t="n">
        <f aca="false">IF(AH4="","",1/AH4)</f>
        <v>12.6779532104072</v>
      </c>
      <c r="AP4" s="5" t="s">
        <v>100</v>
      </c>
      <c r="AQ4" s="5" t="s">
        <v>89</v>
      </c>
      <c r="AR4" s="5" t="s">
        <v>101</v>
      </c>
      <c r="AS4" s="9" t="n">
        <f aca="false">IF(AND(AP4="Y",ISNUMBER(AO4)),AO4,0)</f>
        <v>0</v>
      </c>
      <c r="AT4" s="7" t="n">
        <f aca="false">IF(AS4&gt;0,AS4*AG4,0)</f>
        <v>0</v>
      </c>
      <c r="AU4" s="7" t="n">
        <f aca="false">IF(AS4&gt;0,AS4*AG4^2,0)</f>
        <v>0</v>
      </c>
      <c r="AV4" s="9" t="n">
        <f aca="false">IF(AS4&gt;0,AS4^2,0)</f>
        <v>0</v>
      </c>
      <c r="AW4" s="7" t="n">
        <f aca="false">IF(AS4&gt;0,AG4,0)</f>
        <v>0</v>
      </c>
      <c r="AX4" s="7" t="n">
        <f aca="false">IF(AS4&gt;0,AH4,1)</f>
        <v>1</v>
      </c>
    </row>
    <row r="5" customFormat="false" ht="15" hidden="false" customHeight="false" outlineLevel="0" collapsed="false">
      <c r="A5" s="5" t="s">
        <v>102</v>
      </c>
      <c r="B5" s="5" t="s">
        <v>69</v>
      </c>
      <c r="C5" s="5" t="s">
        <v>70</v>
      </c>
      <c r="D5" s="5" t="n">
        <v>2022</v>
      </c>
      <c r="E5" s="5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76</v>
      </c>
      <c r="K5" s="5" t="s">
        <v>77</v>
      </c>
      <c r="L5" s="5" t="s">
        <v>78</v>
      </c>
      <c r="M5" s="5" t="s">
        <v>79</v>
      </c>
      <c r="N5" s="5" t="s">
        <v>80</v>
      </c>
      <c r="O5" s="5" t="s">
        <v>81</v>
      </c>
      <c r="P5" s="10" t="s">
        <v>82</v>
      </c>
      <c r="Q5" s="10" t="s">
        <v>103</v>
      </c>
      <c r="R5" s="5"/>
      <c r="S5" s="10" t="s">
        <v>104</v>
      </c>
      <c r="T5" s="5" t="s">
        <v>105</v>
      </c>
      <c r="U5" s="10" t="s">
        <v>98</v>
      </c>
      <c r="V5" s="5" t="n">
        <v>25</v>
      </c>
      <c r="W5" s="5" t="n">
        <v>2.32</v>
      </c>
      <c r="X5" s="5" t="n">
        <v>2.91</v>
      </c>
      <c r="Y5" s="5" t="n">
        <v>26</v>
      </c>
      <c r="Z5" s="5" t="n">
        <v>2.73</v>
      </c>
      <c r="AA5" s="5" t="n">
        <v>2.34</v>
      </c>
      <c r="AB5" s="5" t="s">
        <v>99</v>
      </c>
      <c r="AC5" s="5"/>
      <c r="AD5" s="5" t="n">
        <v>1</v>
      </c>
      <c r="AE5" s="7" t="n">
        <f aca="false">IFERROR(IF(AB5="MSD",IF(COUNT(V5,W5,X5,Y5,Z5,AA5)&lt;6,"",(W5-Z5)/SQRT(((V5-1)*X5^2+(Y5-1)*AA5^2)/(V5+Y5-2))*AD5),IF(AB5="t",AC5*SQRT(1/V5+1/Y5)*AD5,IF(AB5="F",SQRT(AC5)*SQRT(1/V5+1/Y5)*AD5,IF(AB5="z",2*(AC5/SQRT(V5+Y5))/SQRT(1-(AC5/SQRT(V5+Y5))^2)*AD5,IF(AB5="t_paired",AC5/SQRT(V5)*AD5,""))))),"")</f>
        <v>-0.155619136940506</v>
      </c>
      <c r="AF5" s="7" t="n">
        <f aca="false">IF(AE5="","",IF(AB5="t_paired",1-3/(4*(V5-1)-1),1-3/(4*(V5+Y5)-9)))</f>
        <v>0.984615384615385</v>
      </c>
      <c r="AG5" s="7" t="n">
        <f aca="false">IF(AE5="","",AE5*AF5)</f>
        <v>-0.153224996372191</v>
      </c>
      <c r="AH5" s="7" t="n">
        <f aca="false">IF(AG5="","",IF(AB5="t_paired",1/V5+AG5^2/(2*V5),(V5+Y5)/(V5*Y5)+AG5^2/(2*(V5+Y5))))</f>
        <v>0.0786917139469626</v>
      </c>
      <c r="AI5" s="7" t="n">
        <f aca="false">IF(AH5="","",SQRT(AH5))</f>
        <v>0.28052043409877</v>
      </c>
      <c r="AJ5" s="7" t="n">
        <f aca="false">IF(AI5="","",AG5-1.96*AI5)</f>
        <v>-0.70304504720578</v>
      </c>
      <c r="AK5" s="7" t="n">
        <f aca="false">IF(AI5="","",AG5+1.96*AI5)</f>
        <v>0.396595054461399</v>
      </c>
      <c r="AL5" s="7" t="n">
        <f aca="false">IF(AI5="","",AG5/AI5)</f>
        <v>-0.546216880294148</v>
      </c>
      <c r="AM5" s="8" t="n">
        <f aca="false">IF(AL5="","",2*(1-NORMSDIST(ABS(AL5))))</f>
        <v>0.584916864078573</v>
      </c>
      <c r="AN5" s="9" t="n">
        <f aca="false">IF(COUNT(V5)=0,"",IF(AB5="t_paired",V5,V5+N(Y5)))</f>
        <v>51</v>
      </c>
      <c r="AO5" s="7" t="n">
        <f aca="false">IF(AH5="","",1/AH5)</f>
        <v>12.7078182675496</v>
      </c>
      <c r="AP5" s="5" t="s">
        <v>100</v>
      </c>
      <c r="AQ5" s="5" t="s">
        <v>89</v>
      </c>
      <c r="AR5" s="5" t="s">
        <v>106</v>
      </c>
      <c r="AS5" s="9" t="n">
        <f aca="false">IF(AND(AP5="Y",ISNUMBER(AO5)),AO5,0)</f>
        <v>0</v>
      </c>
      <c r="AT5" s="7" t="n">
        <f aca="false">IF(AS5&gt;0,AS5*AG5,0)</f>
        <v>0</v>
      </c>
      <c r="AU5" s="7" t="n">
        <f aca="false">IF(AS5&gt;0,AS5*AG5^2,0)</f>
        <v>0</v>
      </c>
      <c r="AV5" s="9" t="n">
        <f aca="false">IF(AS5&gt;0,AS5^2,0)</f>
        <v>0</v>
      </c>
      <c r="AW5" s="7" t="n">
        <f aca="false">IF(AS5&gt;0,AG5,0)</f>
        <v>0</v>
      </c>
      <c r="AX5" s="7" t="n">
        <f aca="false">IF(AS5&gt;0,AH5,1)</f>
        <v>1</v>
      </c>
    </row>
    <row r="6" customFormat="false" ht="15" hidden="false" customHeight="false" outlineLevel="0" collapsed="false">
      <c r="A6" s="5" t="s">
        <v>107</v>
      </c>
      <c r="B6" s="5" t="s">
        <v>69</v>
      </c>
      <c r="C6" s="5" t="s">
        <v>70</v>
      </c>
      <c r="D6" s="5" t="n">
        <v>2022</v>
      </c>
      <c r="E6" s="5" t="s">
        <v>71</v>
      </c>
      <c r="F6" s="5" t="s">
        <v>72</v>
      </c>
      <c r="G6" s="5" t="s">
        <v>73</v>
      </c>
      <c r="H6" s="5" t="s">
        <v>74</v>
      </c>
      <c r="I6" s="5" t="s">
        <v>75</v>
      </c>
      <c r="J6" s="5" t="s">
        <v>76</v>
      </c>
      <c r="K6" s="5" t="s">
        <v>77</v>
      </c>
      <c r="L6" s="5" t="s">
        <v>78</v>
      </c>
      <c r="M6" s="5" t="s">
        <v>79</v>
      </c>
      <c r="N6" s="5" t="s">
        <v>80</v>
      </c>
      <c r="O6" s="5" t="s">
        <v>81</v>
      </c>
      <c r="P6" s="6" t="s">
        <v>82</v>
      </c>
      <c r="Q6" s="6" t="s">
        <v>103</v>
      </c>
      <c r="R6" s="5"/>
      <c r="S6" s="6" t="s">
        <v>108</v>
      </c>
      <c r="T6" s="5" t="s">
        <v>109</v>
      </c>
      <c r="U6" s="6" t="s">
        <v>110</v>
      </c>
      <c r="V6" s="5" t="n">
        <v>25</v>
      </c>
      <c r="W6" s="5" t="n">
        <v>0.25</v>
      </c>
      <c r="X6" s="5" t="n">
        <v>0.41</v>
      </c>
      <c r="Y6" s="5" t="n">
        <v>26</v>
      </c>
      <c r="Z6" s="5" t="n">
        <v>-0.009</v>
      </c>
      <c r="AA6" s="5" t="n">
        <v>0.45</v>
      </c>
      <c r="AB6" s="5" t="s">
        <v>99</v>
      </c>
      <c r="AC6" s="5"/>
      <c r="AD6" s="5" t="n">
        <v>1</v>
      </c>
      <c r="AE6" s="7" t="n">
        <f aca="false">IFERROR(IF(AB6="MSD",IF(COUNT(V6,W6,X6,Y6,Z6,AA6)&lt;6,"",(W6-Z6)/SQRT(((V6-1)*X6^2+(Y6-1)*AA6^2)/(V6+Y6-2))*AD6),IF(AB6="t",AC6*SQRT(1/V6+1/Y6)*AD6,IF(AB6="F",SQRT(AC6)*SQRT(1/V6+1/Y6)*AD6,IF(AB6="z",2*(AC6/SQRT(V6+Y6))/SQRT(1-(AC6/SQRT(V6+Y6))^2)*AD6,IF(AB6="t_paired",AC6/SQRT(V6)*AD6,""))))),"")</f>
        <v>0.601106042670743</v>
      </c>
      <c r="AF6" s="7" t="n">
        <f aca="false">IF(AE6="","",IF(AB6="t_paired",1-3/(4*(V6-1)-1),1-3/(4*(V6+Y6)-9)))</f>
        <v>0.984615384615385</v>
      </c>
      <c r="AG6" s="7" t="n">
        <f aca="false">IF(AE6="","",AE6*AF6)</f>
        <v>0.591858257398886</v>
      </c>
      <c r="AH6" s="7" t="n">
        <f aca="false">IF(AG6="","",IF(AB6="t_paired",1/V6+AG6^2/(2*V6),(V6+Y6)/(V6*Y6)+AG6^2/(2*(V6+Y6))))</f>
        <v>0.0818958149012566</v>
      </c>
      <c r="AI6" s="7" t="n">
        <f aca="false">IF(AH6="","",SQRT(AH6))</f>
        <v>0.286174448372416</v>
      </c>
      <c r="AJ6" s="7" t="n">
        <f aca="false">IF(AI6="","",AG6-1.96*AI6)</f>
        <v>0.0309563385889504</v>
      </c>
      <c r="AK6" s="7" t="n">
        <f aca="false">IF(AI6="","",AG6+1.96*AI6)</f>
        <v>1.15276017620882</v>
      </c>
      <c r="AL6" s="7" t="n">
        <f aca="false">IF(AI6="","",AG6/AI6)</f>
        <v>2.06817296500443</v>
      </c>
      <c r="AM6" s="8" t="n">
        <f aca="false">IF(AL6="","",2*(1-NORMSDIST(ABS(AL6))))</f>
        <v>0.0386237614883054</v>
      </c>
      <c r="AN6" s="9" t="n">
        <f aca="false">IF(COUNT(V6)=0,"",IF(AB6="t_paired",V6,V6+N(Y6)))</f>
        <v>51</v>
      </c>
      <c r="AO6" s="7" t="n">
        <f aca="false">IF(AH6="","",1/AH6)</f>
        <v>12.2106361748243</v>
      </c>
      <c r="AP6" s="5" t="s">
        <v>88</v>
      </c>
      <c r="AQ6" s="5" t="s">
        <v>89</v>
      </c>
      <c r="AR6" s="5" t="s">
        <v>111</v>
      </c>
      <c r="AS6" s="7" t="n">
        <f aca="false">IF(AND(AP6="Y",ISNUMBER(AO6)),AO6,0)</f>
        <v>12.2106361748243</v>
      </c>
      <c r="AT6" s="7" t="n">
        <f aca="false">IF(AS6&gt;0,AS6*AG6,0)</f>
        <v>7.22696584816332</v>
      </c>
      <c r="AU6" s="7" t="n">
        <f aca="false">IF(AS6&gt;0,AS6*AG6^2,0)</f>
        <v>4.2773394131752</v>
      </c>
      <c r="AV6" s="9" t="n">
        <f aca="false">IF(AS6&gt;0,AS6^2,0)</f>
        <v>149.099635793928</v>
      </c>
      <c r="AW6" s="7" t="n">
        <f aca="false">IF(AS6&gt;0,AG6,0)</f>
        <v>0.591858257398886</v>
      </c>
      <c r="AX6" s="7" t="n">
        <f aca="false">IF(AS6&gt;0,AH6,1)</f>
        <v>0.0818958149012566</v>
      </c>
    </row>
    <row r="7" customFormat="false" ht="15" hidden="false" customHeight="false" outlineLevel="0" collapsed="false">
      <c r="A7" s="5" t="s">
        <v>112</v>
      </c>
      <c r="B7" s="5" t="s">
        <v>69</v>
      </c>
      <c r="C7" s="5" t="s">
        <v>70</v>
      </c>
      <c r="D7" s="5" t="n">
        <v>2022</v>
      </c>
      <c r="E7" s="5" t="s">
        <v>71</v>
      </c>
      <c r="F7" s="5" t="s">
        <v>72</v>
      </c>
      <c r="G7" s="5" t="s">
        <v>73</v>
      </c>
      <c r="H7" s="5" t="s">
        <v>74</v>
      </c>
      <c r="I7" s="5" t="s">
        <v>75</v>
      </c>
      <c r="J7" s="5" t="s">
        <v>76</v>
      </c>
      <c r="K7" s="5" t="s">
        <v>77</v>
      </c>
      <c r="L7" s="5" t="s">
        <v>78</v>
      </c>
      <c r="M7" s="5" t="s">
        <v>79</v>
      </c>
      <c r="N7" s="5" t="s">
        <v>80</v>
      </c>
      <c r="O7" s="5" t="s">
        <v>81</v>
      </c>
      <c r="P7" s="10" t="s">
        <v>113</v>
      </c>
      <c r="Q7" s="10" t="s">
        <v>114</v>
      </c>
      <c r="R7" s="5" t="s">
        <v>115</v>
      </c>
      <c r="S7" s="10" t="s">
        <v>116</v>
      </c>
      <c r="T7" s="5" t="s">
        <v>117</v>
      </c>
      <c r="U7" s="10" t="s">
        <v>98</v>
      </c>
      <c r="V7" s="5" t="n">
        <v>25</v>
      </c>
      <c r="W7" s="5" t="n">
        <v>27.12</v>
      </c>
      <c r="X7" s="5" t="n">
        <v>4.8</v>
      </c>
      <c r="Y7" s="5" t="n">
        <v>26</v>
      </c>
      <c r="Z7" s="5" t="n">
        <v>29.3</v>
      </c>
      <c r="AA7" s="5" t="n">
        <v>4.3</v>
      </c>
      <c r="AB7" s="5" t="s">
        <v>99</v>
      </c>
      <c r="AC7" s="5"/>
      <c r="AD7" s="5" t="n">
        <v>1</v>
      </c>
      <c r="AE7" s="7" t="n">
        <f aca="false">IFERROR(IF(AB7="MSD",IF(COUNT(V7,W7,X7,Y7,Z7,AA7)&lt;6,"",(W7-Z7)/SQRT(((V7-1)*X7^2+(Y7-1)*AA7^2)/(V7+Y7-2))*AD7),IF(AB7="t",AC7*SQRT(1/V7+1/Y7)*AD7,IF(AB7="F",SQRT(AC7)*SQRT(1/V7+1/Y7)*AD7,IF(AB7="z",2*(AC7/SQRT(V7+Y7))/SQRT(1-(AC7/SQRT(V7+Y7))^2)*AD7,IF(AB7="t_paired",AC7/SQRT(V7)*AD7,""))))),"")</f>
        <v>-0.478935015659012</v>
      </c>
      <c r="AF7" s="7" t="n">
        <f aca="false">IF(AE7="","",IF(AB7="t_paired",1-3/(4*(V7-1)-1),1-3/(4*(V7+Y7)-9)))</f>
        <v>0.984615384615385</v>
      </c>
      <c r="AG7" s="7" t="n">
        <f aca="false">IF(AE7="","",AE7*AF7)</f>
        <v>-0.471566784648874</v>
      </c>
      <c r="AH7" s="7" t="n">
        <f aca="false">IF(AG7="","",IF(AB7="t_paired",1/V7+AG7^2/(2*V7),(V7+Y7)/(V7*Y7)+AG7^2/(2*(V7+Y7))))</f>
        <v>0.0806416877986373</v>
      </c>
      <c r="AI7" s="7" t="n">
        <f aca="false">IF(AH7="","",SQRT(AH7))</f>
        <v>0.283974801344481</v>
      </c>
      <c r="AJ7" s="7" t="n">
        <f aca="false">IF(AI7="","",AG7-1.96*AI7)</f>
        <v>-1.02815739528406</v>
      </c>
      <c r="AK7" s="7" t="n">
        <f aca="false">IF(AI7="","",AG7+1.96*AI7)</f>
        <v>0.0850238259863085</v>
      </c>
      <c r="AL7" s="7" t="n">
        <f aca="false">IF(AI7="","",AG7/AI7)</f>
        <v>-1.66059376541946</v>
      </c>
      <c r="AM7" s="8" t="n">
        <f aca="false">IF(AL7="","",2*(1-NORMSDIST(ABS(AL7))))</f>
        <v>0.0967950619743339</v>
      </c>
      <c r="AN7" s="9" t="n">
        <f aca="false">IF(COUNT(V7)=0,"",IF(AB7="t_paired",V7,V7+N(Y7)))</f>
        <v>51</v>
      </c>
      <c r="AO7" s="7" t="n">
        <f aca="false">IF(AH7="","",1/AH7)</f>
        <v>12.4005341070862</v>
      </c>
      <c r="AP7" s="5" t="s">
        <v>100</v>
      </c>
      <c r="AQ7" s="5" t="s">
        <v>89</v>
      </c>
      <c r="AR7" s="5" t="s">
        <v>118</v>
      </c>
      <c r="AS7" s="9" t="n">
        <f aca="false">IF(AND(AP7="Y",ISNUMBER(AO7)),AO7,0)</f>
        <v>0</v>
      </c>
      <c r="AT7" s="7" t="n">
        <f aca="false">IF(AS7&gt;0,AS7*AG7,0)</f>
        <v>0</v>
      </c>
      <c r="AU7" s="7" t="n">
        <f aca="false">IF(AS7&gt;0,AS7*AG7^2,0)</f>
        <v>0</v>
      </c>
      <c r="AV7" s="9" t="n">
        <f aca="false">IF(AS7&gt;0,AS7^2,0)</f>
        <v>0</v>
      </c>
      <c r="AW7" s="7" t="n">
        <f aca="false">IF(AS7&gt;0,AG7,0)</f>
        <v>0</v>
      </c>
      <c r="AX7" s="7" t="n">
        <f aca="false">IF(AS7&gt;0,AH7,1)</f>
        <v>1</v>
      </c>
    </row>
    <row r="8" customFormat="false" ht="15" hidden="false" customHeight="false" outlineLevel="0" collapsed="false">
      <c r="A8" s="5" t="s">
        <v>119</v>
      </c>
      <c r="B8" s="5" t="s">
        <v>69</v>
      </c>
      <c r="C8" s="5" t="s">
        <v>70</v>
      </c>
      <c r="D8" s="5" t="n">
        <v>2022</v>
      </c>
      <c r="E8" s="5" t="s">
        <v>71</v>
      </c>
      <c r="F8" s="5" t="s">
        <v>72</v>
      </c>
      <c r="G8" s="5" t="s">
        <v>73</v>
      </c>
      <c r="H8" s="5" t="s">
        <v>74</v>
      </c>
      <c r="I8" s="5" t="s">
        <v>75</v>
      </c>
      <c r="J8" s="5" t="s">
        <v>76</v>
      </c>
      <c r="K8" s="5" t="s">
        <v>77</v>
      </c>
      <c r="L8" s="5" t="s">
        <v>78</v>
      </c>
      <c r="M8" s="5" t="s">
        <v>79</v>
      </c>
      <c r="N8" s="5" t="s">
        <v>80</v>
      </c>
      <c r="O8" s="5" t="s">
        <v>81</v>
      </c>
      <c r="P8" s="11" t="s">
        <v>113</v>
      </c>
      <c r="Q8" s="11" t="s">
        <v>114</v>
      </c>
      <c r="R8" s="5" t="s">
        <v>120</v>
      </c>
      <c r="S8" s="11" t="s">
        <v>121</v>
      </c>
      <c r="T8" s="5" t="s">
        <v>122</v>
      </c>
      <c r="U8" s="11" t="s">
        <v>86</v>
      </c>
      <c r="V8" s="5" t="n">
        <v>25</v>
      </c>
      <c r="W8" s="5" t="n">
        <v>1593.15</v>
      </c>
      <c r="X8" s="5" t="n">
        <v>634.81</v>
      </c>
      <c r="Y8" s="5" t="n">
        <v>26</v>
      </c>
      <c r="Z8" s="5" t="n">
        <v>1222.95</v>
      </c>
      <c r="AA8" s="5" t="n">
        <v>439.76</v>
      </c>
      <c r="AB8" s="5" t="s">
        <v>99</v>
      </c>
      <c r="AC8" s="5"/>
      <c r="AD8" s="5" t="n">
        <v>1</v>
      </c>
      <c r="AE8" s="7" t="n">
        <f aca="false">IFERROR(IF(AB8="MSD",IF(COUNT(V8,W8,X8,Y8,Z8,AA8)&lt;6,"",(W8-Z8)/SQRT(((V8-1)*X8^2+(Y8-1)*AA8^2)/(V8+Y8-2))*AD8),IF(AB8="t",AC8*SQRT(1/V8+1/Y8)*AD8,IF(AB8="F",SQRT(AC8)*SQRT(1/V8+1/Y8)*AD8,IF(AB8="z",2*(AC8/SQRT(V8+Y8))/SQRT(1-(AC8/SQRT(V8+Y8))^2)*AD8,IF(AB8="t_paired",AC8/SQRT(V8)*AD8,""))))),"")</f>
        <v>0.68038645853709</v>
      </c>
      <c r="AF8" s="7" t="n">
        <f aca="false">IF(AE8="","",IF(AB8="t_paired",1-3/(4*(V8-1)-1),1-3/(4*(V8+Y8)-9)))</f>
        <v>0.984615384615385</v>
      </c>
      <c r="AG8" s="7" t="n">
        <f aca="false">IF(AE8="","",AE8*AF8)</f>
        <v>0.669918974559597</v>
      </c>
      <c r="AH8" s="7" t="n">
        <f aca="false">IF(AG8="","",IF(AB8="t_paired",1/V8+AG8^2/(2*V8),(V8+Y8)/(V8*Y8)+AG8^2/(2*(V8+Y8))))</f>
        <v>0.0828614544661951</v>
      </c>
      <c r="AI8" s="7" t="n">
        <f aca="false">IF(AH8="","",SQRT(AH8))</f>
        <v>0.287856656108896</v>
      </c>
      <c r="AJ8" s="7" t="n">
        <f aca="false">IF(AI8="","",AG8-1.96*AI8)</f>
        <v>0.105719928586161</v>
      </c>
      <c r="AK8" s="7" t="n">
        <f aca="false">IF(AI8="","",AG8+1.96*AI8)</f>
        <v>1.23411802053303</v>
      </c>
      <c r="AL8" s="7" t="n">
        <f aca="false">IF(AI8="","",AG8/AI8)</f>
        <v>2.32726588162049</v>
      </c>
      <c r="AM8" s="8" t="n">
        <f aca="false">IF(AL8="","",2*(1-NORMSDIST(ABS(AL8))))</f>
        <v>0.0199511184841386</v>
      </c>
      <c r="AN8" s="9" t="n">
        <f aca="false">IF(COUNT(V8)=0,"",IF(AB8="t_paired",V8,V8+N(Y8)))</f>
        <v>51</v>
      </c>
      <c r="AO8" s="7" t="n">
        <f aca="false">IF(AH8="","",1/AH8)</f>
        <v>12.0683375212532</v>
      </c>
      <c r="AP8" s="5" t="s">
        <v>88</v>
      </c>
      <c r="AQ8" s="5" t="s">
        <v>89</v>
      </c>
      <c r="AR8" s="5" t="s">
        <v>123</v>
      </c>
      <c r="AS8" s="7" t="n">
        <f aca="false">IF(AND(AP8="Y",ISNUMBER(AO8)),AO8,0)</f>
        <v>12.0683375212532</v>
      </c>
      <c r="AT8" s="7" t="n">
        <f aca="false">IF(AS8&gt;0,AS8*AG8,0)</f>
        <v>8.08480829687708</v>
      </c>
      <c r="AU8" s="7" t="n">
        <f aca="false">IF(AS8&gt;0,AS8*AG8^2,0)</f>
        <v>5.41616648375481</v>
      </c>
      <c r="AV8" s="9" t="n">
        <f aca="false">IF(AS8&gt;0,AS8^2,0)</f>
        <v>145.644770526889</v>
      </c>
      <c r="AW8" s="7" t="n">
        <f aca="false">IF(AS8&gt;0,AG8,0)</f>
        <v>0.669918974559597</v>
      </c>
      <c r="AX8" s="7" t="n">
        <f aca="false">IF(AS8&gt;0,AH8,1)</f>
        <v>0.0828614544661951</v>
      </c>
    </row>
    <row r="9" customFormat="false" ht="15" hidden="false" customHeight="false" outlineLevel="0" collapsed="false">
      <c r="A9" s="5" t="s">
        <v>124</v>
      </c>
      <c r="B9" s="5" t="s">
        <v>69</v>
      </c>
      <c r="C9" s="5" t="s">
        <v>70</v>
      </c>
      <c r="D9" s="5" t="n">
        <v>2022</v>
      </c>
      <c r="E9" s="5" t="s">
        <v>71</v>
      </c>
      <c r="F9" s="5" t="s">
        <v>72</v>
      </c>
      <c r="G9" s="5" t="s">
        <v>73</v>
      </c>
      <c r="H9" s="5" t="s">
        <v>74</v>
      </c>
      <c r="I9" s="5" t="s">
        <v>75</v>
      </c>
      <c r="J9" s="5" t="s">
        <v>76</v>
      </c>
      <c r="K9" s="5" t="s">
        <v>77</v>
      </c>
      <c r="L9" s="5" t="s">
        <v>78</v>
      </c>
      <c r="M9" s="5" t="s">
        <v>79</v>
      </c>
      <c r="N9" s="5" t="s">
        <v>80</v>
      </c>
      <c r="O9" s="5" t="s">
        <v>81</v>
      </c>
      <c r="P9" s="10" t="s">
        <v>113</v>
      </c>
      <c r="Q9" s="10" t="s">
        <v>114</v>
      </c>
      <c r="R9" s="5" t="s">
        <v>125</v>
      </c>
      <c r="S9" s="10" t="s">
        <v>126</v>
      </c>
      <c r="T9" s="5" t="s">
        <v>127</v>
      </c>
      <c r="U9" s="10" t="s">
        <v>98</v>
      </c>
      <c r="V9" s="5" t="n">
        <v>25</v>
      </c>
      <c r="W9" s="5" t="n">
        <v>37.5</v>
      </c>
      <c r="X9" s="5" t="n">
        <v>6.58</v>
      </c>
      <c r="Y9" s="5" t="n">
        <v>26</v>
      </c>
      <c r="Z9" s="5" t="n">
        <v>38.8</v>
      </c>
      <c r="AA9" s="5" t="n">
        <v>8</v>
      </c>
      <c r="AB9" s="5" t="s">
        <v>99</v>
      </c>
      <c r="AC9" s="5"/>
      <c r="AD9" s="5" t="n">
        <v>1</v>
      </c>
      <c r="AE9" s="7" t="n">
        <f aca="false">IFERROR(IF(AB9="MSD",IF(COUNT(V9,W9,X9,Y9,Z9,AA9)&lt;6,"",(W9-Z9)/SQRT(((V9-1)*X9^2+(Y9-1)*AA9^2)/(V9+Y9-2))*AD9),IF(AB9="t",AC9*SQRT(1/V9+1/Y9)*AD9,IF(AB9="F",SQRT(AC9)*SQRT(1/V9+1/Y9)*AD9,IF(AB9="z",2*(AC9/SQRT(V9+Y9))/SQRT(1-(AC9/SQRT(V9+Y9))^2)*AD9,IF(AB9="t_paired",AC9/SQRT(V9)*AD9,""))))),"")</f>
        <v>-0.177138250048039</v>
      </c>
      <c r="AF9" s="7" t="n">
        <f aca="false">IF(AE9="","",IF(AB9="t_paired",1-3/(4*(V9-1)-1),1-3/(4*(V9+Y9)-9)))</f>
        <v>0.984615384615385</v>
      </c>
      <c r="AG9" s="7" t="n">
        <f aca="false">IF(AE9="","",AE9*AF9)</f>
        <v>-0.174413046201146</v>
      </c>
      <c r="AH9" s="7" t="n">
        <f aca="false">IF(AG9="","",IF(AB9="t_paired",1/V9+AG9^2/(2*V9),(V9+Y9)/(V9*Y9)+AG9^2/(2*(V9+Y9))))</f>
        <v>0.0787597728800205</v>
      </c>
      <c r="AI9" s="7" t="n">
        <f aca="false">IF(AH9="","",SQRT(AH9))</f>
        <v>0.280641716214857</v>
      </c>
      <c r="AJ9" s="7" t="n">
        <f aca="false">IF(AI9="","",AG9-1.96*AI9)</f>
        <v>-0.724470809982267</v>
      </c>
      <c r="AK9" s="7" t="n">
        <f aca="false">IF(AI9="","",AG9+1.96*AI9)</f>
        <v>0.375644717579974</v>
      </c>
      <c r="AL9" s="7" t="n">
        <f aca="false">IF(AI9="","",AG9/AI9)</f>
        <v>-0.621479402825548</v>
      </c>
      <c r="AM9" s="8" t="n">
        <f aca="false">IF(AL9="","",2*(1-NORMSDIST(ABS(AL9))))</f>
        <v>0.534284242480016</v>
      </c>
      <c r="AN9" s="9" t="n">
        <f aca="false">IF(COUNT(V9)=0,"",IF(AB9="t_paired",V9,V9+N(Y9)))</f>
        <v>51</v>
      </c>
      <c r="AO9" s="7" t="n">
        <f aca="false">IF(AH9="","",1/AH9)</f>
        <v>12.6968370201291</v>
      </c>
      <c r="AP9" s="5" t="s">
        <v>100</v>
      </c>
      <c r="AQ9" s="5" t="s">
        <v>89</v>
      </c>
      <c r="AR9" s="5" t="s">
        <v>118</v>
      </c>
      <c r="AS9" s="9" t="n">
        <f aca="false">IF(AND(AP9="Y",ISNUMBER(AO9)),AO9,0)</f>
        <v>0</v>
      </c>
      <c r="AT9" s="7" t="n">
        <f aca="false">IF(AS9&gt;0,AS9*AG9,0)</f>
        <v>0</v>
      </c>
      <c r="AU9" s="7" t="n">
        <f aca="false">IF(AS9&gt;0,AS9*AG9^2,0)</f>
        <v>0</v>
      </c>
      <c r="AV9" s="9" t="n">
        <f aca="false">IF(AS9&gt;0,AS9^2,0)</f>
        <v>0</v>
      </c>
      <c r="AW9" s="7" t="n">
        <f aca="false">IF(AS9&gt;0,AG9,0)</f>
        <v>0</v>
      </c>
      <c r="AX9" s="7" t="n">
        <f aca="false">IF(AS9&gt;0,AH9,1)</f>
        <v>1</v>
      </c>
    </row>
    <row r="10" customFormat="false" ht="15" hidden="false" customHeight="false" outlineLevel="0" collapsed="false">
      <c r="A10" s="5" t="s">
        <v>128</v>
      </c>
      <c r="B10" s="5" t="s">
        <v>129</v>
      </c>
      <c r="C10" s="5" t="s">
        <v>130</v>
      </c>
      <c r="D10" s="5" t="n">
        <v>2024</v>
      </c>
      <c r="E10" s="5" t="s">
        <v>71</v>
      </c>
      <c r="F10" s="5" t="s">
        <v>72</v>
      </c>
      <c r="G10" s="5" t="s">
        <v>73</v>
      </c>
      <c r="H10" s="5" t="s">
        <v>131</v>
      </c>
      <c r="I10" s="5" t="s">
        <v>132</v>
      </c>
      <c r="J10" s="5" t="s">
        <v>76</v>
      </c>
      <c r="K10" s="5" t="s">
        <v>133</v>
      </c>
      <c r="L10" s="5" t="s">
        <v>134</v>
      </c>
      <c r="M10" s="5" t="s">
        <v>135</v>
      </c>
      <c r="N10" s="5" t="s">
        <v>136</v>
      </c>
      <c r="O10" s="5" t="s">
        <v>81</v>
      </c>
      <c r="P10" s="6" t="s">
        <v>82</v>
      </c>
      <c r="Q10" s="6" t="s">
        <v>83</v>
      </c>
      <c r="R10" s="5"/>
      <c r="S10" s="6" t="s">
        <v>84</v>
      </c>
      <c r="T10" s="5" t="s">
        <v>137</v>
      </c>
      <c r="U10" s="6" t="s">
        <v>86</v>
      </c>
      <c r="V10" s="5" t="n">
        <v>25</v>
      </c>
      <c r="W10" s="5"/>
      <c r="X10" s="5"/>
      <c r="Y10" s="5" t="n">
        <v>24</v>
      </c>
      <c r="Z10" s="5"/>
      <c r="AA10" s="5"/>
      <c r="AB10" s="5" t="s">
        <v>138</v>
      </c>
      <c r="AC10" s="5" t="n">
        <v>3.17</v>
      </c>
      <c r="AD10" s="5" t="n">
        <v>1</v>
      </c>
      <c r="AE10" s="7" t="n">
        <f aca="false">IFERROR(IF(AB10="MSD",IF(COUNT(V10,W10,X10,Y10,Z10,AA10)&lt;6,"",(W10-Z10)/SQRT(((V10-1)*X10^2+(Y10-1)*AA10^2)/(V10+Y10-2))*AD10),IF(AB10="t",AC10*SQRT(1/V10+1/Y10)*AD10,IF(AB10="F",SQRT(AC10)*SQRT(1/V10+1/Y10)*AD10,IF(AB10="z",2*(AC10/SQRT(V10+Y10))/SQRT(1-(AC10/SQRT(V10+Y10))^2)*AD10,IF(AB10="t_paired",AC10/SQRT(V10)*AD10,""))))),"")</f>
        <v>0.905902956539312</v>
      </c>
      <c r="AF10" s="7" t="n">
        <f aca="false">IF(AE10="","",IF(AB10="t_paired",1-3/(4*(V10-1)-1),1-3/(4*(V10+Y10)-9)))</f>
        <v>0.983957219251337</v>
      </c>
      <c r="AG10" s="7" t="n">
        <f aca="false">IF(AE10="","",AE10*AF10)</f>
        <v>0.891369754027986</v>
      </c>
      <c r="AH10" s="7" t="n">
        <f aca="false">IF(AG10="","",IF(AB10="t_paired",1/V10+AG10^2/(2*V10),(V10+Y10)/(V10*Y10)+AG10^2/(2*(V10+Y10))))</f>
        <v>0.0897742180788699</v>
      </c>
      <c r="AI10" s="7" t="n">
        <f aca="false">IF(AH10="","",SQRT(AH10))</f>
        <v>0.299623460494785</v>
      </c>
      <c r="AJ10" s="7" t="n">
        <f aca="false">IF(AI10="","",AG10-1.96*AI10)</f>
        <v>0.304107771458208</v>
      </c>
      <c r="AK10" s="7" t="n">
        <f aca="false">IF(AI10="","",AG10+1.96*AI10)</f>
        <v>1.47863173659776</v>
      </c>
      <c r="AL10" s="7" t="n">
        <f aca="false">IF(AI10="","",AG10/AI10)</f>
        <v>2.97496648812486</v>
      </c>
      <c r="AM10" s="8" t="n">
        <f aca="false">IF(AL10="","",2*(1-NORMSDIST(ABS(AL10))))</f>
        <v>0.00293020556811574</v>
      </c>
      <c r="AN10" s="9" t="n">
        <f aca="false">IF(COUNT(V10)=0,"",IF(AB10="t_paired",V10,V10+N(Y10)))</f>
        <v>49</v>
      </c>
      <c r="AO10" s="7" t="n">
        <f aca="false">IF(AH10="","",1/AH10)</f>
        <v>11.1390555261808</v>
      </c>
      <c r="AP10" s="5" t="s">
        <v>88</v>
      </c>
      <c r="AQ10" s="5" t="s">
        <v>89</v>
      </c>
      <c r="AR10" s="5" t="s">
        <v>139</v>
      </c>
      <c r="AS10" s="7" t="n">
        <f aca="false">IF(AND(AP10="Y",ISNUMBER(AO10)),AO10,0)</f>
        <v>11.1390555261808</v>
      </c>
      <c r="AT10" s="7" t="n">
        <f aca="false">IF(AS10&gt;0,AS10*AG10,0)</f>
        <v>9.9290171844759</v>
      </c>
      <c r="AU10" s="7" t="n">
        <f aca="false">IF(AS10&gt;0,AS10*AG10^2,0)</f>
        <v>8.85042560546593</v>
      </c>
      <c r="AV10" s="9" t="n">
        <f aca="false">IF(AS10&gt;0,AS10^2,0)</f>
        <v>124.07855801534</v>
      </c>
      <c r="AW10" s="7" t="n">
        <f aca="false">IF(AS10&gt;0,AG10,0)</f>
        <v>0.891369754027986</v>
      </c>
      <c r="AX10" s="7" t="n">
        <f aca="false">IF(AS10&gt;0,AH10,1)</f>
        <v>0.0897742180788699</v>
      </c>
    </row>
    <row r="11" customFormat="false" ht="15" hidden="false" customHeight="false" outlineLevel="0" collapsed="false">
      <c r="A11" s="5" t="s">
        <v>140</v>
      </c>
      <c r="B11" s="5" t="s">
        <v>129</v>
      </c>
      <c r="C11" s="5" t="s">
        <v>130</v>
      </c>
      <c r="D11" s="5" t="n">
        <v>2024</v>
      </c>
      <c r="E11" s="5" t="s">
        <v>71</v>
      </c>
      <c r="F11" s="5" t="s">
        <v>72</v>
      </c>
      <c r="G11" s="5" t="s">
        <v>73</v>
      </c>
      <c r="H11" s="5" t="s">
        <v>131</v>
      </c>
      <c r="I11" s="5" t="s">
        <v>132</v>
      </c>
      <c r="J11" s="5" t="s">
        <v>76</v>
      </c>
      <c r="K11" s="5" t="s">
        <v>133</v>
      </c>
      <c r="L11" s="5" t="s">
        <v>134</v>
      </c>
      <c r="M11" s="5" t="s">
        <v>135</v>
      </c>
      <c r="N11" s="5" t="s">
        <v>136</v>
      </c>
      <c r="O11" s="5" t="s">
        <v>81</v>
      </c>
      <c r="P11" s="6" t="s">
        <v>82</v>
      </c>
      <c r="Q11" s="6" t="s">
        <v>83</v>
      </c>
      <c r="R11" s="5"/>
      <c r="S11" s="6" t="s">
        <v>92</v>
      </c>
      <c r="T11" s="5" t="s">
        <v>93</v>
      </c>
      <c r="U11" s="6" t="s">
        <v>86</v>
      </c>
      <c r="V11" s="5" t="n">
        <v>25</v>
      </c>
      <c r="W11" s="5"/>
      <c r="X11" s="5"/>
      <c r="Y11" s="5" t="n">
        <v>24</v>
      </c>
      <c r="Z11" s="5"/>
      <c r="AA11" s="5"/>
      <c r="AB11" s="5" t="s">
        <v>138</v>
      </c>
      <c r="AC11" s="5" t="n">
        <v>0.29</v>
      </c>
      <c r="AD11" s="5" t="n">
        <v>1</v>
      </c>
      <c r="AE11" s="7" t="n">
        <f aca="false">IFERROR(IF(AB11="MSD",IF(COUNT(V11,W11,X11,Y11,Z11,AA11)&lt;6,"",(W11-Z11)/SQRT(((V11-1)*X11^2+(Y11-1)*AA11^2)/(V11+Y11-2))*AD11),IF(AB11="t",AC11*SQRT(1/V11+1/Y11)*AD11,IF(AB11="F",SQRT(AC11)*SQRT(1/V11+1/Y11)*AD11,IF(AB11="z",2*(AC11/SQRT(V11+Y11))/SQRT(1-(AC11/SQRT(V11+Y11))^2)*AD11,IF(AB11="t_paired",AC11/SQRT(V11)*AD11,""))))),"")</f>
        <v>0.0828744029641642</v>
      </c>
      <c r="AF11" s="7" t="n">
        <f aca="false">IF(AE11="","",IF(AB11="t_paired",1-3/(4*(V11-1)-1),1-3/(4*(V11+Y11)-9)))</f>
        <v>0.983957219251337</v>
      </c>
      <c r="AG11" s="7" t="n">
        <f aca="false">IF(AE11="","",AE11*AF11)</f>
        <v>0.0815448670877337</v>
      </c>
      <c r="AH11" s="7" t="n">
        <f aca="false">IF(AG11="","",IF(AB11="t_paired",1/V11+AG11^2/(2*V11),(V11+Y11)/(V11*Y11)+AG11^2/(2*(V11+Y11))))</f>
        <v>0.081734519374303</v>
      </c>
      <c r="AI11" s="7" t="n">
        <f aca="false">IF(AH11="","",SQRT(AH11))</f>
        <v>0.285892496183973</v>
      </c>
      <c r="AJ11" s="7" t="n">
        <f aca="false">IF(AI11="","",AG11-1.96*AI11)</f>
        <v>-0.478804425432853</v>
      </c>
      <c r="AK11" s="7" t="n">
        <f aca="false">IF(AI11="","",AG11+1.96*AI11)</f>
        <v>0.641894159608321</v>
      </c>
      <c r="AL11" s="7" t="n">
        <f aca="false">IF(AI11="","",AG11/AI11)</f>
        <v>0.285229126948681</v>
      </c>
      <c r="AM11" s="8" t="n">
        <f aca="false">IF(AL11="","",2*(1-NORMSDIST(ABS(AL11))))</f>
        <v>0.77546860670629</v>
      </c>
      <c r="AN11" s="9" t="n">
        <f aca="false">IF(COUNT(V11)=0,"",IF(AB11="t_paired",V11,V11+N(Y11)))</f>
        <v>49</v>
      </c>
      <c r="AO11" s="7" t="n">
        <f aca="false">IF(AH11="","",1/AH11)</f>
        <v>12.2347327378351</v>
      </c>
      <c r="AP11" s="5" t="s">
        <v>88</v>
      </c>
      <c r="AQ11" s="5" t="s">
        <v>89</v>
      </c>
      <c r="AR11" s="5" t="s">
        <v>141</v>
      </c>
      <c r="AS11" s="7" t="n">
        <f aca="false">IF(AND(AP11="Y",ISNUMBER(AO11)),AO11,0)</f>
        <v>12.2347327378351</v>
      </c>
      <c r="AT11" s="7" t="n">
        <f aca="false">IF(AS11&gt;0,AS11*AG11,0)</f>
        <v>0.997679654960706</v>
      </c>
      <c r="AU11" s="7" t="n">
        <f aca="false">IF(AS11&gt;0,AS11*AG11^2,0)</f>
        <v>0.0813556548599069</v>
      </c>
      <c r="AV11" s="9" t="n">
        <f aca="false">IF(AS11&gt;0,AS11^2,0)</f>
        <v>149.688685166253</v>
      </c>
      <c r="AW11" s="7" t="n">
        <f aca="false">IF(AS11&gt;0,AG11,0)</f>
        <v>0.0815448670877337</v>
      </c>
      <c r="AX11" s="7" t="n">
        <f aca="false">IF(AS11&gt;0,AH11,1)</f>
        <v>0.081734519374303</v>
      </c>
    </row>
    <row r="12" customFormat="false" ht="15" hidden="false" customHeight="false" outlineLevel="0" collapsed="false">
      <c r="A12" s="5" t="s">
        <v>142</v>
      </c>
      <c r="B12" s="5" t="s">
        <v>129</v>
      </c>
      <c r="C12" s="5" t="s">
        <v>130</v>
      </c>
      <c r="D12" s="5" t="n">
        <v>2024</v>
      </c>
      <c r="E12" s="5" t="s">
        <v>71</v>
      </c>
      <c r="F12" s="5" t="s">
        <v>72</v>
      </c>
      <c r="G12" s="5" t="s">
        <v>73</v>
      </c>
      <c r="H12" s="5" t="s">
        <v>131</v>
      </c>
      <c r="I12" s="5" t="s">
        <v>132</v>
      </c>
      <c r="J12" s="5" t="s">
        <v>76</v>
      </c>
      <c r="K12" s="5" t="s">
        <v>133</v>
      </c>
      <c r="L12" s="5" t="s">
        <v>134</v>
      </c>
      <c r="M12" s="5" t="s">
        <v>135</v>
      </c>
      <c r="N12" s="5" t="s">
        <v>136</v>
      </c>
      <c r="O12" s="5" t="s">
        <v>81</v>
      </c>
      <c r="P12" s="6" t="s">
        <v>82</v>
      </c>
      <c r="Q12" s="6" t="s">
        <v>83</v>
      </c>
      <c r="R12" s="5"/>
      <c r="S12" s="6" t="s">
        <v>143</v>
      </c>
      <c r="T12" s="5" t="s">
        <v>144</v>
      </c>
      <c r="U12" s="6" t="s">
        <v>86</v>
      </c>
      <c r="V12" s="5" t="n">
        <v>25</v>
      </c>
      <c r="W12" s="5" t="n">
        <v>91.78</v>
      </c>
      <c r="X12" s="5" t="n">
        <v>8.83</v>
      </c>
      <c r="Y12" s="5" t="n">
        <v>24</v>
      </c>
      <c r="Z12" s="5" t="n">
        <v>77.28</v>
      </c>
      <c r="AA12" s="5" t="n">
        <v>23.08</v>
      </c>
      <c r="AB12" s="5" t="s">
        <v>99</v>
      </c>
      <c r="AC12" s="5"/>
      <c r="AD12" s="5" t="n">
        <v>1</v>
      </c>
      <c r="AE12" s="7" t="n">
        <f aca="false">IFERROR(IF(AB12="MSD",IF(COUNT(V12,W12,X12,Y12,Z12,AA12)&lt;6,"",(W12-Z12)/SQRT(((V12-1)*X12^2+(Y12-1)*AA12^2)/(V12+Y12-2))*AD12),IF(AB12="t",AC12*SQRT(1/V12+1/Y12)*AD12,IF(AB12="F",SQRT(AC12)*SQRT(1/V12+1/Y12)*AD12,IF(AB12="z",2*(AC12/SQRT(V12+Y12))/SQRT(1-(AC12/SQRT(V12+Y12))^2)*AD12,IF(AB12="t_paired",AC12/SQRT(V12)*AD12,""))))),"")</f>
        <v>0.836474727920011</v>
      </c>
      <c r="AF12" s="7" t="n">
        <f aca="false">IF(AE12="","",IF(AB12="t_paired",1-3/(4*(V12-1)-1),1-3/(4*(V12+Y12)-9)))</f>
        <v>0.983957219251337</v>
      </c>
      <c r="AG12" s="7" t="n">
        <f aca="false">IF(AE12="","",AE12*AF12)</f>
        <v>0.823055347258193</v>
      </c>
      <c r="AH12" s="7" t="n">
        <f aca="false">IF(AG12="","",IF(AB12="t_paired",1/V12+AG12^2/(2*V12),(V12+Y12)/(V12*Y12)+AG12^2/(2*(V12+Y12))))</f>
        <v>0.0885791167141188</v>
      </c>
      <c r="AI12" s="7" t="n">
        <f aca="false">IF(AH12="","",SQRT(AH12))</f>
        <v>0.297622439869911</v>
      </c>
      <c r="AJ12" s="7" t="n">
        <f aca="false">IF(AI12="","",AG12-1.96*AI12)</f>
        <v>0.239715365113168</v>
      </c>
      <c r="AK12" s="7" t="n">
        <f aca="false">IF(AI12="","",AG12+1.96*AI12)</f>
        <v>1.40639532940322</v>
      </c>
      <c r="AL12" s="7" t="n">
        <f aca="false">IF(AI12="","",AG12/AI12)</f>
        <v>2.7654344464683</v>
      </c>
      <c r="AM12" s="8" t="n">
        <f aca="false">IF(AL12="","",2*(1-NORMSDIST(ABS(AL12))))</f>
        <v>0.00568470295210699</v>
      </c>
      <c r="AN12" s="9" t="n">
        <f aca="false">IF(COUNT(V12)=0,"",IF(AB12="t_paired",V12,V12+N(Y12)))</f>
        <v>49</v>
      </c>
      <c r="AO12" s="7" t="n">
        <f aca="false">IF(AH12="","",1/AH12)</f>
        <v>11.289342647516</v>
      </c>
      <c r="AP12" s="5" t="s">
        <v>88</v>
      </c>
      <c r="AQ12" s="5" t="s">
        <v>89</v>
      </c>
      <c r="AR12" s="5" t="s">
        <v>145</v>
      </c>
      <c r="AS12" s="7" t="n">
        <f aca="false">IF(AND(AP12="Y",ISNUMBER(AO12)),AO12,0)</f>
        <v>11.289342647516</v>
      </c>
      <c r="AT12" s="7" t="n">
        <f aca="false">IF(AS12&gt;0,AS12*AG12,0)</f>
        <v>9.29175383306803</v>
      </c>
      <c r="AU12" s="7" t="n">
        <f aca="false">IF(AS12&gt;0,AS12*AG12^2,0)</f>
        <v>7.64762767771345</v>
      </c>
      <c r="AV12" s="9" t="n">
        <f aca="false">IF(AS12&gt;0,AS12^2,0)</f>
        <v>127.449257413024</v>
      </c>
      <c r="AW12" s="7" t="n">
        <f aca="false">IF(AS12&gt;0,AG12,0)</f>
        <v>0.823055347258193</v>
      </c>
      <c r="AX12" s="7" t="n">
        <f aca="false">IF(AS12&gt;0,AH12,1)</f>
        <v>0.0885791167141188</v>
      </c>
    </row>
    <row r="13" customFormat="false" ht="15" hidden="false" customHeight="false" outlineLevel="0" collapsed="false">
      <c r="A13" s="5" t="s">
        <v>146</v>
      </c>
      <c r="B13" s="5" t="s">
        <v>129</v>
      </c>
      <c r="C13" s="5" t="s">
        <v>130</v>
      </c>
      <c r="D13" s="5" t="n">
        <v>2024</v>
      </c>
      <c r="E13" s="5" t="s">
        <v>71</v>
      </c>
      <c r="F13" s="5" t="s">
        <v>72</v>
      </c>
      <c r="G13" s="5" t="s">
        <v>73</v>
      </c>
      <c r="H13" s="5" t="s">
        <v>131</v>
      </c>
      <c r="I13" s="5" t="s">
        <v>132</v>
      </c>
      <c r="J13" s="5" t="s">
        <v>76</v>
      </c>
      <c r="K13" s="5" t="s">
        <v>133</v>
      </c>
      <c r="L13" s="5" t="s">
        <v>134</v>
      </c>
      <c r="M13" s="5" t="s">
        <v>135</v>
      </c>
      <c r="N13" s="5" t="s">
        <v>136</v>
      </c>
      <c r="O13" s="5" t="s">
        <v>81</v>
      </c>
      <c r="P13" s="10" t="s">
        <v>82</v>
      </c>
      <c r="Q13" s="10" t="s">
        <v>103</v>
      </c>
      <c r="R13" s="5"/>
      <c r="S13" s="10" t="s">
        <v>104</v>
      </c>
      <c r="T13" s="5" t="s">
        <v>147</v>
      </c>
      <c r="U13" s="10" t="s">
        <v>98</v>
      </c>
      <c r="V13" s="5" t="n">
        <v>25</v>
      </c>
      <c r="W13" s="5" t="n">
        <v>8.72</v>
      </c>
      <c r="X13" s="5" t="n">
        <v>4.05</v>
      </c>
      <c r="Y13" s="5" t="n">
        <v>24</v>
      </c>
      <c r="Z13" s="5" t="n">
        <v>6.9</v>
      </c>
      <c r="AA13" s="5" t="n">
        <v>4.6</v>
      </c>
      <c r="AB13" s="5" t="s">
        <v>99</v>
      </c>
      <c r="AC13" s="5"/>
      <c r="AD13" s="5" t="n">
        <v>1</v>
      </c>
      <c r="AE13" s="7" t="n">
        <f aca="false">IFERROR(IF(AB13="MSD",IF(COUNT(V13,W13,X13,Y13,Z13,AA13)&lt;6,"",(W13-Z13)/SQRT(((V13-1)*X13^2+(Y13-1)*AA13^2)/(V13+Y13-2))*AD13),IF(AB13="t",AC13*SQRT(1/V13+1/Y13)*AD13,IF(AB13="F",SQRT(AC13)*SQRT(1/V13+1/Y13)*AD13,IF(AB13="z",2*(AC13/SQRT(V13+Y13))/SQRT(1-(AC13/SQRT(V13+Y13))^2)*AD13,IF(AB13="t_paired",AC13/SQRT(V13)*AD13,""))))),"")</f>
        <v>0.420528175818189</v>
      </c>
      <c r="AF13" s="7" t="n">
        <f aca="false">IF(AE13="","",IF(AB13="t_paired",1-3/(4*(V13-1)-1),1-3/(4*(V13+Y13)-9)))</f>
        <v>0.983957219251337</v>
      </c>
      <c r="AG13" s="7" t="n">
        <f aca="false">IF(AE13="","",AE13*AF13)</f>
        <v>0.413781734494902</v>
      </c>
      <c r="AH13" s="7" t="n">
        <f aca="false">IF(AG13="","",IF(AB13="t_paired",1/V13+AG13^2/(2*V13),(V13+Y13)/(V13*Y13)+AG13^2/(2*(V13+Y13))))</f>
        <v>0.0834137618074994</v>
      </c>
      <c r="AI13" s="7" t="n">
        <f aca="false">IF(AH13="","",SQRT(AH13))</f>
        <v>0.288814407202098</v>
      </c>
      <c r="AJ13" s="7" t="n">
        <f aca="false">IF(AI13="","",AG13-1.96*AI13)</f>
        <v>-0.15229450362121</v>
      </c>
      <c r="AK13" s="7" t="n">
        <f aca="false">IF(AI13="","",AG13+1.96*AI13)</f>
        <v>0.979857972611015</v>
      </c>
      <c r="AL13" s="7" t="n">
        <f aca="false">IF(AI13="","",AG13/AI13)</f>
        <v>1.43269076672258</v>
      </c>
      <c r="AM13" s="8" t="n">
        <f aca="false">IF(AL13="","",2*(1-NORMSDIST(ABS(AL13))))</f>
        <v>0.151946229338209</v>
      </c>
      <c r="AN13" s="9" t="n">
        <f aca="false">IF(COUNT(V13)=0,"",IF(AB13="t_paired",V13,V13+N(Y13)))</f>
        <v>49</v>
      </c>
      <c r="AO13" s="7" t="n">
        <f aca="false">IF(AH13="","",1/AH13)</f>
        <v>11.9884294669239</v>
      </c>
      <c r="AP13" s="5" t="s">
        <v>100</v>
      </c>
      <c r="AQ13" s="5" t="s">
        <v>89</v>
      </c>
      <c r="AR13" s="5" t="s">
        <v>148</v>
      </c>
      <c r="AS13" s="9" t="n">
        <f aca="false">IF(AND(AP13="Y",ISNUMBER(AO13)),AO13,0)</f>
        <v>0</v>
      </c>
      <c r="AT13" s="7" t="n">
        <f aca="false">IF(AS13&gt;0,AS13*AG13,0)</f>
        <v>0</v>
      </c>
      <c r="AU13" s="7" t="n">
        <f aca="false">IF(AS13&gt;0,AS13*AG13^2,0)</f>
        <v>0</v>
      </c>
      <c r="AV13" s="9" t="n">
        <f aca="false">IF(AS13&gt;0,AS13^2,0)</f>
        <v>0</v>
      </c>
      <c r="AW13" s="7" t="n">
        <f aca="false">IF(AS13&gt;0,AG13,0)</f>
        <v>0</v>
      </c>
      <c r="AX13" s="7" t="n">
        <f aca="false">IF(AS13&gt;0,AH13,1)</f>
        <v>1</v>
      </c>
    </row>
    <row r="14" customFormat="false" ht="15" hidden="false" customHeight="false" outlineLevel="0" collapsed="false">
      <c r="A14" s="5" t="s">
        <v>149</v>
      </c>
      <c r="B14" s="5" t="s">
        <v>129</v>
      </c>
      <c r="C14" s="5" t="s">
        <v>130</v>
      </c>
      <c r="D14" s="5" t="n">
        <v>2024</v>
      </c>
      <c r="E14" s="5" t="s">
        <v>71</v>
      </c>
      <c r="F14" s="5" t="s">
        <v>72</v>
      </c>
      <c r="G14" s="5" t="s">
        <v>73</v>
      </c>
      <c r="H14" s="5" t="s">
        <v>131</v>
      </c>
      <c r="I14" s="5" t="s">
        <v>132</v>
      </c>
      <c r="J14" s="5" t="s">
        <v>76</v>
      </c>
      <c r="K14" s="5" t="s">
        <v>133</v>
      </c>
      <c r="L14" s="5" t="s">
        <v>134</v>
      </c>
      <c r="M14" s="5" t="s">
        <v>135</v>
      </c>
      <c r="N14" s="5" t="s">
        <v>136</v>
      </c>
      <c r="O14" s="5" t="s">
        <v>81</v>
      </c>
      <c r="P14" s="10" t="s">
        <v>113</v>
      </c>
      <c r="Q14" s="10" t="s">
        <v>114</v>
      </c>
      <c r="R14" s="5" t="s">
        <v>115</v>
      </c>
      <c r="S14" s="10" t="s">
        <v>116</v>
      </c>
      <c r="T14" s="5" t="s">
        <v>150</v>
      </c>
      <c r="U14" s="10" t="s">
        <v>98</v>
      </c>
      <c r="V14" s="5" t="n">
        <v>25</v>
      </c>
      <c r="W14" s="5" t="n">
        <v>28.36</v>
      </c>
      <c r="X14" s="5" t="n">
        <v>4.75</v>
      </c>
      <c r="Y14" s="5" t="n">
        <v>24</v>
      </c>
      <c r="Z14" s="5" t="n">
        <v>27.2</v>
      </c>
      <c r="AA14" s="5" t="n">
        <v>4.38</v>
      </c>
      <c r="AB14" s="5" t="s">
        <v>99</v>
      </c>
      <c r="AC14" s="5"/>
      <c r="AD14" s="5" t="n">
        <v>1</v>
      </c>
      <c r="AE14" s="7" t="n">
        <f aca="false">IFERROR(IF(AB14="MSD",IF(COUNT(V14,W14,X14,Y14,Z14,AA14)&lt;6,"",(W14-Z14)/SQRT(((V14-1)*X14^2+(Y14-1)*AA14^2)/(V14+Y14-2))*AD14),IF(AB14="t",AC14*SQRT(1/V14+1/Y14)*AD14,IF(AB14="F",SQRT(AC14)*SQRT(1/V14+1/Y14)*AD14,IF(AB14="z",2*(AC14/SQRT(V14+Y14))/SQRT(1-(AC14/SQRT(V14+Y14))^2)*AD14,IF(AB14="t_paired",AC14/SQRT(V14)*AD14,""))))),"")</f>
        <v>0.253680646840853</v>
      </c>
      <c r="AF14" s="7" t="n">
        <f aca="false">IF(AE14="","",IF(AB14="t_paired",1-3/(4*(V14-1)-1),1-3/(4*(V14+Y14)-9)))</f>
        <v>0.983957219251337</v>
      </c>
      <c r="AG14" s="7" t="n">
        <f aca="false">IF(AE14="","",AE14*AF14)</f>
        <v>0.249610903843406</v>
      </c>
      <c r="AH14" s="7" t="n">
        <f aca="false">IF(AG14="","",IF(AB14="t_paired",1/V14+AG14^2/(2*V14),(V14+Y14)/(V14*Y14)+AG14^2/(2*(V14+Y14))))</f>
        <v>0.0823024381290904</v>
      </c>
      <c r="AI14" s="7" t="n">
        <f aca="false">IF(AH14="","",SQRT(AH14))</f>
        <v>0.286884015116023</v>
      </c>
      <c r="AJ14" s="7" t="n">
        <f aca="false">IF(AI14="","",AG14-1.96*AI14)</f>
        <v>-0.312681765783998</v>
      </c>
      <c r="AK14" s="7" t="n">
        <f aca="false">IF(AI14="","",AG14+1.96*AI14)</f>
        <v>0.811903573470811</v>
      </c>
      <c r="AL14" s="7" t="n">
        <f aca="false">IF(AI14="","",AG14/AI14)</f>
        <v>0.870076026168477</v>
      </c>
      <c r="AM14" s="8" t="n">
        <f aca="false">IF(AL14="","",2*(1-NORMSDIST(ABS(AL14))))</f>
        <v>0.38425885812716</v>
      </c>
      <c r="AN14" s="9" t="n">
        <f aca="false">IF(COUNT(V14)=0,"",IF(AB14="t_paired",V14,V14+N(Y14)))</f>
        <v>49</v>
      </c>
      <c r="AO14" s="7" t="n">
        <f aca="false">IF(AH14="","",1/AH14)</f>
        <v>12.1503083351129</v>
      </c>
      <c r="AP14" s="5" t="s">
        <v>100</v>
      </c>
      <c r="AQ14" s="5" t="s">
        <v>89</v>
      </c>
      <c r="AR14" s="5" t="s">
        <v>151</v>
      </c>
      <c r="AS14" s="9" t="n">
        <f aca="false">IF(AND(AP14="Y",ISNUMBER(AO14)),AO14,0)</f>
        <v>0</v>
      </c>
      <c r="AT14" s="7" t="n">
        <f aca="false">IF(AS14&gt;0,AS14*AG14,0)</f>
        <v>0</v>
      </c>
      <c r="AU14" s="7" t="n">
        <f aca="false">IF(AS14&gt;0,AS14*AG14^2,0)</f>
        <v>0</v>
      </c>
      <c r="AV14" s="9" t="n">
        <f aca="false">IF(AS14&gt;0,AS14^2,0)</f>
        <v>0</v>
      </c>
      <c r="AW14" s="7" t="n">
        <f aca="false">IF(AS14&gt;0,AG14,0)</f>
        <v>0</v>
      </c>
      <c r="AX14" s="7" t="n">
        <f aca="false">IF(AS14&gt;0,AH14,1)</f>
        <v>1</v>
      </c>
    </row>
    <row r="15" customFormat="false" ht="15" hidden="false" customHeight="false" outlineLevel="0" collapsed="false">
      <c r="A15" s="5" t="s">
        <v>152</v>
      </c>
      <c r="B15" s="5" t="s">
        <v>129</v>
      </c>
      <c r="C15" s="5" t="s">
        <v>130</v>
      </c>
      <c r="D15" s="5" t="n">
        <v>2024</v>
      </c>
      <c r="E15" s="5" t="s">
        <v>71</v>
      </c>
      <c r="F15" s="5" t="s">
        <v>72</v>
      </c>
      <c r="G15" s="5" t="s">
        <v>73</v>
      </c>
      <c r="H15" s="5" t="s">
        <v>131</v>
      </c>
      <c r="I15" s="5" t="s">
        <v>132</v>
      </c>
      <c r="J15" s="5" t="s">
        <v>76</v>
      </c>
      <c r="K15" s="5" t="s">
        <v>133</v>
      </c>
      <c r="L15" s="5" t="s">
        <v>134</v>
      </c>
      <c r="M15" s="5" t="s">
        <v>135</v>
      </c>
      <c r="N15" s="5" t="s">
        <v>136</v>
      </c>
      <c r="O15" s="5" t="s">
        <v>81</v>
      </c>
      <c r="P15" s="10" t="s">
        <v>113</v>
      </c>
      <c r="Q15" s="10" t="s">
        <v>114</v>
      </c>
      <c r="R15" s="5" t="s">
        <v>125</v>
      </c>
      <c r="S15" s="10" t="s">
        <v>126</v>
      </c>
      <c r="T15" s="5" t="s">
        <v>153</v>
      </c>
      <c r="U15" s="10" t="s">
        <v>98</v>
      </c>
      <c r="V15" s="5" t="n">
        <v>25</v>
      </c>
      <c r="W15" s="5" t="n">
        <v>33.92</v>
      </c>
      <c r="X15" s="5" t="n">
        <v>9.12</v>
      </c>
      <c r="Y15" s="5" t="n">
        <v>24</v>
      </c>
      <c r="Z15" s="5" t="n">
        <v>37.54</v>
      </c>
      <c r="AA15" s="5" t="n">
        <v>6.72</v>
      </c>
      <c r="AB15" s="5" t="s">
        <v>99</v>
      </c>
      <c r="AC15" s="5"/>
      <c r="AD15" s="5" t="n">
        <v>1</v>
      </c>
      <c r="AE15" s="7" t="n">
        <f aca="false">IFERROR(IF(AB15="MSD",IF(COUNT(V15,W15,X15,Y15,Z15,AA15)&lt;6,"",(W15-Z15)/SQRT(((V15-1)*X15^2+(Y15-1)*AA15^2)/(V15+Y15-2))*AD15),IF(AB15="t",AC15*SQRT(1/V15+1/Y15)*AD15,IF(AB15="F",SQRT(AC15)*SQRT(1/V15+1/Y15)*AD15,IF(AB15="z",2*(AC15/SQRT(V15+Y15))/SQRT(1-(AC15/SQRT(V15+Y15))^2)*AD15,IF(AB15="t_paired",AC15/SQRT(V15)*AD15,""))))),"")</f>
        <v>-0.450495441845376</v>
      </c>
      <c r="AF15" s="7" t="n">
        <f aca="false">IF(AE15="","",IF(AB15="t_paired",1-3/(4*(V15-1)-1),1-3/(4*(V15+Y15)-9)))</f>
        <v>0.983957219251337</v>
      </c>
      <c r="AG15" s="7" t="n">
        <f aca="false">IF(AE15="","",AE15*AF15)</f>
        <v>-0.443268242243578</v>
      </c>
      <c r="AH15" s="7" t="n">
        <f aca="false">IF(AG15="","",IF(AB15="t_paired",1/V15+AG15^2/(2*V15),(V15+Y15)/(V15*Y15)+AG15^2/(2*(V15+Y15))))</f>
        <v>0.0836716333460719</v>
      </c>
      <c r="AI15" s="7" t="n">
        <f aca="false">IF(AH15="","",SQRT(AH15))</f>
        <v>0.289260493925582</v>
      </c>
      <c r="AJ15" s="7" t="n">
        <f aca="false">IF(AI15="","",AG15-1.96*AI15)</f>
        <v>-1.01021881033772</v>
      </c>
      <c r="AK15" s="7" t="n">
        <f aca="false">IF(AI15="","",AG15+1.96*AI15)</f>
        <v>0.123682325850563</v>
      </c>
      <c r="AL15" s="7" t="n">
        <f aca="false">IF(AI15="","",AG15/AI15)</f>
        <v>-1.53241888039373</v>
      </c>
      <c r="AM15" s="8" t="n">
        <f aca="false">IF(AL15="","",2*(1-NORMSDIST(ABS(AL15))))</f>
        <v>0.125419101299468</v>
      </c>
      <c r="AN15" s="9" t="n">
        <f aca="false">IF(COUNT(V15)=0,"",IF(AB15="t_paired",V15,V15+N(Y15)))</f>
        <v>49</v>
      </c>
      <c r="AO15" s="7" t="n">
        <f aca="false">IF(AH15="","",1/AH15)</f>
        <v>11.9514817628088</v>
      </c>
      <c r="AP15" s="5" t="s">
        <v>100</v>
      </c>
      <c r="AQ15" s="5" t="s">
        <v>89</v>
      </c>
      <c r="AR15" s="5" t="s">
        <v>154</v>
      </c>
      <c r="AS15" s="9" t="n">
        <f aca="false">IF(AND(AP15="Y",ISNUMBER(AO15)),AO15,0)</f>
        <v>0</v>
      </c>
      <c r="AT15" s="7" t="n">
        <f aca="false">IF(AS15&gt;0,AS15*AG15,0)</f>
        <v>0</v>
      </c>
      <c r="AU15" s="7" t="n">
        <f aca="false">IF(AS15&gt;0,AS15*AG15^2,0)</f>
        <v>0</v>
      </c>
      <c r="AV15" s="9" t="n">
        <f aca="false">IF(AS15&gt;0,AS15^2,0)</f>
        <v>0</v>
      </c>
      <c r="AW15" s="7" t="n">
        <f aca="false">IF(AS15&gt;0,AG15,0)</f>
        <v>0</v>
      </c>
      <c r="AX15" s="7" t="n">
        <f aca="false">IF(AS15&gt;0,AH15,1)</f>
        <v>1</v>
      </c>
    </row>
    <row r="16" customFormat="false" ht="15" hidden="false" customHeight="false" outlineLevel="0" collapsed="false">
      <c r="A16" s="5" t="s">
        <v>155</v>
      </c>
      <c r="B16" s="5" t="s">
        <v>156</v>
      </c>
      <c r="C16" s="5" t="s">
        <v>157</v>
      </c>
      <c r="D16" s="5" t="n">
        <v>2021</v>
      </c>
      <c r="E16" s="5" t="s">
        <v>158</v>
      </c>
      <c r="F16" s="5" t="s">
        <v>159</v>
      </c>
      <c r="G16" s="5" t="s">
        <v>160</v>
      </c>
      <c r="H16" s="5" t="s">
        <v>161</v>
      </c>
      <c r="I16" s="5" t="s">
        <v>161</v>
      </c>
      <c r="J16" s="5" t="s">
        <v>162</v>
      </c>
      <c r="K16" s="5" t="s">
        <v>163</v>
      </c>
      <c r="L16" s="5" t="s">
        <v>164</v>
      </c>
      <c r="M16" s="5"/>
      <c r="N16" s="5"/>
      <c r="O16" s="5" t="s">
        <v>162</v>
      </c>
      <c r="P16" s="6" t="s">
        <v>82</v>
      </c>
      <c r="Q16" s="6" t="s">
        <v>83</v>
      </c>
      <c r="R16" s="5"/>
      <c r="S16" s="6" t="s">
        <v>165</v>
      </c>
      <c r="T16" s="5" t="s">
        <v>166</v>
      </c>
      <c r="U16" s="6" t="s">
        <v>86</v>
      </c>
      <c r="V16" s="5" t="n">
        <v>34</v>
      </c>
      <c r="W16" s="5" t="n">
        <v>32.88</v>
      </c>
      <c r="X16" s="5" t="n">
        <v>9.64</v>
      </c>
      <c r="Y16" s="5" t="n">
        <v>33</v>
      </c>
      <c r="Z16" s="5" t="n">
        <v>27.75</v>
      </c>
      <c r="AA16" s="5" t="n">
        <v>11.11</v>
      </c>
      <c r="AB16" s="5" t="s">
        <v>99</v>
      </c>
      <c r="AC16" s="5"/>
      <c r="AD16" s="5" t="n">
        <v>1</v>
      </c>
      <c r="AE16" s="7" t="n">
        <f aca="false">IFERROR(IF(AB16="MSD",IF(COUNT(V16,W16,X16,Y16,Z16,AA16)&lt;6,"",(W16-Z16)/SQRT(((V16-1)*X16^2+(Y16-1)*AA16^2)/(V16+Y16-2))*AD16),IF(AB16="t",AC16*SQRT(1/V16+1/Y16)*AD16,IF(AB16="F",SQRT(AC16)*SQRT(1/V16+1/Y16)*AD16,IF(AB16="z",2*(AC16/SQRT(V16+Y16))/SQRT(1-(AC16/SQRT(V16+Y16))^2)*AD16,IF(AB16="t_paired",AC16/SQRT(V16)*AD16,""))))),"")</f>
        <v>0.493757442477914</v>
      </c>
      <c r="AF16" s="7" t="n">
        <f aca="false">IF(AE16="","",IF(AB16="t_paired",1-3/(4*(V16-1)-1),1-3/(4*(V16+Y16)-9)))</f>
        <v>0.988416988416988</v>
      </c>
      <c r="AG16" s="7" t="n">
        <f aca="false">IF(AE16="","",AE16*AF16)</f>
        <v>0.488038244302494</v>
      </c>
      <c r="AH16" s="7" t="n">
        <f aca="false">IF(AG16="","",IF(AB16="t_paired",1/V16+AG16^2/(2*V16),(V16+Y16)/(V16*Y16)+AG16^2/(2*(V16+Y16))))</f>
        <v>0.0614922676051952</v>
      </c>
      <c r="AI16" s="7" t="n">
        <f aca="false">IF(AH16="","",SQRT(AH16))</f>
        <v>0.247976344850059</v>
      </c>
      <c r="AJ16" s="7" t="n">
        <f aca="false">IF(AI16="","",AG16-1.96*AI16)</f>
        <v>0.0020046083963795</v>
      </c>
      <c r="AK16" s="7" t="n">
        <f aca="false">IF(AI16="","",AG16+1.96*AI16)</f>
        <v>0.974071880208609</v>
      </c>
      <c r="AL16" s="7" t="n">
        <f aca="false">IF(AI16="","",AG16/AI16)</f>
        <v>1.96808386944163</v>
      </c>
      <c r="AM16" s="8" t="n">
        <f aca="false">IF(AL16="","",2*(1-NORMSDIST(ABS(AL16))))</f>
        <v>0.0490583885061653</v>
      </c>
      <c r="AN16" s="9" t="n">
        <f aca="false">IF(COUNT(V16)=0,"",IF(AB16="t_paired",V16,V16+N(Y16)))</f>
        <v>67</v>
      </c>
      <c r="AO16" s="7" t="n">
        <f aca="false">IF(AH16="","",1/AH16)</f>
        <v>16.2622072488918</v>
      </c>
      <c r="AP16" s="5" t="s">
        <v>88</v>
      </c>
      <c r="AQ16" s="5" t="s">
        <v>167</v>
      </c>
      <c r="AR16" s="5"/>
      <c r="AS16" s="7" t="n">
        <f aca="false">IF(AND(AP16="Y",ISNUMBER(AO16)),AO16,0)</f>
        <v>16.2622072488918</v>
      </c>
      <c r="AT16" s="7" t="n">
        <f aca="false">IF(AS16&gt;0,AS16*AG16,0)</f>
        <v>7.93657907423245</v>
      </c>
      <c r="AU16" s="7" t="n">
        <f aca="false">IF(AS16&gt;0,AS16*AG16^2,0)</f>
        <v>3.87335411715632</v>
      </c>
      <c r="AV16" s="9" t="n">
        <f aca="false">IF(AS16&gt;0,AS16^2,0)</f>
        <v>264.459384605909</v>
      </c>
      <c r="AW16" s="7" t="n">
        <f aca="false">IF(AS16&gt;0,AG16,0)</f>
        <v>0.488038244302494</v>
      </c>
      <c r="AX16" s="7" t="n">
        <f aca="false">IF(AS16&gt;0,AH16,1)</f>
        <v>0.0614922676051952</v>
      </c>
    </row>
    <row r="17" customFormat="false" ht="15" hidden="false" customHeight="false" outlineLevel="0" collapsed="false">
      <c r="A17" s="5" t="s">
        <v>168</v>
      </c>
      <c r="B17" s="5" t="s">
        <v>156</v>
      </c>
      <c r="C17" s="5" t="s">
        <v>157</v>
      </c>
      <c r="D17" s="5" t="n">
        <v>2021</v>
      </c>
      <c r="E17" s="5" t="s">
        <v>158</v>
      </c>
      <c r="F17" s="5" t="s">
        <v>159</v>
      </c>
      <c r="G17" s="5" t="s">
        <v>160</v>
      </c>
      <c r="H17" s="5" t="s">
        <v>161</v>
      </c>
      <c r="I17" s="5" t="s">
        <v>161</v>
      </c>
      <c r="J17" s="5" t="s">
        <v>162</v>
      </c>
      <c r="K17" s="5" t="s">
        <v>163</v>
      </c>
      <c r="L17" s="5" t="s">
        <v>164</v>
      </c>
      <c r="M17" s="5"/>
      <c r="N17" s="5"/>
      <c r="O17" s="5" t="s">
        <v>162</v>
      </c>
      <c r="P17" s="6" t="s">
        <v>82</v>
      </c>
      <c r="Q17" s="6" t="s">
        <v>83</v>
      </c>
      <c r="R17" s="5"/>
      <c r="S17" s="6" t="s">
        <v>169</v>
      </c>
      <c r="T17" s="5" t="s">
        <v>166</v>
      </c>
      <c r="U17" s="6" t="s">
        <v>86</v>
      </c>
      <c r="V17" s="5" t="n">
        <v>33</v>
      </c>
      <c r="W17" s="5" t="n">
        <v>42.27</v>
      </c>
      <c r="X17" s="5" t="n">
        <v>14.3</v>
      </c>
      <c r="Y17" s="5" t="n">
        <v>34</v>
      </c>
      <c r="Z17" s="5" t="n">
        <v>32.88</v>
      </c>
      <c r="AA17" s="5" t="n">
        <v>9.64</v>
      </c>
      <c r="AB17" s="5" t="s">
        <v>99</v>
      </c>
      <c r="AC17" s="5"/>
      <c r="AD17" s="5" t="n">
        <v>1</v>
      </c>
      <c r="AE17" s="7" t="n">
        <f aca="false">IFERROR(IF(AB17="MSD",IF(COUNT(V17,W17,X17,Y17,Z17,AA17)&lt;6,"",(W17-Z17)/SQRT(((V17-1)*X17^2+(Y17-1)*AA17^2)/(V17+Y17-2))*AD17),IF(AB17="t",AC17*SQRT(1/V17+1/Y17)*AD17,IF(AB17="F",SQRT(AC17)*SQRT(1/V17+1/Y17)*AD17,IF(AB17="z",2*(AC17/SQRT(V17+Y17))/SQRT(1-(AC17/SQRT(V17+Y17))^2)*AD17,IF(AB17="t_paired",AC17/SQRT(V17)*AD17,""))))),"")</f>
        <v>0.772240393824256</v>
      </c>
      <c r="AF17" s="7" t="n">
        <f aca="false">IF(AE17="","",IF(AB17="t_paired",1-3/(4*(V17-1)-1),1-3/(4*(V17+Y17)-9)))</f>
        <v>0.988416988416988</v>
      </c>
      <c r="AG17" s="7" t="n">
        <f aca="false">IF(AE17="","",AE17*AF17)</f>
        <v>0.76329552439772</v>
      </c>
      <c r="AH17" s="7" t="n">
        <f aca="false">IF(AG17="","",IF(AB17="t_paired",1/V17+AG17^2/(2*V17),(V17+Y17)/(V17*Y17)+AG17^2/(2*(V17+Y17))))</f>
        <v>0.0640627058862678</v>
      </c>
      <c r="AI17" s="7" t="n">
        <f aca="false">IF(AH17="","",SQRT(AH17))</f>
        <v>0.253106115861051</v>
      </c>
      <c r="AJ17" s="7" t="n">
        <f aca="false">IF(AI17="","",AG17-1.96*AI17)</f>
        <v>0.26720753731006</v>
      </c>
      <c r="AK17" s="7" t="n">
        <f aca="false">IF(AI17="","",AG17+1.96*AI17)</f>
        <v>1.25938351148538</v>
      </c>
      <c r="AL17" s="7" t="n">
        <f aca="false">IF(AI17="","",AG17/AI17)</f>
        <v>3.01571347575319</v>
      </c>
      <c r="AM17" s="8" t="n">
        <f aca="false">IF(AL17="","",2*(1-NORMSDIST(ABS(AL17))))</f>
        <v>0.002563753975243</v>
      </c>
      <c r="AN17" s="9" t="n">
        <f aca="false">IF(COUNT(V17)=0,"",IF(AB17="t_paired",V17,V17+N(Y17)))</f>
        <v>67</v>
      </c>
      <c r="AO17" s="7" t="n">
        <f aca="false">IF(AH17="","",1/AH17)</f>
        <v>15.6097059305507</v>
      </c>
      <c r="AP17" s="5" t="s">
        <v>88</v>
      </c>
      <c r="AQ17" s="5" t="s">
        <v>167</v>
      </c>
      <c r="AR17" s="5"/>
      <c r="AS17" s="7" t="n">
        <f aca="false">IF(AND(AP17="Y",ISNUMBER(AO17)),AO17,0)</f>
        <v>15.6097059305507</v>
      </c>
      <c r="AT17" s="7" t="n">
        <f aca="false">IF(AS17&gt;0,AS17*AG17,0)</f>
        <v>11.9148186739539</v>
      </c>
      <c r="AU17" s="7" t="n">
        <f aca="false">IF(AS17&gt;0,AS17*AG17^2,0)</f>
        <v>9.09452776783938</v>
      </c>
      <c r="AV17" s="9" t="n">
        <f aca="false">IF(AS17&gt;0,AS17^2,0)</f>
        <v>243.66291923827</v>
      </c>
      <c r="AW17" s="7" t="n">
        <f aca="false">IF(AS17&gt;0,AG17,0)</f>
        <v>0.76329552439772</v>
      </c>
      <c r="AX17" s="7" t="n">
        <f aca="false">IF(AS17&gt;0,AH17,1)</f>
        <v>0.0640627058862678</v>
      </c>
    </row>
    <row r="18" customFormat="false" ht="15" hidden="false" customHeight="false" outlineLevel="0" collapsed="false">
      <c r="A18" s="5" t="s">
        <v>170</v>
      </c>
      <c r="B18" s="5" t="s">
        <v>171</v>
      </c>
      <c r="C18" s="5" t="s">
        <v>172</v>
      </c>
      <c r="D18" s="5" t="n">
        <v>2023</v>
      </c>
      <c r="E18" s="5" t="s">
        <v>158</v>
      </c>
      <c r="F18" s="5" t="s">
        <v>173</v>
      </c>
      <c r="G18" s="5" t="s">
        <v>160</v>
      </c>
      <c r="H18" s="5" t="s">
        <v>174</v>
      </c>
      <c r="I18" s="5" t="s">
        <v>175</v>
      </c>
      <c r="J18" s="5" t="s">
        <v>162</v>
      </c>
      <c r="K18" s="5" t="s">
        <v>163</v>
      </c>
      <c r="L18" s="5" t="s">
        <v>164</v>
      </c>
      <c r="M18" s="5"/>
      <c r="N18" s="5"/>
      <c r="O18" s="5" t="s">
        <v>162</v>
      </c>
      <c r="P18" s="6" t="s">
        <v>82</v>
      </c>
      <c r="Q18" s="6" t="s">
        <v>83</v>
      </c>
      <c r="R18" s="5"/>
      <c r="S18" s="6" t="s">
        <v>176</v>
      </c>
      <c r="T18" s="5" t="s">
        <v>177</v>
      </c>
      <c r="U18" s="6" t="s">
        <v>86</v>
      </c>
      <c r="V18" s="5" t="n">
        <v>41</v>
      </c>
      <c r="W18" s="5" t="n">
        <v>48.6</v>
      </c>
      <c r="X18" s="5" t="n">
        <v>22.7</v>
      </c>
      <c r="Y18" s="5" t="n">
        <v>43</v>
      </c>
      <c r="Z18" s="5" t="n">
        <v>54</v>
      </c>
      <c r="AA18" s="5" t="n">
        <v>18.3</v>
      </c>
      <c r="AB18" s="5" t="s">
        <v>99</v>
      </c>
      <c r="AC18" s="5"/>
      <c r="AD18" s="5" t="n">
        <v>1</v>
      </c>
      <c r="AE18" s="7" t="n">
        <f aca="false">IFERROR(IF(AB18="MSD",IF(COUNT(V18,W18,X18,Y18,Z18,AA18)&lt;6,"",(W18-Z18)/SQRT(((V18-1)*X18^2+(Y18-1)*AA18^2)/(V18+Y18-2))*AD18),IF(AB18="t",AC18*SQRT(1/V18+1/Y18)*AD18,IF(AB18="F",SQRT(AC18)*SQRT(1/V18+1/Y18)*AD18,IF(AB18="z",2*(AC18/SQRT(V18+Y18))/SQRT(1-(AC18/SQRT(V18+Y18))^2)*AD18,IF(AB18="t_paired",AC18/SQRT(V18)*AD18,""))))),"")</f>
        <v>-0.262591129970925</v>
      </c>
      <c r="AF18" s="7" t="n">
        <f aca="false">IF(AE18="","",IF(AB18="t_paired",1-3/(4*(V18-1)-1),1-3/(4*(V18+Y18)-9)))</f>
        <v>0.990825688073395</v>
      </c>
      <c r="AG18" s="7" t="n">
        <f aca="false">IF(AE18="","",AE18*AF18)</f>
        <v>-0.260182037035412</v>
      </c>
      <c r="AH18" s="7" t="n">
        <f aca="false">IF(AG18="","",IF(AB18="t_paired",1/V18+AG18^2/(2*V18),(V18+Y18)/(V18*Y18)+AG18^2/(2*(V18+Y18))))</f>
        <v>0.048049002453522</v>
      </c>
      <c r="AI18" s="7" t="n">
        <f aca="false">IF(AH18="","",SQRT(AH18))</f>
        <v>0.219200826762862</v>
      </c>
      <c r="AJ18" s="7" t="n">
        <f aca="false">IF(AI18="","",AG18-1.96*AI18)</f>
        <v>-0.689815657490621</v>
      </c>
      <c r="AK18" s="7" t="n">
        <f aca="false">IF(AI18="","",AG18+1.96*AI18)</f>
        <v>0.169451583419796</v>
      </c>
      <c r="AL18" s="7" t="n">
        <f aca="false">IF(AI18="","",AG18/AI18)</f>
        <v>-1.18695737090848</v>
      </c>
      <c r="AM18" s="8" t="n">
        <f aca="false">IF(AL18="","",2*(1-NORMSDIST(ABS(AL18))))</f>
        <v>0.235244435759976</v>
      </c>
      <c r="AN18" s="9" t="n">
        <f aca="false">IF(COUNT(V18)=0,"",IF(AB18="t_paired",V18,V18+N(Y18)))</f>
        <v>84</v>
      </c>
      <c r="AO18" s="7" t="n">
        <f aca="false">IF(AH18="","",1/AH18)</f>
        <v>20.8120865977874</v>
      </c>
      <c r="AP18" s="5" t="s">
        <v>88</v>
      </c>
      <c r="AQ18" s="5" t="s">
        <v>178</v>
      </c>
      <c r="AR18" s="5" t="s">
        <v>179</v>
      </c>
      <c r="AS18" s="7" t="n">
        <f aca="false">IF(AND(AP18="Y",ISNUMBER(AO18)),AO18,0)</f>
        <v>20.8120865977874</v>
      </c>
      <c r="AT18" s="7" t="n">
        <f aca="false">IF(AS18&gt;0,AS18*AG18,0)</f>
        <v>-5.41493108596973</v>
      </c>
      <c r="AU18" s="7" t="n">
        <f aca="false">IF(AS18&gt;0,AS18*AG18^2,0)</f>
        <v>1.40886780035398</v>
      </c>
      <c r="AV18" s="9" t="n">
        <f aca="false">IF(AS18&gt;0,AS18^2,0)</f>
        <v>433.142948553802</v>
      </c>
      <c r="AW18" s="7" t="n">
        <f aca="false">IF(AS18&gt;0,AG18,0)</f>
        <v>-0.260182037035412</v>
      </c>
      <c r="AX18" s="7" t="n">
        <f aca="false">IF(AS18&gt;0,AH18,1)</f>
        <v>0.048049002453522</v>
      </c>
    </row>
    <row r="19" customFormat="false" ht="15" hidden="false" customHeight="false" outlineLevel="0" collapsed="false">
      <c r="A19" s="5" t="s">
        <v>180</v>
      </c>
      <c r="B19" s="5" t="s">
        <v>171</v>
      </c>
      <c r="C19" s="5" t="s">
        <v>172</v>
      </c>
      <c r="D19" s="5" t="n">
        <v>2023</v>
      </c>
      <c r="E19" s="5" t="s">
        <v>158</v>
      </c>
      <c r="F19" s="5" t="s">
        <v>173</v>
      </c>
      <c r="G19" s="5" t="s">
        <v>160</v>
      </c>
      <c r="H19" s="5" t="s">
        <v>174</v>
      </c>
      <c r="I19" s="5" t="s">
        <v>175</v>
      </c>
      <c r="J19" s="5" t="s">
        <v>162</v>
      </c>
      <c r="K19" s="5" t="s">
        <v>163</v>
      </c>
      <c r="L19" s="5" t="s">
        <v>164</v>
      </c>
      <c r="M19" s="5"/>
      <c r="N19" s="5"/>
      <c r="O19" s="5" t="s">
        <v>162</v>
      </c>
      <c r="P19" s="6" t="s">
        <v>82</v>
      </c>
      <c r="Q19" s="6" t="s">
        <v>83</v>
      </c>
      <c r="R19" s="5"/>
      <c r="S19" s="6" t="s">
        <v>181</v>
      </c>
      <c r="T19" s="5" t="s">
        <v>177</v>
      </c>
      <c r="U19" s="6" t="s">
        <v>86</v>
      </c>
      <c r="V19" s="5" t="n">
        <v>30</v>
      </c>
      <c r="W19" s="5" t="n">
        <v>29.44</v>
      </c>
      <c r="X19" s="5" t="n">
        <v>16.43</v>
      </c>
      <c r="Y19" s="5" t="n">
        <v>23</v>
      </c>
      <c r="Z19" s="5" t="n">
        <v>41.61</v>
      </c>
      <c r="AA19" s="5" t="n">
        <v>25.07</v>
      </c>
      <c r="AB19" s="5" t="s">
        <v>99</v>
      </c>
      <c r="AC19" s="5"/>
      <c r="AD19" s="5" t="n">
        <v>1</v>
      </c>
      <c r="AE19" s="7" t="n">
        <f aca="false">IFERROR(IF(AB19="MSD",IF(COUNT(V19,W19,X19,Y19,Z19,AA19)&lt;6,"",(W19-Z19)/SQRT(((V19-1)*X19^2+(Y19-1)*AA19^2)/(V19+Y19-2))*AD19),IF(AB19="t",AC19*SQRT(1/V19+1/Y19)*AD19,IF(AB19="F",SQRT(AC19)*SQRT(1/V19+1/Y19)*AD19,IF(AB19="z",2*(AC19/SQRT(V19+Y19))/SQRT(1-(AC19/SQRT(V19+Y19))^2)*AD19,IF(AB19="t_paired",AC19/SQRT(V19)*AD19,""))))),"")</f>
        <v>-0.590597302786533</v>
      </c>
      <c r="AF19" s="7" t="n">
        <f aca="false">IF(AE19="","",IF(AB19="t_paired",1-3/(4*(V19-1)-1),1-3/(4*(V19+Y19)-9)))</f>
        <v>0.985221674876847</v>
      </c>
      <c r="AG19" s="7" t="n">
        <f aca="false">IF(AE19="","",AE19*AF19)</f>
        <v>-0.581869263829096</v>
      </c>
      <c r="AH19" s="7" t="n">
        <f aca="false">IF(AG19="","",IF(AB19="t_paired",1/V19+AG19^2/(2*V19),(V19+Y19)/(V19*Y19)+AG19^2/(2*(V19+Y19))))</f>
        <v>0.0800056681669459</v>
      </c>
      <c r="AI19" s="7" t="n">
        <f aca="false">IF(AH19="","",SQRT(AH19))</f>
        <v>0.282852732295352</v>
      </c>
      <c r="AJ19" s="7" t="n">
        <f aca="false">IF(AI19="","",AG19-1.96*AI19)</f>
        <v>-1.13626061912799</v>
      </c>
      <c r="AK19" s="7" t="n">
        <f aca="false">IF(AI19="","",AG19+1.96*AI19)</f>
        <v>-0.0274779085302072</v>
      </c>
      <c r="AL19" s="7" t="n">
        <f aca="false">IF(AI19="","",AG19/AI19)</f>
        <v>-2.05714563584811</v>
      </c>
      <c r="AM19" s="8" t="n">
        <f aca="false">IF(AL19="","",2*(1-NORMSDIST(ABS(AL19))))</f>
        <v>0.0396722190578678</v>
      </c>
      <c r="AN19" s="9" t="n">
        <f aca="false">IF(COUNT(V19)=0,"",IF(AB19="t_paired",V19,V19+N(Y19)))</f>
        <v>53</v>
      </c>
      <c r="AO19" s="7" t="n">
        <f aca="false">IF(AH19="","",1/AH19)</f>
        <v>12.4991144116605</v>
      </c>
      <c r="AP19" s="5" t="s">
        <v>88</v>
      </c>
      <c r="AQ19" s="5" t="s">
        <v>178</v>
      </c>
      <c r="AR19" s="5" t="s">
        <v>182</v>
      </c>
      <c r="AS19" s="7" t="n">
        <f aca="false">IF(AND(AP19="Y",ISNUMBER(AO19)),AO19,0)</f>
        <v>12.4991144116605</v>
      </c>
      <c r="AT19" s="7" t="n">
        <f aca="false">IF(AS19&gt;0,AS19*AG19,0)</f>
        <v>-7.27285050122854</v>
      </c>
      <c r="AU19" s="7" t="n">
        <f aca="false">IF(AS19&gt;0,AS19*AG19^2,0)</f>
        <v>4.23184816708892</v>
      </c>
      <c r="AV19" s="9" t="n">
        <f aca="false">IF(AS19&gt;0,AS19^2,0)</f>
        <v>156.227861075779</v>
      </c>
      <c r="AW19" s="7" t="n">
        <f aca="false">IF(AS19&gt;0,AG19,0)</f>
        <v>-0.581869263829096</v>
      </c>
      <c r="AX19" s="7" t="n">
        <f aca="false">IF(AS19&gt;0,AH19,1)</f>
        <v>0.0800056681669459</v>
      </c>
    </row>
    <row r="20" customFormat="false" ht="15" hidden="false" customHeight="false" outlineLevel="0" collapsed="false">
      <c r="A20" s="5" t="s">
        <v>183</v>
      </c>
      <c r="B20" s="5" t="s">
        <v>184</v>
      </c>
      <c r="C20" s="5" t="s">
        <v>185</v>
      </c>
      <c r="D20" s="5" t="n">
        <v>2023</v>
      </c>
      <c r="E20" s="5" t="s">
        <v>186</v>
      </c>
      <c r="F20" s="5" t="s">
        <v>72</v>
      </c>
      <c r="G20" s="5" t="s">
        <v>187</v>
      </c>
      <c r="H20" s="5" t="s">
        <v>131</v>
      </c>
      <c r="I20" s="5" t="s">
        <v>188</v>
      </c>
      <c r="J20" s="5" t="s">
        <v>189</v>
      </c>
      <c r="K20" s="5" t="s">
        <v>163</v>
      </c>
      <c r="L20" s="5" t="s">
        <v>164</v>
      </c>
      <c r="M20" s="5" t="n">
        <v>3</v>
      </c>
      <c r="N20" s="5"/>
      <c r="O20" s="5" t="s">
        <v>190</v>
      </c>
      <c r="P20" s="10" t="s">
        <v>82</v>
      </c>
      <c r="Q20" s="10" t="s">
        <v>191</v>
      </c>
      <c r="R20" s="5"/>
      <c r="S20" s="10" t="s">
        <v>192</v>
      </c>
      <c r="T20" s="5" t="s">
        <v>193</v>
      </c>
      <c r="U20" s="10" t="s">
        <v>98</v>
      </c>
      <c r="V20" s="5" t="n">
        <v>50</v>
      </c>
      <c r="W20" s="5" t="n">
        <v>70.5</v>
      </c>
      <c r="X20" s="5" t="n">
        <v>7.8</v>
      </c>
      <c r="Y20" s="5" t="n">
        <v>50</v>
      </c>
      <c r="Z20" s="5" t="n">
        <v>70.1</v>
      </c>
      <c r="AA20" s="5" t="n">
        <v>8.2</v>
      </c>
      <c r="AB20" s="5" t="s">
        <v>99</v>
      </c>
      <c r="AC20" s="5"/>
      <c r="AD20" s="5" t="n">
        <v>1</v>
      </c>
      <c r="AE20" s="7" t="n">
        <f aca="false">IFERROR(IF(AB20="MSD",IF(COUNT(V20,W20,X20,Y20,Z20,AA20)&lt;6,"",(W20-Z20)/SQRT(((V20-1)*X20^2+(Y20-1)*AA20^2)/(V20+Y20-2))*AD20),IF(AB20="t",AC20*SQRT(1/V20+1/Y20)*AD20,IF(AB20="F",SQRT(AC20)*SQRT(1/V20+1/Y20)*AD20,IF(AB20="z",2*(AC20/SQRT(V20+Y20))/SQRT(1-(AC20/SQRT(V20+Y20))^2)*AD20,IF(AB20="t_paired",AC20/SQRT(V20)*AD20,""))))),"")</f>
        <v>0.0499843823204068</v>
      </c>
      <c r="AF20" s="7" t="n">
        <f aca="false">IF(AE20="","",IF(AB20="t_paired",1-3/(4*(V20-1)-1),1-3/(4*(V20+Y20)-9)))</f>
        <v>0.9923273657289</v>
      </c>
      <c r="AG20" s="7" t="n">
        <f aca="false">IF(AE20="","",AE20*AF20)</f>
        <v>0.0496008704355955</v>
      </c>
      <c r="AH20" s="7" t="n">
        <f aca="false">IF(AG20="","",IF(AB20="t_paired",1/V20+AG20^2/(2*V20),(V20+Y20)/(V20*Y20)+AG20^2/(2*(V20+Y20))))</f>
        <v>0.0400123012317398</v>
      </c>
      <c r="AI20" s="7" t="n">
        <f aca="false">IF(AH20="","",SQRT(AH20))</f>
        <v>0.200030750715333</v>
      </c>
      <c r="AJ20" s="7" t="n">
        <f aca="false">IF(AI20="","",AG20-1.96*AI20)</f>
        <v>-0.342459400966458</v>
      </c>
      <c r="AK20" s="7" t="n">
        <f aca="false">IF(AI20="","",AG20+1.96*AI20)</f>
        <v>0.441661141837649</v>
      </c>
      <c r="AL20" s="7" t="n">
        <f aca="false">IF(AI20="","",AG20/AI20)</f>
        <v>0.247966226483763</v>
      </c>
      <c r="AM20" s="8" t="n">
        <f aca="false">IF(AL20="","",2*(1-NORMSDIST(ABS(AL20))))</f>
        <v>0.80416053820585</v>
      </c>
      <c r="AN20" s="9" t="n">
        <f aca="false">IF(COUNT(V20)=0,"",IF(AB20="t_paired",V20,V20+N(Y20)))</f>
        <v>100</v>
      </c>
      <c r="AO20" s="7" t="n">
        <f aca="false">IF(AH20="","",1/AH20)</f>
        <v>24.9923140938154</v>
      </c>
      <c r="AP20" s="5" t="s">
        <v>100</v>
      </c>
      <c r="AQ20" s="5" t="s">
        <v>167</v>
      </c>
      <c r="AR20" s="5" t="s">
        <v>194</v>
      </c>
      <c r="AS20" s="9" t="n">
        <f aca="false">IF(AND(AP20="Y",ISNUMBER(AO20)),AO20,0)</f>
        <v>0</v>
      </c>
      <c r="AT20" s="7" t="n">
        <f aca="false">IF(AS20&gt;0,AS20*AG20,0)</f>
        <v>0</v>
      </c>
      <c r="AU20" s="7" t="n">
        <f aca="false">IF(AS20&gt;0,AS20*AG20^2,0)</f>
        <v>0</v>
      </c>
      <c r="AV20" s="9" t="n">
        <f aca="false">IF(AS20&gt;0,AS20^2,0)</f>
        <v>0</v>
      </c>
      <c r="AW20" s="7" t="n">
        <f aca="false">IF(AS20&gt;0,AG20,0)</f>
        <v>0</v>
      </c>
      <c r="AX20" s="7" t="n">
        <f aca="false">IF(AS20&gt;0,AH20,1)</f>
        <v>1</v>
      </c>
    </row>
    <row r="21" customFormat="false" ht="15" hidden="false" customHeight="false" outlineLevel="0" collapsed="false">
      <c r="A21" s="5" t="s">
        <v>195</v>
      </c>
      <c r="B21" s="5" t="s">
        <v>184</v>
      </c>
      <c r="C21" s="5" t="s">
        <v>185</v>
      </c>
      <c r="D21" s="5" t="n">
        <v>2023</v>
      </c>
      <c r="E21" s="5" t="s">
        <v>186</v>
      </c>
      <c r="F21" s="5" t="s">
        <v>72</v>
      </c>
      <c r="G21" s="5" t="s">
        <v>187</v>
      </c>
      <c r="H21" s="5" t="s">
        <v>131</v>
      </c>
      <c r="I21" s="5" t="s">
        <v>188</v>
      </c>
      <c r="J21" s="5" t="s">
        <v>189</v>
      </c>
      <c r="K21" s="5" t="s">
        <v>163</v>
      </c>
      <c r="L21" s="5" t="s">
        <v>164</v>
      </c>
      <c r="M21" s="5" t="n">
        <v>3</v>
      </c>
      <c r="N21" s="5"/>
      <c r="O21" s="5" t="s">
        <v>190</v>
      </c>
      <c r="P21" s="6" t="s">
        <v>82</v>
      </c>
      <c r="Q21" s="6" t="s">
        <v>191</v>
      </c>
      <c r="R21" s="5"/>
      <c r="S21" s="6" t="s">
        <v>192</v>
      </c>
      <c r="T21" s="5" t="s">
        <v>193</v>
      </c>
      <c r="U21" s="6" t="s">
        <v>86</v>
      </c>
      <c r="V21" s="5" t="n">
        <v>50</v>
      </c>
      <c r="W21" s="5" t="n">
        <v>85.4</v>
      </c>
      <c r="X21" s="5" t="n">
        <v>5.6</v>
      </c>
      <c r="Y21" s="5" t="n">
        <v>50</v>
      </c>
      <c r="Z21" s="5" t="n">
        <v>76.3</v>
      </c>
      <c r="AA21" s="5" t="n">
        <v>7.9</v>
      </c>
      <c r="AB21" s="5" t="s">
        <v>99</v>
      </c>
      <c r="AC21" s="5"/>
      <c r="AD21" s="5" t="n">
        <v>1</v>
      </c>
      <c r="AE21" s="7" t="n">
        <f aca="false">IFERROR(IF(AB21="MSD",IF(COUNT(V21,W21,X21,Y21,Z21,AA21)&lt;6,"",(W21-Z21)/SQRT(((V21-1)*X21^2+(Y21-1)*AA21^2)/(V21+Y21-2))*AD21),IF(AB21="t",AC21*SQRT(1/V21+1/Y21)*AD21,IF(AB21="F",SQRT(AC21)*SQRT(1/V21+1/Y21)*AD21,IF(AB21="z",2*(AC21/SQRT(V21+Y21))/SQRT(1-(AC21/SQRT(V21+Y21))^2)*AD21,IF(AB21="t_paired",AC21/SQRT(V21)*AD21,""))))),"")</f>
        <v>1.32899832061806</v>
      </c>
      <c r="AF21" s="7" t="n">
        <f aca="false">IF(AE21="","",IF(AB21="t_paired",1-3/(4*(V21-1)-1),1-3/(4*(V21+Y21)-9)))</f>
        <v>0.9923273657289</v>
      </c>
      <c r="AG21" s="7" t="n">
        <f aca="false">IF(AE21="","",AE21*AF21)</f>
        <v>1.31880140255705</v>
      </c>
      <c r="AH21" s="7" t="n">
        <f aca="false">IF(AG21="","",IF(AB21="t_paired",1/V21+AG21^2/(2*V21),(V21+Y21)/(V21*Y21)+AG21^2/(2*(V21+Y21))))</f>
        <v>0.0486961856969322</v>
      </c>
      <c r="AI21" s="7" t="n">
        <f aca="false">IF(AH21="","",SQRT(AH21))</f>
        <v>0.220672122609387</v>
      </c>
      <c r="AJ21" s="7" t="n">
        <f aca="false">IF(AI21="","",AG21-1.96*AI21)</f>
        <v>0.88628404224265</v>
      </c>
      <c r="AK21" s="7" t="n">
        <f aca="false">IF(AI21="","",AG21+1.96*AI21)</f>
        <v>1.75131876287145</v>
      </c>
      <c r="AL21" s="7" t="n">
        <f aca="false">IF(AI21="","",AG21/AI21)</f>
        <v>5.97629363855564</v>
      </c>
      <c r="AM21" s="8" t="n">
        <f aca="false">IF(AL21="","",2*(1-NORMSDIST(ABS(AL21))))</f>
        <v>2.28271379576483E-009</v>
      </c>
      <c r="AN21" s="9" t="n">
        <f aca="false">IF(COUNT(V21)=0,"",IF(AB21="t_paired",V21,V21+N(Y21)))</f>
        <v>100</v>
      </c>
      <c r="AO21" s="7" t="n">
        <f aca="false">IF(AH21="","",1/AH21)</f>
        <v>20.5354892932199</v>
      </c>
      <c r="AP21" s="5" t="s">
        <v>88</v>
      </c>
      <c r="AQ21" s="5" t="s">
        <v>167</v>
      </c>
      <c r="AR21" s="5" t="s">
        <v>194</v>
      </c>
      <c r="AS21" s="7" t="n">
        <f aca="false">IF(AND(AP21="Y",ISNUMBER(AO21)),AO21,0)</f>
        <v>20.5354892932199</v>
      </c>
      <c r="AT21" s="7" t="n">
        <f aca="false">IF(AS21&gt;0,AS21*AG21,0)</f>
        <v>27.0822320820937</v>
      </c>
      <c r="AU21" s="7" t="n">
        <f aca="false">IF(AS21&gt;0,AS21*AG21^2,0)</f>
        <v>35.7160856542406</v>
      </c>
      <c r="AV21" s="9" t="n">
        <f aca="false">IF(AS21&gt;0,AS21^2,0)</f>
        <v>421.70632051195</v>
      </c>
      <c r="AW21" s="7" t="n">
        <f aca="false">IF(AS21&gt;0,AG21,0)</f>
        <v>1.31880140255705</v>
      </c>
      <c r="AX21" s="7" t="n">
        <f aca="false">IF(AS21&gt;0,AH21,1)</f>
        <v>0.0486961856969322</v>
      </c>
    </row>
    <row r="22" customFormat="false" ht="15" hidden="false" customHeight="false" outlineLevel="0" collapsed="false">
      <c r="A22" s="5" t="s">
        <v>196</v>
      </c>
      <c r="B22" s="5" t="s">
        <v>197</v>
      </c>
      <c r="C22" s="5" t="s">
        <v>198</v>
      </c>
      <c r="D22" s="5" t="n">
        <v>2023</v>
      </c>
      <c r="E22" s="5" t="s">
        <v>186</v>
      </c>
      <c r="F22" s="5" t="s">
        <v>199</v>
      </c>
      <c r="G22" s="5" t="s">
        <v>160</v>
      </c>
      <c r="H22" s="5" t="s">
        <v>74</v>
      </c>
      <c r="I22" s="5" t="s">
        <v>200</v>
      </c>
      <c r="J22" s="5" t="s">
        <v>162</v>
      </c>
      <c r="K22" s="5" t="s">
        <v>163</v>
      </c>
      <c r="L22" s="5" t="s">
        <v>164</v>
      </c>
      <c r="M22" s="5"/>
      <c r="N22" s="5" t="n">
        <v>120</v>
      </c>
      <c r="O22" s="5" t="s">
        <v>162</v>
      </c>
      <c r="P22" s="6" t="s">
        <v>82</v>
      </c>
      <c r="Q22" s="6" t="s">
        <v>103</v>
      </c>
      <c r="R22" s="5"/>
      <c r="S22" s="6" t="s">
        <v>201</v>
      </c>
      <c r="T22" s="5" t="s">
        <v>202</v>
      </c>
      <c r="U22" s="6" t="s">
        <v>86</v>
      </c>
      <c r="V22" s="5" t="n">
        <v>34</v>
      </c>
      <c r="W22" s="5" t="n">
        <v>10.97</v>
      </c>
      <c r="X22" s="5" t="n">
        <v>4.03</v>
      </c>
      <c r="Y22" s="5" t="n">
        <v>38</v>
      </c>
      <c r="Z22" s="5" t="n">
        <v>10.5</v>
      </c>
      <c r="AA22" s="5" t="n">
        <v>3.34</v>
      </c>
      <c r="AB22" s="5" t="s">
        <v>99</v>
      </c>
      <c r="AC22" s="5"/>
      <c r="AD22" s="5" t="n">
        <v>1</v>
      </c>
      <c r="AE22" s="7" t="n">
        <f aca="false">IFERROR(IF(AB22="MSD",IF(COUNT(V22,W22,X22,Y22,Z22,AA22)&lt;6,"",(W22-Z22)/SQRT(((V22-1)*X22^2+(Y22-1)*AA22^2)/(V22+Y22-2))*AD22),IF(AB22="t",AC22*SQRT(1/V22+1/Y22)*AD22,IF(AB22="F",SQRT(AC22)*SQRT(1/V22+1/Y22)*AD22,IF(AB22="z",2*(AC22/SQRT(V22+Y22))/SQRT(1-(AC22/SQRT(V22+Y22))^2)*AD22,IF(AB22="t_paired",AC22/SQRT(V22)*AD22,""))))),"")</f>
        <v>0.12766764529603</v>
      </c>
      <c r="AF22" s="7" t="n">
        <f aca="false">IF(AE22="","",IF(AB22="t_paired",1-3/(4*(V22-1)-1),1-3/(4*(V22+Y22)-9)))</f>
        <v>0.989247311827957</v>
      </c>
      <c r="AG22" s="7" t="n">
        <f aca="false">IF(AE22="","",AE22*AF22)</f>
        <v>0.126294874916503</v>
      </c>
      <c r="AH22" s="7" t="n">
        <f aca="false">IF(AG22="","",IF(AB22="t_paired",1/V22+AG22^2/(2*V22),(V22+Y22)/(V22*Y22)+AG22^2/(2*(V22+Y22))))</f>
        <v>0.0558383208144983</v>
      </c>
      <c r="AI22" s="7" t="n">
        <f aca="false">IF(AH22="","",SQRT(AH22))</f>
        <v>0.236301334770878</v>
      </c>
      <c r="AJ22" s="7" t="n">
        <f aca="false">IF(AI22="","",AG22-1.96*AI22)</f>
        <v>-0.336855741234417</v>
      </c>
      <c r="AK22" s="7" t="n">
        <f aca="false">IF(AI22="","",AG22+1.96*AI22)</f>
        <v>0.589445491067423</v>
      </c>
      <c r="AL22" s="7" t="n">
        <f aca="false">IF(AI22="","",AG22/AI22)</f>
        <v>0.534465347133823</v>
      </c>
      <c r="AM22" s="8" t="n">
        <f aca="false">IF(AL22="","",2*(1-NORMSDIST(ABS(AL22))))</f>
        <v>0.593019618269831</v>
      </c>
      <c r="AN22" s="9" t="n">
        <f aca="false">IF(COUNT(V22)=0,"",IF(AB22="t_paired",V22,V22+N(Y22)))</f>
        <v>72</v>
      </c>
      <c r="AO22" s="7" t="n">
        <f aca="false">IF(AH22="","",1/AH22)</f>
        <v>17.9088479992463</v>
      </c>
      <c r="AP22" s="5" t="s">
        <v>88</v>
      </c>
      <c r="AQ22" s="5" t="s">
        <v>167</v>
      </c>
      <c r="AR22" s="5"/>
      <c r="AS22" s="7" t="n">
        <f aca="false">IF(AND(AP22="Y",ISNUMBER(AO22)),AO22,0)</f>
        <v>17.9088479992463</v>
      </c>
      <c r="AT22" s="7" t="n">
        <f aca="false">IF(AS22&gt;0,AS22*AG22,0)</f>
        <v>2.26179571796347</v>
      </c>
      <c r="AU22" s="7" t="n">
        <f aca="false">IF(AS22&gt;0,AS22*AG22^2,0)</f>
        <v>0.285653207286878</v>
      </c>
      <c r="AV22" s="9" t="n">
        <f aca="false">IF(AS22&gt;0,AS22^2,0)</f>
        <v>320.726836660107</v>
      </c>
      <c r="AW22" s="7" t="n">
        <f aca="false">IF(AS22&gt;0,AG22,0)</f>
        <v>0.126294874916503</v>
      </c>
      <c r="AX22" s="7" t="n">
        <f aca="false">IF(AS22&gt;0,AH22,1)</f>
        <v>0.0558383208144983</v>
      </c>
    </row>
    <row r="23" customFormat="false" ht="15" hidden="false" customHeight="false" outlineLevel="0" collapsed="false">
      <c r="A23" s="5" t="s">
        <v>203</v>
      </c>
      <c r="B23" s="5" t="s">
        <v>204</v>
      </c>
      <c r="C23" s="5" t="s">
        <v>205</v>
      </c>
      <c r="D23" s="5" t="n">
        <v>2022</v>
      </c>
      <c r="E23" s="5" t="s">
        <v>206</v>
      </c>
      <c r="F23" s="5" t="s">
        <v>173</v>
      </c>
      <c r="G23" s="5" t="s">
        <v>160</v>
      </c>
      <c r="H23" s="5" t="s">
        <v>74</v>
      </c>
      <c r="I23" s="5" t="s">
        <v>207</v>
      </c>
      <c r="J23" s="5" t="s">
        <v>162</v>
      </c>
      <c r="K23" s="5" t="s">
        <v>163</v>
      </c>
      <c r="L23" s="5" t="s">
        <v>164</v>
      </c>
      <c r="M23" s="5" t="s">
        <v>208</v>
      </c>
      <c r="N23" s="5" t="n">
        <v>50</v>
      </c>
      <c r="O23" s="5" t="s">
        <v>190</v>
      </c>
      <c r="P23" s="6" t="s">
        <v>82</v>
      </c>
      <c r="Q23" s="6" t="s">
        <v>83</v>
      </c>
      <c r="R23" s="5"/>
      <c r="S23" s="6" t="s">
        <v>209</v>
      </c>
      <c r="T23" s="5"/>
      <c r="U23" s="6" t="s">
        <v>86</v>
      </c>
      <c r="V23" s="5" t="n">
        <v>16</v>
      </c>
      <c r="W23" s="5" t="n">
        <v>4.07</v>
      </c>
      <c r="X23" s="5" t="n">
        <v>0.65</v>
      </c>
      <c r="Y23" s="5" t="n">
        <v>16</v>
      </c>
      <c r="Z23" s="5" t="n">
        <v>2.83</v>
      </c>
      <c r="AA23" s="5" t="n">
        <v>0.68</v>
      </c>
      <c r="AB23" s="5" t="s">
        <v>99</v>
      </c>
      <c r="AC23" s="5"/>
      <c r="AD23" s="5" t="n">
        <v>1</v>
      </c>
      <c r="AE23" s="7" t="n">
        <f aca="false">IFERROR(IF(AB23="MSD",IF(COUNT(V23,W23,X23,Y23,Z23,AA23)&lt;6,"",(W23-Z23)/SQRT(((V23-1)*X23^2+(Y23-1)*AA23^2)/(V23+Y23-2))*AD23),IF(AB23="t",AC23*SQRT(1/V23+1/Y23)*AD23,IF(AB23="F",SQRT(AC23)*SQRT(1/V23+1/Y23)*AD23,IF(AB23="z",2*(AC23/SQRT(V23+Y23))/SQRT(1-(AC23/SQRT(V23+Y23))^2)*AD23,IF(AB23="t_paired",AC23/SQRT(V23)*AD23,""))))),"")</f>
        <v>1.86418747374856</v>
      </c>
      <c r="AF23" s="7" t="n">
        <f aca="false">IF(AE23="","",IF(AB23="t_paired",1-3/(4*(V23-1)-1),1-3/(4*(V23+Y23)-9)))</f>
        <v>0.974789915966387</v>
      </c>
      <c r="AG23" s="7" t="n">
        <f aca="false">IF(AE23="","",AE23*AF23)</f>
        <v>1.81719115088095</v>
      </c>
      <c r="AH23" s="7" t="n">
        <f aca="false">IF(AG23="","",IF(AB23="t_paired",1/V23+AG23^2/(2*V23),(V23+Y23)/(V23*Y23)+AG23^2/(2*(V23+Y23))))</f>
        <v>0.176596619981876</v>
      </c>
      <c r="AI23" s="7" t="n">
        <f aca="false">IF(AH23="","",SQRT(AH23))</f>
        <v>0.420234006217816</v>
      </c>
      <c r="AJ23" s="7" t="n">
        <f aca="false">IF(AI23="","",AG23-1.96*AI23)</f>
        <v>0.993532498694032</v>
      </c>
      <c r="AK23" s="7" t="n">
        <f aca="false">IF(AI23="","",AG23+1.96*AI23)</f>
        <v>2.64084980306787</v>
      </c>
      <c r="AL23" s="7" t="n">
        <f aca="false">IF(AI23="","",AG23/AI23)</f>
        <v>4.32423631594218</v>
      </c>
      <c r="AM23" s="8" t="n">
        <f aca="false">IF(AL23="","",2*(1-NORMSDIST(ABS(AL23))))</f>
        <v>1.53061155532264E-005</v>
      </c>
      <c r="AN23" s="9" t="n">
        <f aca="false">IF(COUNT(V23)=0,"",IF(AB23="t_paired",V23,V23+N(Y23)))</f>
        <v>32</v>
      </c>
      <c r="AO23" s="7" t="n">
        <f aca="false">IF(AH23="","",1/AH23)</f>
        <v>5.66262253548585</v>
      </c>
      <c r="AP23" s="5" t="s">
        <v>88</v>
      </c>
      <c r="AQ23" s="5" t="s">
        <v>210</v>
      </c>
      <c r="AR23" s="5"/>
      <c r="AS23" s="7" t="n">
        <f aca="false">IF(AND(AP23="Y",ISNUMBER(AO23)),AO23,0)</f>
        <v>5.66262253548585</v>
      </c>
      <c r="AT23" s="7" t="n">
        <f aca="false">IF(AS23&gt;0,AS23*AG23,0)</f>
        <v>10.290067562264</v>
      </c>
      <c r="AU23" s="7" t="n">
        <f aca="false">IF(AS23&gt;0,AS23*AG23^2,0)</f>
        <v>18.6990197161132</v>
      </c>
      <c r="AV23" s="9" t="n">
        <f aca="false">IF(AS23&gt;0,AS23^2,0)</f>
        <v>32.0652939793922</v>
      </c>
      <c r="AW23" s="7" t="n">
        <f aca="false">IF(AS23&gt;0,AG23,0)</f>
        <v>1.81719115088095</v>
      </c>
      <c r="AX23" s="7" t="n">
        <f aca="false">IF(AS23&gt;0,AH23,1)</f>
        <v>0.176596619981876</v>
      </c>
    </row>
    <row r="24" customFormat="false" ht="15" hidden="false" customHeight="false" outlineLevel="0" collapsed="false">
      <c r="A24" s="5" t="s">
        <v>211</v>
      </c>
      <c r="B24" s="5" t="s">
        <v>204</v>
      </c>
      <c r="C24" s="5" t="s">
        <v>205</v>
      </c>
      <c r="D24" s="5" t="n">
        <v>2022</v>
      </c>
      <c r="E24" s="5" t="s">
        <v>206</v>
      </c>
      <c r="F24" s="5" t="s">
        <v>173</v>
      </c>
      <c r="G24" s="5" t="s">
        <v>160</v>
      </c>
      <c r="H24" s="5" t="s">
        <v>74</v>
      </c>
      <c r="I24" s="5" t="s">
        <v>207</v>
      </c>
      <c r="J24" s="5" t="s">
        <v>162</v>
      </c>
      <c r="K24" s="5" t="s">
        <v>163</v>
      </c>
      <c r="L24" s="5" t="s">
        <v>164</v>
      </c>
      <c r="M24" s="5" t="s">
        <v>208</v>
      </c>
      <c r="N24" s="5" t="n">
        <v>50</v>
      </c>
      <c r="O24" s="5" t="s">
        <v>190</v>
      </c>
      <c r="P24" s="6" t="s">
        <v>82</v>
      </c>
      <c r="Q24" s="6" t="s">
        <v>103</v>
      </c>
      <c r="R24" s="5"/>
      <c r="S24" s="6" t="s">
        <v>212</v>
      </c>
      <c r="T24" s="5" t="s">
        <v>213</v>
      </c>
      <c r="U24" s="6" t="s">
        <v>86</v>
      </c>
      <c r="V24" s="5" t="n">
        <v>16</v>
      </c>
      <c r="W24" s="5" t="n">
        <v>87.9</v>
      </c>
      <c r="X24" s="5" t="n">
        <v>11.3</v>
      </c>
      <c r="Y24" s="5" t="n">
        <v>16</v>
      </c>
      <c r="Z24" s="5" t="n">
        <v>62.32</v>
      </c>
      <c r="AA24" s="5" t="n">
        <v>14.95</v>
      </c>
      <c r="AB24" s="5" t="s">
        <v>99</v>
      </c>
      <c r="AC24" s="5"/>
      <c r="AD24" s="5" t="n">
        <v>1</v>
      </c>
      <c r="AE24" s="7" t="n">
        <f aca="false">IFERROR(IF(AB24="MSD",IF(COUNT(V24,W24,X24,Y24,Z24,AA24)&lt;6,"",(W24-Z24)/SQRT(((V24-1)*X24^2+(Y24-1)*AA24^2)/(V24+Y24-2))*AD24),IF(AB24="t",AC24*SQRT(1/V24+1/Y24)*AD24,IF(AB24="F",SQRT(AC24)*SQRT(1/V24+1/Y24)*AD24,IF(AB24="z",2*(AC24/SQRT(V24+Y24))/SQRT(1-(AC24/SQRT(V24+Y24))^2)*AD24,IF(AB24="t_paired",AC24/SQRT(V24)*AD24,""))))),"")</f>
        <v>1.93038049922097</v>
      </c>
      <c r="AF24" s="7" t="n">
        <f aca="false">IF(AE24="","",IF(AB24="t_paired",1-3/(4*(V24-1)-1),1-3/(4*(V24+Y24)-9)))</f>
        <v>0.974789915966387</v>
      </c>
      <c r="AG24" s="7" t="n">
        <f aca="false">IF(AE24="","",AE24*AF24)</f>
        <v>1.88171544461876</v>
      </c>
      <c r="AH24" s="7" t="n">
        <f aca="false">IF(AG24="","",IF(AB24="t_paired",1/V24+AG24^2/(2*V24),(V24+Y24)/(V24*Y24)+AG24^2/(2*(V24+Y24))))</f>
        <v>0.180325828351825</v>
      </c>
      <c r="AI24" s="7" t="n">
        <f aca="false">IF(AH24="","",SQRT(AH24))</f>
        <v>0.424647887492479</v>
      </c>
      <c r="AJ24" s="7" t="n">
        <f aca="false">IF(AI24="","",AG24-1.96*AI24)</f>
        <v>1.0494055851335</v>
      </c>
      <c r="AK24" s="7" t="n">
        <f aca="false">IF(AI24="","",AG24+1.96*AI24)</f>
        <v>2.71402530410402</v>
      </c>
      <c r="AL24" s="7" t="n">
        <f aca="false">IF(AI24="","",AG24/AI24)</f>
        <v>4.43123703200358</v>
      </c>
      <c r="AM24" s="8" t="n">
        <f aca="false">IF(AL24="","",2*(1-NORMSDIST(ABS(AL24))))</f>
        <v>9.36940264306685E-006</v>
      </c>
      <c r="AN24" s="9" t="n">
        <f aca="false">IF(COUNT(V24)=0,"",IF(AB24="t_paired",V24,V24+N(Y24)))</f>
        <v>32</v>
      </c>
      <c r="AO24" s="7" t="n">
        <f aca="false">IF(AH24="","",1/AH24)</f>
        <v>5.54551729577501</v>
      </c>
      <c r="AP24" s="5" t="s">
        <v>88</v>
      </c>
      <c r="AQ24" s="5" t="s">
        <v>178</v>
      </c>
      <c r="AR24" s="5" t="s">
        <v>214</v>
      </c>
      <c r="AS24" s="7" t="n">
        <f aca="false">IF(AND(AP24="Y",ISNUMBER(AO24)),AO24,0)</f>
        <v>5.54551729577501</v>
      </c>
      <c r="AT24" s="7" t="n">
        <f aca="false">IF(AS24&gt;0,AS24*AG24,0)</f>
        <v>10.4350855438603</v>
      </c>
      <c r="AU24" s="7" t="n">
        <f aca="false">IF(AS24&gt;0,AS24*AG24^2,0)</f>
        <v>19.6358616337999</v>
      </c>
      <c r="AV24" s="9" t="n">
        <f aca="false">IF(AS24&gt;0,AS24^2,0)</f>
        <v>30.7527620777398</v>
      </c>
      <c r="AW24" s="7" t="n">
        <f aca="false">IF(AS24&gt;0,AG24,0)</f>
        <v>1.88171544461876</v>
      </c>
      <c r="AX24" s="7" t="n">
        <f aca="false">IF(AS24&gt;0,AH24,1)</f>
        <v>0.180325828351825</v>
      </c>
    </row>
    <row r="25" customFormat="false" ht="15" hidden="false" customHeight="false" outlineLevel="0" collapsed="false">
      <c r="A25" s="5" t="s">
        <v>215</v>
      </c>
      <c r="B25" s="5" t="s">
        <v>216</v>
      </c>
      <c r="C25" s="5" t="s">
        <v>205</v>
      </c>
      <c r="D25" s="5" t="n">
        <v>2022</v>
      </c>
      <c r="E25" s="5" t="s">
        <v>206</v>
      </c>
      <c r="F25" s="5" t="s">
        <v>173</v>
      </c>
      <c r="G25" s="5" t="s">
        <v>160</v>
      </c>
      <c r="H25" s="5" t="s">
        <v>74</v>
      </c>
      <c r="I25" s="5" t="s">
        <v>207</v>
      </c>
      <c r="J25" s="5" t="s">
        <v>162</v>
      </c>
      <c r="K25" s="5" t="s">
        <v>163</v>
      </c>
      <c r="L25" s="5" t="s">
        <v>164</v>
      </c>
      <c r="M25" s="5" t="n">
        <v>2</v>
      </c>
      <c r="N25" s="5" t="n">
        <v>200</v>
      </c>
      <c r="O25" s="5" t="s">
        <v>190</v>
      </c>
      <c r="P25" s="6" t="s">
        <v>82</v>
      </c>
      <c r="Q25" s="6" t="s">
        <v>103</v>
      </c>
      <c r="R25" s="5"/>
      <c r="S25" s="6" t="s">
        <v>212</v>
      </c>
      <c r="T25" s="5" t="s">
        <v>217</v>
      </c>
      <c r="U25" s="6" t="s">
        <v>86</v>
      </c>
      <c r="V25" s="5" t="n">
        <v>18</v>
      </c>
      <c r="W25" s="5" t="n">
        <v>88.58</v>
      </c>
      <c r="X25" s="5" t="n">
        <v>11.02</v>
      </c>
      <c r="Y25" s="5" t="n">
        <v>18</v>
      </c>
      <c r="Z25" s="5" t="n">
        <v>60.51</v>
      </c>
      <c r="AA25" s="5" t="n">
        <v>15.01</v>
      </c>
      <c r="AB25" s="5" t="s">
        <v>99</v>
      </c>
      <c r="AC25" s="5"/>
      <c r="AD25" s="5" t="n">
        <v>1</v>
      </c>
      <c r="AE25" s="7" t="n">
        <f aca="false">IFERROR(IF(AB25="MSD",IF(COUNT(V25,W25,X25,Y25,Z25,AA25)&lt;6,"",(W25-Z25)/SQRT(((V25-1)*X25^2+(Y25-1)*AA25^2)/(V25+Y25-2))*AD25),IF(AB25="t",AC25*SQRT(1/V25+1/Y25)*AD25,IF(AB25="F",SQRT(AC25)*SQRT(1/V25+1/Y25)*AD25,IF(AB25="z",2*(AC25/SQRT(V25+Y25))/SQRT(1-(AC25/SQRT(V25+Y25))^2)*AD25,IF(AB25="t_paired",AC25/SQRT(V25)*AD25,""))))),"")</f>
        <v>2.13184254390692</v>
      </c>
      <c r="AF25" s="7" t="n">
        <f aca="false">IF(AE25="","",IF(AB25="t_paired",1-3/(4*(V25-1)-1),1-3/(4*(V25+Y25)-9)))</f>
        <v>0.977777777777778</v>
      </c>
      <c r="AG25" s="7" t="n">
        <f aca="false">IF(AE25="","",AE25*AF25)</f>
        <v>2.08446826515344</v>
      </c>
      <c r="AH25" s="7" t="n">
        <f aca="false">IF(AG25="","",IF(AB25="t_paired",1/V25+AG25^2/(2*V25),(V25+Y25)/(V25*Y25)+AG25^2/(2*(V25+Y25))))</f>
        <v>0.171458443728219</v>
      </c>
      <c r="AI25" s="7" t="n">
        <f aca="false">IF(AH25="","",SQRT(AH25))</f>
        <v>0.414075408263059</v>
      </c>
      <c r="AJ25" s="7" t="n">
        <f aca="false">IF(AI25="","",AG25-1.96*AI25)</f>
        <v>1.27288046495784</v>
      </c>
      <c r="AK25" s="7" t="n">
        <f aca="false">IF(AI25="","",AG25+1.96*AI25)</f>
        <v>2.89605606534903</v>
      </c>
      <c r="AL25" s="7" t="n">
        <f aca="false">IF(AI25="","",AG25/AI25)</f>
        <v>5.03403057403783</v>
      </c>
      <c r="AM25" s="8" t="n">
        <f aca="false">IF(AL25="","",2*(1-NORMSDIST(ABS(AL25))))</f>
        <v>4.80273022018807E-007</v>
      </c>
      <c r="AN25" s="9" t="n">
        <f aca="false">IF(COUNT(V25)=0,"",IF(AB25="t_paired",V25,V25+N(Y25)))</f>
        <v>36</v>
      </c>
      <c r="AO25" s="7" t="n">
        <f aca="false">IF(AH25="","",1/AH25)</f>
        <v>5.83231702245654</v>
      </c>
      <c r="AP25" s="5" t="s">
        <v>88</v>
      </c>
      <c r="AQ25" s="5" t="s">
        <v>178</v>
      </c>
      <c r="AR25" s="5" t="s">
        <v>214</v>
      </c>
      <c r="AS25" s="7" t="n">
        <f aca="false">IF(AND(AP25="Y",ISNUMBER(AO25)),AO25,0)</f>
        <v>5.83231702245654</v>
      </c>
      <c r="AT25" s="7" t="n">
        <f aca="false">IF(AS25&gt;0,AS25*AG25,0)</f>
        <v>12.1572797456249</v>
      </c>
      <c r="AU25" s="7" t="n">
        <f aca="false">IF(AS25&gt;0,AS25*AG25^2,0)</f>
        <v>25.3414638203477</v>
      </c>
      <c r="AV25" s="9" t="n">
        <f aca="false">IF(AS25&gt;0,AS25^2,0)</f>
        <v>34.0159218504364</v>
      </c>
      <c r="AW25" s="7" t="n">
        <f aca="false">IF(AS25&gt;0,AG25,0)</f>
        <v>2.08446826515344</v>
      </c>
      <c r="AX25" s="7" t="n">
        <f aca="false">IF(AS25&gt;0,AH25,1)</f>
        <v>0.171458443728219</v>
      </c>
    </row>
    <row r="26" customFormat="false" ht="15" hidden="false" customHeight="false" outlineLevel="0" collapsed="false">
      <c r="A26" s="5" t="s">
        <v>218</v>
      </c>
      <c r="B26" s="5" t="s">
        <v>219</v>
      </c>
      <c r="C26" s="5" t="s">
        <v>220</v>
      </c>
      <c r="D26" s="5" t="n">
        <v>2024</v>
      </c>
      <c r="E26" s="5" t="s">
        <v>221</v>
      </c>
      <c r="F26" s="5" t="s">
        <v>222</v>
      </c>
      <c r="G26" s="5" t="s">
        <v>187</v>
      </c>
      <c r="H26" s="5" t="s">
        <v>131</v>
      </c>
      <c r="I26" s="5" t="s">
        <v>188</v>
      </c>
      <c r="J26" s="5" t="s">
        <v>76</v>
      </c>
      <c r="K26" s="5" t="s">
        <v>163</v>
      </c>
      <c r="L26" s="5" t="s">
        <v>164</v>
      </c>
      <c r="M26" s="5" t="s">
        <v>223</v>
      </c>
      <c r="N26" s="5" t="n">
        <v>60</v>
      </c>
      <c r="O26" s="5" t="s">
        <v>190</v>
      </c>
      <c r="P26" s="10" t="s">
        <v>82</v>
      </c>
      <c r="Q26" s="10" t="s">
        <v>191</v>
      </c>
      <c r="R26" s="5"/>
      <c r="S26" s="10" t="s">
        <v>212</v>
      </c>
      <c r="T26" s="5" t="s">
        <v>217</v>
      </c>
      <c r="U26" s="10" t="s">
        <v>98</v>
      </c>
      <c r="V26" s="5" t="n">
        <v>69</v>
      </c>
      <c r="W26" s="5" t="n">
        <v>41.21</v>
      </c>
      <c r="X26" s="5" t="n">
        <v>12.14</v>
      </c>
      <c r="Y26" s="5" t="n">
        <v>70</v>
      </c>
      <c r="Z26" s="5" t="n">
        <v>41.78</v>
      </c>
      <c r="AA26" s="5" t="n">
        <v>13.52</v>
      </c>
      <c r="AB26" s="5" t="s">
        <v>99</v>
      </c>
      <c r="AC26" s="5"/>
      <c r="AD26" s="5" t="n">
        <v>1</v>
      </c>
      <c r="AE26" s="7" t="n">
        <f aca="false">IFERROR(IF(AB26="MSD",IF(COUNT(V26,W26,X26,Y26,Z26,AA26)&lt;6,"",(W26-Z26)/SQRT(((V26-1)*X26^2+(Y26-1)*AA26^2)/(V26+Y26-2))*AD26),IF(AB26="t",AC26*SQRT(1/V26+1/Y26)*AD26,IF(AB26="F",SQRT(AC26)*SQRT(1/V26+1/Y26)*AD26,IF(AB26="z",2*(AC26/SQRT(V26+Y26))/SQRT(1-(AC26/SQRT(V26+Y26))^2)*AD26,IF(AB26="t_paired",AC26/SQRT(V26)*AD26,""))))),"")</f>
        <v>-0.0443456598870647</v>
      </c>
      <c r="AF26" s="7" t="n">
        <f aca="false">IF(AE26="","",IF(AB26="t_paired",1-3/(4*(V26-1)-1),1-3/(4*(V26+Y26)-9)))</f>
        <v>0.994515539305302</v>
      </c>
      <c r="AG26" s="7" t="n">
        <f aca="false">IF(AE26="","",AE26*AF26)</f>
        <v>-0.0441024478584337</v>
      </c>
      <c r="AH26" s="7" t="n">
        <f aca="false">IF(AG26="","",IF(AB26="t_paired",1/V26+AG26^2/(2*V26),(V26+Y26)/(V26*Y26)+AG26^2/(2*(V26+Y26))))</f>
        <v>0.0287854644049714</v>
      </c>
      <c r="AI26" s="7" t="n">
        <f aca="false">IF(AH26="","",SQRT(AH26))</f>
        <v>0.169662796172206</v>
      </c>
      <c r="AJ26" s="7" t="n">
        <f aca="false">IF(AI26="","",AG26-1.96*AI26)</f>
        <v>-0.376641528355957</v>
      </c>
      <c r="AK26" s="7" t="n">
        <f aca="false">IF(AI26="","",AG26+1.96*AI26)</f>
        <v>0.28843663263909</v>
      </c>
      <c r="AL26" s="7" t="n">
        <f aca="false">IF(AI26="","",AG26/AI26)</f>
        <v>-0.259941771875964</v>
      </c>
      <c r="AM26" s="8" t="n">
        <f aca="false">IF(AL26="","",2*(1-NORMSDIST(ABS(AL26))))</f>
        <v>0.794908689174568</v>
      </c>
      <c r="AN26" s="9" t="n">
        <f aca="false">IF(COUNT(V26)=0,"",IF(AB26="t_paired",V26,V26+N(Y26)))</f>
        <v>139</v>
      </c>
      <c r="AO26" s="7" t="n">
        <f aca="false">IF(AH26="","",1/AH26)</f>
        <v>34.7397556604053</v>
      </c>
      <c r="AP26" s="5" t="s">
        <v>100</v>
      </c>
      <c r="AQ26" s="5" t="s">
        <v>167</v>
      </c>
      <c r="AR26" s="5"/>
      <c r="AS26" s="9" t="n">
        <f aca="false">IF(AND(AP26="Y",ISNUMBER(AO26)),AO26,0)</f>
        <v>0</v>
      </c>
      <c r="AT26" s="7" t="n">
        <f aca="false">IF(AS26&gt;0,AS26*AG26,0)</f>
        <v>0</v>
      </c>
      <c r="AU26" s="7" t="n">
        <f aca="false">IF(AS26&gt;0,AS26*AG26^2,0)</f>
        <v>0</v>
      </c>
      <c r="AV26" s="9" t="n">
        <f aca="false">IF(AS26&gt;0,AS26^2,0)</f>
        <v>0</v>
      </c>
      <c r="AW26" s="7" t="n">
        <f aca="false">IF(AS26&gt;0,AG26,0)</f>
        <v>0</v>
      </c>
      <c r="AX26" s="7" t="n">
        <f aca="false">IF(AS26&gt;0,AH26,1)</f>
        <v>1</v>
      </c>
    </row>
    <row r="27" customFormat="false" ht="15" hidden="false" customHeight="false" outlineLevel="0" collapsed="false">
      <c r="A27" s="5" t="s">
        <v>224</v>
      </c>
      <c r="B27" s="5" t="s">
        <v>219</v>
      </c>
      <c r="C27" s="5" t="s">
        <v>220</v>
      </c>
      <c r="D27" s="5" t="n">
        <v>2024</v>
      </c>
      <c r="E27" s="5" t="s">
        <v>221</v>
      </c>
      <c r="F27" s="5" t="s">
        <v>222</v>
      </c>
      <c r="G27" s="5" t="s">
        <v>187</v>
      </c>
      <c r="H27" s="5" t="s">
        <v>131</v>
      </c>
      <c r="I27" s="5" t="s">
        <v>188</v>
      </c>
      <c r="J27" s="5" t="s">
        <v>76</v>
      </c>
      <c r="K27" s="5" t="s">
        <v>163</v>
      </c>
      <c r="L27" s="5" t="s">
        <v>164</v>
      </c>
      <c r="M27" s="5" t="s">
        <v>223</v>
      </c>
      <c r="N27" s="5" t="n">
        <v>60</v>
      </c>
      <c r="O27" s="5" t="s">
        <v>190</v>
      </c>
      <c r="P27" s="6" t="s">
        <v>82</v>
      </c>
      <c r="Q27" s="6" t="s">
        <v>191</v>
      </c>
      <c r="R27" s="5"/>
      <c r="S27" s="6" t="s">
        <v>212</v>
      </c>
      <c r="T27" s="5" t="s">
        <v>217</v>
      </c>
      <c r="U27" s="6" t="s">
        <v>86</v>
      </c>
      <c r="V27" s="5" t="n">
        <v>69</v>
      </c>
      <c r="W27" s="5" t="n">
        <v>49.06</v>
      </c>
      <c r="X27" s="5" t="n">
        <v>13.82</v>
      </c>
      <c r="Y27" s="5" t="n">
        <v>70</v>
      </c>
      <c r="Z27" s="5" t="n">
        <v>44.46</v>
      </c>
      <c r="AA27" s="5" t="n">
        <v>13.64</v>
      </c>
      <c r="AB27" s="5" t="s">
        <v>99</v>
      </c>
      <c r="AC27" s="5"/>
      <c r="AD27" s="5" t="n">
        <v>1</v>
      </c>
      <c r="AE27" s="7" t="n">
        <f aca="false">IFERROR(IF(AB27="MSD",IF(COUNT(V27,W27,X27,Y27,Z27,AA27)&lt;6,"",(W27-Z27)/SQRT(((V27-1)*X27^2+(Y27-1)*AA27^2)/(V27+Y27-2))*AD27),IF(AB27="t",AC27*SQRT(1/V27+1/Y27)*AD27,IF(AB27="F",SQRT(AC27)*SQRT(1/V27+1/Y27)*AD27,IF(AB27="z",2*(AC27/SQRT(V27+Y27))/SQRT(1-(AC27/SQRT(V27+Y27))^2)*AD27,IF(AB27="t_paired",AC27/SQRT(V27)*AD27,""))))),"")</f>
        <v>0.335041607661418</v>
      </c>
      <c r="AF27" s="7" t="n">
        <f aca="false">IF(AE27="","",IF(AB27="t_paired",1-3/(4*(V27-1)-1),1-3/(4*(V27+Y27)-9)))</f>
        <v>0.994515539305302</v>
      </c>
      <c r="AG27" s="7" t="n">
        <f aca="false">IF(AE27="","",AE27*AF27)</f>
        <v>0.33320408513311</v>
      </c>
      <c r="AH27" s="7" t="n">
        <f aca="false">IF(AG27="","",IF(AB27="t_paired",1/V27+AG27^2/(2*V27),(V27+Y27)/(V27*Y27)+AG27^2/(2*(V27+Y27))))</f>
        <v>0.029177838277066</v>
      </c>
      <c r="AI27" s="7" t="n">
        <f aca="false">IF(AH27="","",SQRT(AH27))</f>
        <v>0.170815216760879</v>
      </c>
      <c r="AJ27" s="7" t="n">
        <f aca="false">IF(AI27="","",AG27-1.96*AI27)</f>
        <v>-0.00159373971821236</v>
      </c>
      <c r="AK27" s="7" t="n">
        <f aca="false">IF(AI27="","",AG27+1.96*AI27)</f>
        <v>0.668001909984432</v>
      </c>
      <c r="AL27" s="7" t="n">
        <f aca="false">IF(AI27="","",AG27/AI27)</f>
        <v>1.95066980244246</v>
      </c>
      <c r="AM27" s="8" t="n">
        <f aca="false">IF(AL27="","",2*(1-NORMSDIST(ABS(AL27))))</f>
        <v>0.0510963378029488</v>
      </c>
      <c r="AN27" s="9" t="n">
        <f aca="false">IF(COUNT(V27)=0,"",IF(AB27="t_paired",V27,V27+N(Y27)))</f>
        <v>139</v>
      </c>
      <c r="AO27" s="7" t="n">
        <f aca="false">IF(AH27="","",1/AH27)</f>
        <v>34.2725869718048</v>
      </c>
      <c r="AP27" s="5" t="s">
        <v>88</v>
      </c>
      <c r="AQ27" s="5" t="s">
        <v>167</v>
      </c>
      <c r="AR27" s="5"/>
      <c r="AS27" s="7" t="n">
        <f aca="false">IF(AND(AP27="Y",ISNUMBER(AO27)),AO27,0)</f>
        <v>34.2725869718048</v>
      </c>
      <c r="AT27" s="7" t="n">
        <f aca="false">IF(AS27&gt;0,AS27*AG27,0)</f>
        <v>11.4197659870852</v>
      </c>
      <c r="AU27" s="7" t="n">
        <f aca="false">IF(AS27&gt;0,AS27*AG27^2,0)</f>
        <v>3.80511267816092</v>
      </c>
      <c r="AV27" s="9" t="n">
        <f aca="false">IF(AS27&gt;0,AS27^2,0)</f>
        <v>1174.61021773993</v>
      </c>
      <c r="AW27" s="7" t="n">
        <f aca="false">IF(AS27&gt;0,AG27,0)</f>
        <v>0.33320408513311</v>
      </c>
      <c r="AX27" s="7" t="n">
        <f aca="false">IF(AS27&gt;0,AH27,1)</f>
        <v>0.029177838277066</v>
      </c>
    </row>
    <row r="28" customFormat="false" ht="15" hidden="false" customHeight="false" outlineLevel="0" collapsed="false">
      <c r="A28" s="5" t="s">
        <v>225</v>
      </c>
      <c r="B28" s="5" t="s">
        <v>219</v>
      </c>
      <c r="C28" s="5" t="s">
        <v>220</v>
      </c>
      <c r="D28" s="5" t="n">
        <v>2024</v>
      </c>
      <c r="E28" s="5" t="s">
        <v>221</v>
      </c>
      <c r="F28" s="5" t="s">
        <v>222</v>
      </c>
      <c r="G28" s="5" t="s">
        <v>187</v>
      </c>
      <c r="H28" s="5" t="s">
        <v>131</v>
      </c>
      <c r="I28" s="5" t="s">
        <v>188</v>
      </c>
      <c r="J28" s="5" t="s">
        <v>76</v>
      </c>
      <c r="K28" s="5" t="s">
        <v>163</v>
      </c>
      <c r="L28" s="5" t="s">
        <v>164</v>
      </c>
      <c r="M28" s="5" t="s">
        <v>223</v>
      </c>
      <c r="N28" s="5" t="n">
        <v>60</v>
      </c>
      <c r="O28" s="5" t="s">
        <v>190</v>
      </c>
      <c r="P28" s="11" t="s">
        <v>113</v>
      </c>
      <c r="Q28" s="11" t="s">
        <v>114</v>
      </c>
      <c r="R28" s="5" t="s">
        <v>125</v>
      </c>
      <c r="S28" s="11" t="s">
        <v>226</v>
      </c>
      <c r="T28" s="5" t="s">
        <v>217</v>
      </c>
      <c r="U28" s="11" t="s">
        <v>86</v>
      </c>
      <c r="V28" s="5" t="n">
        <v>69</v>
      </c>
      <c r="W28" s="5" t="n">
        <v>2.69</v>
      </c>
      <c r="X28" s="5" t="n">
        <v>1.05</v>
      </c>
      <c r="Y28" s="5" t="n">
        <v>70</v>
      </c>
      <c r="Z28" s="5" t="n">
        <v>2.64</v>
      </c>
      <c r="AA28" s="5" t="n">
        <v>1.15</v>
      </c>
      <c r="AB28" s="5" t="s">
        <v>99</v>
      </c>
      <c r="AC28" s="5"/>
      <c r="AD28" s="5" t="n">
        <v>1</v>
      </c>
      <c r="AE28" s="7" t="n">
        <f aca="false">IFERROR(IF(AB28="MSD",IF(COUNT(V28,W28,X28,Y28,Z28,AA28)&lt;6,"",(W28-Z28)/SQRT(((V28-1)*X28^2+(Y28-1)*AA28^2)/(V28+Y28-2))*AD28),IF(AB28="t",AC28*SQRT(1/V28+1/Y28)*AD28,IF(AB28="F",SQRT(AC28)*SQRT(1/V28+1/Y28)*AD28,IF(AB28="z",2*(AC28/SQRT(V28+Y28))/SQRT(1-(AC28/SQRT(V28+Y28))^2)*AD28,IF(AB28="t_paired",AC28/SQRT(V28)*AD28,""))))),"")</f>
        <v>0.0453926338635705</v>
      </c>
      <c r="AF28" s="7" t="n">
        <f aca="false">IF(AE28="","",IF(AB28="t_paired",1-3/(4*(V28-1)-1),1-3/(4*(V28+Y28)-9)))</f>
        <v>0.994515539305302</v>
      </c>
      <c r="AG28" s="7" t="n">
        <f aca="false">IF(AE28="","",AE28*AF28)</f>
        <v>0.0451436797473169</v>
      </c>
      <c r="AH28" s="7" t="n">
        <f aca="false">IF(AG28="","",IF(AB28="t_paired",1/V28+AG28^2/(2*V28),(V28+Y28)/(V28*Y28)+AG28^2/(2*(V28+Y28))))</f>
        <v>0.0287857986708492</v>
      </c>
      <c r="AI28" s="7" t="n">
        <f aca="false">IF(AH28="","",SQRT(AH28))</f>
        <v>0.169663781258256</v>
      </c>
      <c r="AJ28" s="7" t="n">
        <f aca="false">IF(AI28="","",AG28-1.96*AI28)</f>
        <v>-0.287397331518864</v>
      </c>
      <c r="AK28" s="7" t="n">
        <f aca="false">IF(AI28="","",AG28+1.96*AI28)</f>
        <v>0.377684691013498</v>
      </c>
      <c r="AL28" s="7" t="n">
        <f aca="false">IF(AI28="","",AG28/AI28)</f>
        <v>0.2660772936482</v>
      </c>
      <c r="AM28" s="8" t="n">
        <f aca="false">IF(AL28="","",2*(1-NORMSDIST(ABS(AL28))))</f>
        <v>0.790179681894251</v>
      </c>
      <c r="AN28" s="9" t="n">
        <f aca="false">IF(COUNT(V28)=0,"",IF(AB28="t_paired",V28,V28+N(Y28)))</f>
        <v>139</v>
      </c>
      <c r="AO28" s="7" t="n">
        <f aca="false">IF(AH28="","",1/AH28)</f>
        <v>34.7393522561068</v>
      </c>
      <c r="AP28" s="5" t="s">
        <v>88</v>
      </c>
      <c r="AQ28" s="5" t="s">
        <v>227</v>
      </c>
      <c r="AR28" s="5"/>
      <c r="AS28" s="7" t="n">
        <f aca="false">IF(AND(AP28="Y",ISNUMBER(AO28)),AO28,0)</f>
        <v>34.7393522561068</v>
      </c>
      <c r="AT28" s="7" t="n">
        <f aca="false">IF(AS28&gt;0,AS28*AG28,0)</f>
        <v>1.56826219287891</v>
      </c>
      <c r="AU28" s="7" t="n">
        <f aca="false">IF(AS28&gt;0,AS28*AG28^2,0)</f>
        <v>0.0707971261951505</v>
      </c>
      <c r="AV28" s="9" t="n">
        <f aca="false">IF(AS28&gt;0,AS28^2,0)</f>
        <v>1206.82259517387</v>
      </c>
      <c r="AW28" s="7" t="n">
        <f aca="false">IF(AS28&gt;0,AG28,0)</f>
        <v>0.0451436797473169</v>
      </c>
      <c r="AX28" s="7" t="n">
        <f aca="false">IF(AS28&gt;0,AH28,1)</f>
        <v>0.0287857986708492</v>
      </c>
    </row>
    <row r="29" customFormat="false" ht="15" hidden="false" customHeight="false" outlineLevel="0" collapsed="false">
      <c r="A29" s="5" t="s">
        <v>228</v>
      </c>
      <c r="B29" s="5" t="s">
        <v>229</v>
      </c>
      <c r="C29" s="5" t="s">
        <v>230</v>
      </c>
      <c r="D29" s="5" t="n">
        <v>2024</v>
      </c>
      <c r="E29" s="5" t="s">
        <v>221</v>
      </c>
      <c r="F29" s="5" t="s">
        <v>222</v>
      </c>
      <c r="G29" s="5" t="s">
        <v>187</v>
      </c>
      <c r="H29" s="5" t="s">
        <v>74</v>
      </c>
      <c r="I29" s="5" t="s">
        <v>207</v>
      </c>
      <c r="J29" s="5" t="s">
        <v>189</v>
      </c>
      <c r="K29" s="5" t="s">
        <v>163</v>
      </c>
      <c r="L29" s="5" t="s">
        <v>164</v>
      </c>
      <c r="M29" s="5" t="n">
        <v>2</v>
      </c>
      <c r="N29" s="5" t="n">
        <v>135</v>
      </c>
      <c r="O29" s="5" t="s">
        <v>190</v>
      </c>
      <c r="P29" s="10" t="s">
        <v>82</v>
      </c>
      <c r="Q29" s="10" t="s">
        <v>191</v>
      </c>
      <c r="R29" s="5"/>
      <c r="S29" s="10" t="s">
        <v>231</v>
      </c>
      <c r="T29" s="5" t="s">
        <v>232</v>
      </c>
      <c r="U29" s="10" t="s">
        <v>98</v>
      </c>
      <c r="V29" s="5" t="n">
        <v>41</v>
      </c>
      <c r="W29" s="5" t="n">
        <v>0.56</v>
      </c>
      <c r="X29" s="5" t="n">
        <v>0.84</v>
      </c>
      <c r="Y29" s="5" t="n">
        <v>40</v>
      </c>
      <c r="Z29" s="5" t="n">
        <v>0.55</v>
      </c>
      <c r="AA29" s="5" t="n">
        <v>0.87</v>
      </c>
      <c r="AB29" s="5" t="s">
        <v>99</v>
      </c>
      <c r="AC29" s="5"/>
      <c r="AD29" s="5" t="n">
        <v>1</v>
      </c>
      <c r="AE29" s="7" t="n">
        <f aca="false">IFERROR(IF(AB29="MSD",IF(COUNT(V29,W29,X29,Y29,Z29,AA29)&lt;6,"",(W29-Z29)/SQRT(((V29-1)*X29^2+(Y29-1)*AA29^2)/(V29+Y29-2))*AD29),IF(AB29="t",AC29*SQRT(1/V29+1/Y29)*AD29,IF(AB29="F",SQRT(AC29)*SQRT(1/V29+1/Y29)*AD29,IF(AB29="z",2*(AC29/SQRT(V29+Y29))/SQRT(1-(AC29/SQRT(V29+Y29))^2)*AD29,IF(AB29="t_paired",AC29/SQRT(V29)*AD29,""))))),"")</f>
        <v>0.0116967039490149</v>
      </c>
      <c r="AF29" s="7" t="n">
        <f aca="false">IF(AE29="","",IF(AB29="t_paired",1-3/(4*(V29-1)-1),1-3/(4*(V29+Y29)-9)))</f>
        <v>0.990476190476191</v>
      </c>
      <c r="AG29" s="7" t="n">
        <f aca="false">IF(AE29="","",AE29*AF29)</f>
        <v>0.0115853067685481</v>
      </c>
      <c r="AH29" s="7" t="n">
        <f aca="false">IF(AG29="","",IF(AB29="t_paired",1/V29+AG29^2/(2*V29),(V29+Y29)/(V29*Y29)+AG29^2/(2*(V29+Y29))))</f>
        <v>0.0493910724168398</v>
      </c>
      <c r="AI29" s="7" t="n">
        <f aca="false">IF(AH29="","",SQRT(AH29))</f>
        <v>0.222241023253673</v>
      </c>
      <c r="AJ29" s="7" t="n">
        <f aca="false">IF(AI29="","",AG29-1.96*AI29)</f>
        <v>-0.424007098808652</v>
      </c>
      <c r="AK29" s="7" t="n">
        <f aca="false">IF(AI29="","",AG29+1.96*AI29)</f>
        <v>0.447177712345748</v>
      </c>
      <c r="AL29" s="7" t="n">
        <f aca="false">IF(AI29="","",AG29/AI29)</f>
        <v>0.0521294700633388</v>
      </c>
      <c r="AM29" s="8" t="n">
        <f aca="false">IF(AL29="","",2*(1-NORMSDIST(ABS(AL29))))</f>
        <v>0.958425531168527</v>
      </c>
      <c r="AN29" s="9" t="n">
        <f aca="false">IF(COUNT(V29)=0,"",IF(AB29="t_paired",V29,V29+N(Y29)))</f>
        <v>81</v>
      </c>
      <c r="AO29" s="7" t="n">
        <f aca="false">IF(AH29="","",1/AH29)</f>
        <v>20.2465739468142</v>
      </c>
      <c r="AP29" s="5" t="s">
        <v>100</v>
      </c>
      <c r="AQ29" s="5" t="s">
        <v>167</v>
      </c>
      <c r="AR29" s="5"/>
      <c r="AS29" s="9" t="n">
        <f aca="false">IF(AND(AP29="Y",ISNUMBER(AO29)),AO29,0)</f>
        <v>0</v>
      </c>
      <c r="AT29" s="7" t="n">
        <f aca="false">IF(AS29&gt;0,AS29*AG29,0)</f>
        <v>0</v>
      </c>
      <c r="AU29" s="7" t="n">
        <f aca="false">IF(AS29&gt;0,AS29*AG29^2,0)</f>
        <v>0</v>
      </c>
      <c r="AV29" s="9" t="n">
        <f aca="false">IF(AS29&gt;0,AS29^2,0)</f>
        <v>0</v>
      </c>
      <c r="AW29" s="7" t="n">
        <f aca="false">IF(AS29&gt;0,AG29,0)</f>
        <v>0</v>
      </c>
      <c r="AX29" s="7" t="n">
        <f aca="false">IF(AS29&gt;0,AH29,1)</f>
        <v>1</v>
      </c>
    </row>
    <row r="30" customFormat="false" ht="15" hidden="false" customHeight="false" outlineLevel="0" collapsed="false">
      <c r="A30" s="5" t="s">
        <v>233</v>
      </c>
      <c r="B30" s="5" t="s">
        <v>229</v>
      </c>
      <c r="C30" s="5" t="s">
        <v>230</v>
      </c>
      <c r="D30" s="5" t="n">
        <v>2024</v>
      </c>
      <c r="E30" s="5" t="s">
        <v>221</v>
      </c>
      <c r="F30" s="5" t="s">
        <v>222</v>
      </c>
      <c r="G30" s="5" t="s">
        <v>187</v>
      </c>
      <c r="H30" s="5" t="s">
        <v>74</v>
      </c>
      <c r="I30" s="5" t="s">
        <v>207</v>
      </c>
      <c r="J30" s="5" t="s">
        <v>189</v>
      </c>
      <c r="K30" s="5" t="s">
        <v>163</v>
      </c>
      <c r="L30" s="5" t="s">
        <v>164</v>
      </c>
      <c r="M30" s="5" t="n">
        <v>2</v>
      </c>
      <c r="N30" s="5" t="n">
        <v>135</v>
      </c>
      <c r="O30" s="5" t="s">
        <v>190</v>
      </c>
      <c r="P30" s="6" t="s">
        <v>82</v>
      </c>
      <c r="Q30" s="6" t="s">
        <v>191</v>
      </c>
      <c r="R30" s="5"/>
      <c r="S30" s="6" t="s">
        <v>231</v>
      </c>
      <c r="T30" s="5" t="s">
        <v>232</v>
      </c>
      <c r="U30" s="6" t="s">
        <v>86</v>
      </c>
      <c r="V30" s="5" t="n">
        <v>41</v>
      </c>
      <c r="W30" s="5" t="n">
        <v>4.15</v>
      </c>
      <c r="X30" s="5" t="n">
        <v>1.01</v>
      </c>
      <c r="Y30" s="5" t="n">
        <v>40</v>
      </c>
      <c r="Z30" s="5" t="n">
        <v>2.8</v>
      </c>
      <c r="AA30" s="5" t="n">
        <v>2.04</v>
      </c>
      <c r="AB30" s="5" t="s">
        <v>99</v>
      </c>
      <c r="AC30" s="5"/>
      <c r="AD30" s="5" t="n">
        <v>1</v>
      </c>
      <c r="AE30" s="7" t="n">
        <f aca="false">IFERROR(IF(AB30="MSD",IF(COUNT(V30,W30,X30,Y30,Z30,AA30)&lt;6,"",(W30-Z30)/SQRT(((V30-1)*X30^2+(Y30-1)*AA30^2)/(V30+Y30-2))*AD30),IF(AB30="t",AC30*SQRT(1/V30+1/Y30)*AD30,IF(AB30="F",SQRT(AC30)*SQRT(1/V30+1/Y30)*AD30,IF(AB30="z",2*(AC30/SQRT(V30+Y30))/SQRT(1-(AC30/SQRT(V30+Y30))^2)*AD30,IF(AB30="t_paired",AC30/SQRT(V30)*AD30,""))))),"")</f>
        <v>0.841948465782773</v>
      </c>
      <c r="AF30" s="7" t="n">
        <f aca="false">IF(AE30="","",IF(AB30="t_paired",1-3/(4*(V30-1)-1),1-3/(4*(V30+Y30)-9)))</f>
        <v>0.990476190476191</v>
      </c>
      <c r="AG30" s="7" t="n">
        <f aca="false">IF(AE30="","",AE30*AF30)</f>
        <v>0.833929908965794</v>
      </c>
      <c r="AH30" s="7" t="n">
        <f aca="false">IF(AG30="","",IF(AB30="t_paired",1/V30+AG30^2/(2*V30),(V30+Y30)/(V30*Y30)+AG30^2/(2*(V30+Y30))))</f>
        <v>0.0536830778102643</v>
      </c>
      <c r="AI30" s="7" t="n">
        <f aca="false">IF(AH30="","",SQRT(AH30))</f>
        <v>0.231696089328811</v>
      </c>
      <c r="AJ30" s="7" t="n">
        <f aca="false">IF(AI30="","",AG30-1.96*AI30)</f>
        <v>0.379805573881325</v>
      </c>
      <c r="AK30" s="7" t="n">
        <f aca="false">IF(AI30="","",AG30+1.96*AI30)</f>
        <v>1.28805424405026</v>
      </c>
      <c r="AL30" s="7" t="n">
        <f aca="false">IF(AI30="","",AG30/AI30)</f>
        <v>3.5992403297853</v>
      </c>
      <c r="AM30" s="8" t="n">
        <f aca="false">IF(AL30="","",2*(1-NORMSDIST(ABS(AL30))))</f>
        <v>0.000319148139986902</v>
      </c>
      <c r="AN30" s="9" t="n">
        <f aca="false">IF(COUNT(V30)=0,"",IF(AB30="t_paired",V30,V30+N(Y30)))</f>
        <v>81</v>
      </c>
      <c r="AO30" s="7" t="n">
        <f aca="false">IF(AH30="","",1/AH30)</f>
        <v>18.6278440206869</v>
      </c>
      <c r="AP30" s="5" t="s">
        <v>88</v>
      </c>
      <c r="AQ30" s="5" t="s">
        <v>167</v>
      </c>
      <c r="AR30" s="5"/>
      <c r="AS30" s="7" t="n">
        <f aca="false">IF(AND(AP30="Y",ISNUMBER(AO30)),AO30,0)</f>
        <v>18.6278440206869</v>
      </c>
      <c r="AT30" s="7" t="n">
        <f aca="false">IF(AS30&gt;0,AS30*AG30,0)</f>
        <v>15.5343162684004</v>
      </c>
      <c r="AU30" s="7" t="n">
        <f aca="false">IF(AS30&gt;0,AS30*AG30^2,0)</f>
        <v>12.954530951553</v>
      </c>
      <c r="AV30" s="9" t="n">
        <f aca="false">IF(AS30&gt;0,AS30^2,0)</f>
        <v>346.996572859039</v>
      </c>
      <c r="AW30" s="7" t="n">
        <f aca="false">IF(AS30&gt;0,AG30,0)</f>
        <v>0.833929908965794</v>
      </c>
      <c r="AX30" s="7" t="n">
        <f aca="false">IF(AS30&gt;0,AH30,1)</f>
        <v>0.0536830778102643</v>
      </c>
    </row>
    <row r="31" customFormat="false" ht="15" hidden="false" customHeight="false" outlineLevel="0" collapsed="false">
      <c r="A31" s="5" t="s">
        <v>234</v>
      </c>
      <c r="B31" s="5" t="s">
        <v>229</v>
      </c>
      <c r="C31" s="5" t="s">
        <v>230</v>
      </c>
      <c r="D31" s="5" t="n">
        <v>2024</v>
      </c>
      <c r="E31" s="5" t="s">
        <v>221</v>
      </c>
      <c r="F31" s="5" t="s">
        <v>222</v>
      </c>
      <c r="G31" s="5" t="s">
        <v>187</v>
      </c>
      <c r="H31" s="5" t="s">
        <v>74</v>
      </c>
      <c r="I31" s="5" t="s">
        <v>207</v>
      </c>
      <c r="J31" s="5" t="s">
        <v>189</v>
      </c>
      <c r="K31" s="5" t="s">
        <v>163</v>
      </c>
      <c r="L31" s="5" t="s">
        <v>164</v>
      </c>
      <c r="M31" s="5" t="n">
        <v>2</v>
      </c>
      <c r="N31" s="5" t="n">
        <v>135</v>
      </c>
      <c r="O31" s="5" t="s">
        <v>190</v>
      </c>
      <c r="P31" s="10" t="s">
        <v>113</v>
      </c>
      <c r="Q31" s="10" t="s">
        <v>114</v>
      </c>
      <c r="R31" s="5" t="s">
        <v>125</v>
      </c>
      <c r="S31" s="10" t="s">
        <v>235</v>
      </c>
      <c r="T31" s="5" t="s">
        <v>232</v>
      </c>
      <c r="U31" s="10" t="s">
        <v>98</v>
      </c>
      <c r="V31" s="5" t="n">
        <v>41</v>
      </c>
      <c r="W31" s="5" t="n">
        <v>63</v>
      </c>
      <c r="X31" s="5" t="n">
        <v>7.37</v>
      </c>
      <c r="Y31" s="5" t="n">
        <v>40</v>
      </c>
      <c r="Z31" s="5" t="n">
        <v>63.55</v>
      </c>
      <c r="AA31" s="5" t="n">
        <v>9.816</v>
      </c>
      <c r="AB31" s="5" t="s">
        <v>99</v>
      </c>
      <c r="AC31" s="5"/>
      <c r="AD31" s="5" t="n">
        <v>1</v>
      </c>
      <c r="AE31" s="7" t="n">
        <f aca="false">IFERROR(IF(AB31="MSD",IF(COUNT(V31,W31,X31,Y31,Z31,AA31)&lt;6,"",(W31-Z31)/SQRT(((V31-1)*X31^2+(Y31-1)*AA31^2)/(V31+Y31-2))*AD31),IF(AB31="t",AC31*SQRT(1/V31+1/Y31)*AD31,IF(AB31="F",SQRT(AC31)*SQRT(1/V31+1/Y31)*AD31,IF(AB31="z",2*(AC31/SQRT(V31+Y31))/SQRT(1-(AC31/SQRT(V31+Y31))^2)*AD31,IF(AB31="t_paired",AC31/SQRT(V31)*AD31,""))))),"")</f>
        <v>-0.0634791999751242</v>
      </c>
      <c r="AF31" s="7" t="n">
        <f aca="false">IF(AE31="","",IF(AB31="t_paired",1-3/(4*(V31-1)-1),1-3/(4*(V31+Y31)-9)))</f>
        <v>0.990476190476191</v>
      </c>
      <c r="AG31" s="7" t="n">
        <f aca="false">IF(AE31="","",AE31*AF31)</f>
        <v>-0.0628746361658373</v>
      </c>
      <c r="AH31" s="7" t="n">
        <f aca="false">IF(AG31="","",IF(AB31="t_paired",1/V31+AG31^2/(2*V31),(V31+Y31)/(V31*Y31)+AG31^2/(2*(V31+Y31))))</f>
        <v>0.0494146464942476</v>
      </c>
      <c r="AI31" s="7" t="n">
        <f aca="false">IF(AH31="","",SQRT(AH31))</f>
        <v>0.222294054113572</v>
      </c>
      <c r="AJ31" s="7" t="n">
        <f aca="false">IF(AI31="","",AG31-1.96*AI31)</f>
        <v>-0.498570982228438</v>
      </c>
      <c r="AK31" s="7" t="n">
        <f aca="false">IF(AI31="","",AG31+1.96*AI31)</f>
        <v>0.372821709896763</v>
      </c>
      <c r="AL31" s="7" t="n">
        <f aca="false">IF(AI31="","",AG31/AI31)</f>
        <v>-0.282844435117973</v>
      </c>
      <c r="AM31" s="8" t="n">
        <f aca="false">IF(AL31="","",2*(1-NORMSDIST(ABS(AL31))))</f>
        <v>0.777296090213068</v>
      </c>
      <c r="AN31" s="9" t="n">
        <f aca="false">IF(COUNT(V31)=0,"",IF(AB31="t_paired",V31,V31+N(Y31)))</f>
        <v>81</v>
      </c>
      <c r="AO31" s="7" t="n">
        <f aca="false">IF(AH31="","",1/AH31)</f>
        <v>20.2369149826137</v>
      </c>
      <c r="AP31" s="5" t="s">
        <v>100</v>
      </c>
      <c r="AQ31" s="5" t="s">
        <v>227</v>
      </c>
      <c r="AR31" s="5"/>
      <c r="AS31" s="9" t="n">
        <f aca="false">IF(AND(AP31="Y",ISNUMBER(AO31)),AO31,0)</f>
        <v>0</v>
      </c>
      <c r="AT31" s="7" t="n">
        <f aca="false">IF(AS31&gt;0,AS31*AG31,0)</f>
        <v>0</v>
      </c>
      <c r="AU31" s="7" t="n">
        <f aca="false">IF(AS31&gt;0,AS31*AG31^2,0)</f>
        <v>0</v>
      </c>
      <c r="AV31" s="9" t="n">
        <f aca="false">IF(AS31&gt;0,AS31^2,0)</f>
        <v>0</v>
      </c>
      <c r="AW31" s="7" t="n">
        <f aca="false">IF(AS31&gt;0,AG31,0)</f>
        <v>0</v>
      </c>
      <c r="AX31" s="7" t="n">
        <f aca="false">IF(AS31&gt;0,AH31,1)</f>
        <v>1</v>
      </c>
    </row>
    <row r="32" customFormat="false" ht="15" hidden="false" customHeight="false" outlineLevel="0" collapsed="false">
      <c r="A32" s="5" t="s">
        <v>236</v>
      </c>
      <c r="B32" s="5" t="s">
        <v>229</v>
      </c>
      <c r="C32" s="5" t="s">
        <v>230</v>
      </c>
      <c r="D32" s="5" t="n">
        <v>2024</v>
      </c>
      <c r="E32" s="5" t="s">
        <v>221</v>
      </c>
      <c r="F32" s="5" t="s">
        <v>222</v>
      </c>
      <c r="G32" s="5" t="s">
        <v>187</v>
      </c>
      <c r="H32" s="5" t="s">
        <v>74</v>
      </c>
      <c r="I32" s="5" t="s">
        <v>207</v>
      </c>
      <c r="J32" s="5" t="s">
        <v>189</v>
      </c>
      <c r="K32" s="5" t="s">
        <v>163</v>
      </c>
      <c r="L32" s="5" t="s">
        <v>164</v>
      </c>
      <c r="M32" s="5" t="n">
        <v>2</v>
      </c>
      <c r="N32" s="5" t="n">
        <v>135</v>
      </c>
      <c r="O32" s="5" t="s">
        <v>190</v>
      </c>
      <c r="P32" s="11" t="s">
        <v>113</v>
      </c>
      <c r="Q32" s="11" t="s">
        <v>114</v>
      </c>
      <c r="R32" s="5" t="s">
        <v>125</v>
      </c>
      <c r="S32" s="11" t="s">
        <v>235</v>
      </c>
      <c r="T32" s="5" t="s">
        <v>232</v>
      </c>
      <c r="U32" s="11" t="s">
        <v>86</v>
      </c>
      <c r="V32" s="5" t="n">
        <v>41</v>
      </c>
      <c r="W32" s="5" t="n">
        <v>25.24</v>
      </c>
      <c r="X32" s="5" t="n">
        <v>9.21</v>
      </c>
      <c r="Y32" s="5" t="n">
        <v>40</v>
      </c>
      <c r="Z32" s="5" t="n">
        <v>20.75</v>
      </c>
      <c r="AA32" s="5" t="n">
        <v>6.986</v>
      </c>
      <c r="AB32" s="5" t="s">
        <v>99</v>
      </c>
      <c r="AC32" s="5"/>
      <c r="AD32" s="5" t="n">
        <v>1</v>
      </c>
      <c r="AE32" s="7" t="n">
        <f aca="false">IFERROR(IF(AB32="MSD",IF(COUNT(V32,W32,X32,Y32,Z32,AA32)&lt;6,"",(W32-Z32)/SQRT(((V32-1)*X32^2+(Y32-1)*AA32^2)/(V32+Y32-2))*AD32),IF(AB32="t",AC32*SQRT(1/V32+1/Y32)*AD32,IF(AB32="F",SQRT(AC32)*SQRT(1/V32+1/Y32)*AD32,IF(AB32="z",2*(AC32/SQRT(V32+Y32))/SQRT(1-(AC32/SQRT(V32+Y32))^2)*AD32,IF(AB32="t_paired",AC32/SQRT(V32)*AD32,""))))),"")</f>
        <v>0.548368455992127</v>
      </c>
      <c r="AF32" s="7" t="n">
        <f aca="false">IF(AE32="","",IF(AB32="t_paired",1-3/(4*(V32-1)-1),1-3/(4*(V32+Y32)-9)))</f>
        <v>0.990476190476191</v>
      </c>
      <c r="AG32" s="7" t="n">
        <f aca="false">IF(AE32="","",AE32*AF32)</f>
        <v>0.543145899268393</v>
      </c>
      <c r="AH32" s="7" t="n">
        <f aca="false">IF(AG32="","",IF(AB32="t_paired",1/V32+AG32^2/(2*V32),(V32+Y32)/(V32*Y32)+AG32^2/(2*(V32+Y32))))</f>
        <v>0.0512112776548592</v>
      </c>
      <c r="AI32" s="7" t="n">
        <f aca="false">IF(AH32="","",SQRT(AH32))</f>
        <v>0.226299088939525</v>
      </c>
      <c r="AJ32" s="7" t="n">
        <f aca="false">IF(AI32="","",AG32-1.96*AI32)</f>
        <v>0.099599684946923</v>
      </c>
      <c r="AK32" s="7" t="n">
        <f aca="false">IF(AI32="","",AG32+1.96*AI32)</f>
        <v>0.986692113589863</v>
      </c>
      <c r="AL32" s="7" t="n">
        <f aca="false">IF(AI32="","",AG32/AI32)</f>
        <v>2.40012410926471</v>
      </c>
      <c r="AM32" s="8" t="n">
        <f aca="false">IF(AL32="","",2*(1-NORMSDIST(ABS(AL32))))</f>
        <v>0.0163895139396166</v>
      </c>
      <c r="AN32" s="9" t="n">
        <f aca="false">IF(COUNT(V32)=0,"",IF(AB32="t_paired",V32,V32+N(Y32)))</f>
        <v>81</v>
      </c>
      <c r="AO32" s="7" t="n">
        <f aca="false">IF(AH32="","",1/AH32)</f>
        <v>19.5269488634817</v>
      </c>
      <c r="AP32" s="5" t="s">
        <v>88</v>
      </c>
      <c r="AQ32" s="5" t="s">
        <v>227</v>
      </c>
      <c r="AR32" s="5"/>
      <c r="AS32" s="7" t="n">
        <f aca="false">IF(AND(AP32="Y",ISNUMBER(AO32)),AO32,0)</f>
        <v>19.5269488634817</v>
      </c>
      <c r="AT32" s="7" t="n">
        <f aca="false">IF(AS32&gt;0,AS32*AG32,0)</f>
        <v>10.6059822004237</v>
      </c>
      <c r="AU32" s="7" t="n">
        <f aca="false">IF(AS32&gt;0,AS32*AG32^2,0)</f>
        <v>5.7605957398737</v>
      </c>
      <c r="AV32" s="9" t="n">
        <f aca="false">IF(AS32&gt;0,AS32^2,0)</f>
        <v>381.30173191703</v>
      </c>
      <c r="AW32" s="7" t="n">
        <f aca="false">IF(AS32&gt;0,AG32,0)</f>
        <v>0.543145899268393</v>
      </c>
      <c r="AX32" s="7" t="n">
        <f aca="false">IF(AS32&gt;0,AH32,1)</f>
        <v>0.0512112776548592</v>
      </c>
    </row>
    <row r="33" customFormat="false" ht="15" hidden="false" customHeight="false" outlineLevel="0" collapsed="false">
      <c r="A33" s="5" t="s">
        <v>237</v>
      </c>
      <c r="B33" s="5" t="s">
        <v>238</v>
      </c>
      <c r="C33" s="5" t="s">
        <v>239</v>
      </c>
      <c r="D33" s="5" t="n">
        <v>2022</v>
      </c>
      <c r="E33" s="5" t="s">
        <v>206</v>
      </c>
      <c r="F33" s="5" t="s">
        <v>159</v>
      </c>
      <c r="G33" s="5" t="s">
        <v>160</v>
      </c>
      <c r="H33" s="5" t="s">
        <v>174</v>
      </c>
      <c r="I33" s="5" t="s">
        <v>240</v>
      </c>
      <c r="J33" s="5" t="s">
        <v>162</v>
      </c>
      <c r="K33" s="5" t="s">
        <v>163</v>
      </c>
      <c r="L33" s="5" t="s">
        <v>164</v>
      </c>
      <c r="M33" s="5"/>
      <c r="N33" s="5"/>
      <c r="O33" s="5" t="s">
        <v>162</v>
      </c>
      <c r="P33" s="10" t="s">
        <v>82</v>
      </c>
      <c r="Q33" s="10" t="s">
        <v>191</v>
      </c>
      <c r="R33" s="5"/>
      <c r="S33" s="10" t="s">
        <v>241</v>
      </c>
      <c r="T33" s="5" t="s">
        <v>242</v>
      </c>
      <c r="U33" s="10" t="s">
        <v>98</v>
      </c>
      <c r="V33" s="5" t="n">
        <v>30</v>
      </c>
      <c r="W33" s="5" t="n">
        <v>85.25</v>
      </c>
      <c r="X33" s="5" t="n">
        <v>7.85</v>
      </c>
      <c r="Y33" s="5" t="n">
        <v>30</v>
      </c>
      <c r="Z33" s="5" t="n">
        <v>84.43</v>
      </c>
      <c r="AA33" s="5" t="n">
        <v>3.62</v>
      </c>
      <c r="AB33" s="5" t="s">
        <v>99</v>
      </c>
      <c r="AC33" s="5"/>
      <c r="AD33" s="5" t="n">
        <v>1</v>
      </c>
      <c r="AE33" s="7" t="n">
        <f aca="false">IFERROR(IF(AB33="MSD",IF(COUNT(V33,W33,X33,Y33,Z33,AA33)&lt;6,"",(W33-Z33)/SQRT(((V33-1)*X33^2+(Y33-1)*AA33^2)/(V33+Y33-2))*AD33),IF(AB33="t",AC33*SQRT(1/V33+1/Y33)*AD33,IF(AB33="F",SQRT(AC33)*SQRT(1/V33+1/Y33)*AD33,IF(AB33="z",2*(AC33/SQRT(V33+Y33))/SQRT(1-(AC33/SQRT(V33+Y33))^2)*AD33,IF(AB33="t_paired",AC33/SQRT(V33)*AD33,""))))),"")</f>
        <v>0.134149904278807</v>
      </c>
      <c r="AF33" s="7" t="n">
        <f aca="false">IF(AE33="","",IF(AB33="t_paired",1-3/(4*(V33-1)-1),1-3/(4*(V33+Y33)-9)))</f>
        <v>0.987012987012987</v>
      </c>
      <c r="AG33" s="7" t="n">
        <f aca="false">IF(AE33="","",AE33*AF33)</f>
        <v>0.132407697729731</v>
      </c>
      <c r="AH33" s="7" t="n">
        <f aca="false">IF(AG33="","",IF(AB33="t_paired",1/V33+AG33^2/(2*V33),(V33+Y33)/(V33*Y33)+AG33^2/(2*(V33+Y33))))</f>
        <v>0.0668127649868174</v>
      </c>
      <c r="AI33" s="7" t="n">
        <f aca="false">IF(AH33="","",SQRT(AH33))</f>
        <v>0.258481653095181</v>
      </c>
      <c r="AJ33" s="7" t="n">
        <f aca="false">IF(AI33="","",AG33-1.96*AI33)</f>
        <v>-0.374216342336823</v>
      </c>
      <c r="AK33" s="7" t="n">
        <f aca="false">IF(AI33="","",AG33+1.96*AI33)</f>
        <v>0.639031737796286</v>
      </c>
      <c r="AL33" s="7" t="n">
        <f aca="false">IF(AI33="","",AG33/AI33)</f>
        <v>0.51225182191548</v>
      </c>
      <c r="AM33" s="8" t="n">
        <f aca="false">IF(AL33="","",2*(1-NORMSDIST(ABS(AL33))))</f>
        <v>0.608474778797525</v>
      </c>
      <c r="AN33" s="9" t="n">
        <f aca="false">IF(COUNT(V33)=0,"",IF(AB33="t_paired",V33,V33+N(Y33)))</f>
        <v>60</v>
      </c>
      <c r="AO33" s="7" t="n">
        <f aca="false">IF(AH33="","",1/AH33)</f>
        <v>14.967199758868</v>
      </c>
      <c r="AP33" s="5" t="s">
        <v>100</v>
      </c>
      <c r="AQ33" s="5" t="s">
        <v>167</v>
      </c>
      <c r="AR33" s="5"/>
      <c r="AS33" s="9" t="n">
        <f aca="false">IF(AND(AP33="Y",ISNUMBER(AO33)),AO33,0)</f>
        <v>0</v>
      </c>
      <c r="AT33" s="7" t="n">
        <f aca="false">IF(AS33&gt;0,AS33*AG33,0)</f>
        <v>0</v>
      </c>
      <c r="AU33" s="7" t="n">
        <f aca="false">IF(AS33&gt;0,AS33*AG33^2,0)</f>
        <v>0</v>
      </c>
      <c r="AV33" s="9" t="n">
        <f aca="false">IF(AS33&gt;0,AS33^2,0)</f>
        <v>0</v>
      </c>
      <c r="AW33" s="7" t="n">
        <f aca="false">IF(AS33&gt;0,AG33,0)</f>
        <v>0</v>
      </c>
      <c r="AX33" s="7" t="n">
        <f aca="false">IF(AS33&gt;0,AH33,1)</f>
        <v>1</v>
      </c>
    </row>
    <row r="34" customFormat="false" ht="15" hidden="false" customHeight="false" outlineLevel="0" collapsed="false">
      <c r="A34" s="5" t="s">
        <v>243</v>
      </c>
      <c r="B34" s="5" t="s">
        <v>238</v>
      </c>
      <c r="C34" s="5" t="s">
        <v>239</v>
      </c>
      <c r="D34" s="5" t="n">
        <v>2022</v>
      </c>
      <c r="E34" s="5" t="s">
        <v>206</v>
      </c>
      <c r="F34" s="5" t="s">
        <v>159</v>
      </c>
      <c r="G34" s="5" t="s">
        <v>160</v>
      </c>
      <c r="H34" s="5" t="s">
        <v>174</v>
      </c>
      <c r="I34" s="5" t="s">
        <v>240</v>
      </c>
      <c r="J34" s="5" t="s">
        <v>162</v>
      </c>
      <c r="K34" s="5" t="s">
        <v>163</v>
      </c>
      <c r="L34" s="5" t="s">
        <v>164</v>
      </c>
      <c r="M34" s="5"/>
      <c r="N34" s="5"/>
      <c r="O34" s="5" t="s">
        <v>162</v>
      </c>
      <c r="P34" s="6" t="s">
        <v>82</v>
      </c>
      <c r="Q34" s="6" t="s">
        <v>191</v>
      </c>
      <c r="R34" s="5"/>
      <c r="S34" s="6" t="s">
        <v>241</v>
      </c>
      <c r="T34" s="5" t="s">
        <v>242</v>
      </c>
      <c r="U34" s="6" t="s">
        <v>86</v>
      </c>
      <c r="V34" s="5" t="n">
        <v>30</v>
      </c>
      <c r="W34" s="5" t="n">
        <v>92.93</v>
      </c>
      <c r="X34" s="5" t="n">
        <v>3.27</v>
      </c>
      <c r="Y34" s="5" t="n">
        <v>30</v>
      </c>
      <c r="Z34" s="5" t="n">
        <v>85.58</v>
      </c>
      <c r="AA34" s="5" t="n">
        <v>3.92</v>
      </c>
      <c r="AB34" s="5" t="s">
        <v>99</v>
      </c>
      <c r="AC34" s="5"/>
      <c r="AD34" s="5" t="n">
        <v>1</v>
      </c>
      <c r="AE34" s="7" t="n">
        <f aca="false">IFERROR(IF(AB34="MSD",IF(COUNT(V34,W34,X34,Y34,Z34,AA34)&lt;6,"",(W34-Z34)/SQRT(((V34-1)*X34^2+(Y34-1)*AA34^2)/(V34+Y34-2))*AD34),IF(AB34="t",AC34*SQRT(1/V34+1/Y34)*AD34,IF(AB34="F",SQRT(AC34)*SQRT(1/V34+1/Y34)*AD34,IF(AB34="z",2*(AC34/SQRT(V34+Y34))/SQRT(1-(AC34/SQRT(V34+Y34))^2)*AD34,IF(AB34="t_paired",AC34/SQRT(V34)*AD34,""))))),"")</f>
        <v>2.03620248964431</v>
      </c>
      <c r="AF34" s="7" t="n">
        <f aca="false">IF(AE34="","",IF(AB34="t_paired",1-3/(4*(V34-1)-1),1-3/(4*(V34+Y34)-9)))</f>
        <v>0.987012987012987</v>
      </c>
      <c r="AG34" s="7" t="n">
        <f aca="false">IF(AE34="","",AE34*AF34)</f>
        <v>2.00975830146711</v>
      </c>
      <c r="AH34" s="7" t="n">
        <f aca="false">IF(AG34="","",IF(AB34="t_paired",1/V34+AG34^2/(2*V34),(V34+Y34)/(V34*Y34)+AG34^2/(2*(V34+Y34))))</f>
        <v>0.100326070252633</v>
      </c>
      <c r="AI34" s="7" t="n">
        <f aca="false">IF(AH34="","",SQRT(AH34))</f>
        <v>0.316742908764558</v>
      </c>
      <c r="AJ34" s="7" t="n">
        <f aca="false">IF(AI34="","",AG34-1.96*AI34)</f>
        <v>1.38894220028857</v>
      </c>
      <c r="AK34" s="7" t="n">
        <f aca="false">IF(AI34="","",AG34+1.96*AI34)</f>
        <v>2.63057440264564</v>
      </c>
      <c r="AL34" s="7" t="n">
        <f aca="false">IF(AI34="","",AG34/AI34)</f>
        <v>6.34507749299293</v>
      </c>
      <c r="AM34" s="8" t="n">
        <f aca="false">IF(AL34="","",2*(1-NORMSDIST(ABS(AL34))))</f>
        <v>2.22313500941596E-010</v>
      </c>
      <c r="AN34" s="9" t="n">
        <f aca="false">IF(COUNT(V34)=0,"",IF(AB34="t_paired",V34,V34+N(Y34)))</f>
        <v>60</v>
      </c>
      <c r="AO34" s="7" t="n">
        <f aca="false">IF(AH34="","",1/AH34)</f>
        <v>9.96749895098932</v>
      </c>
      <c r="AP34" s="5" t="s">
        <v>88</v>
      </c>
      <c r="AQ34" s="5" t="s">
        <v>167</v>
      </c>
      <c r="AR34" s="5"/>
      <c r="AS34" s="7" t="n">
        <f aca="false">IF(AND(AP34="Y",ISNUMBER(AO34)),AO34,0)</f>
        <v>9.96749895098932</v>
      </c>
      <c r="AT34" s="7" t="n">
        <f aca="false">IF(AS34&gt;0,AS34*AG34,0)</f>
        <v>20.0322637616155</v>
      </c>
      <c r="AU34" s="7" t="n">
        <f aca="false">IF(AS34&gt;0,AS34*AG34^2,0)</f>
        <v>40.2600083920854</v>
      </c>
      <c r="AV34" s="9" t="n">
        <f aca="false">IF(AS34&gt;0,AS34^2,0)</f>
        <v>99.3510353379733</v>
      </c>
      <c r="AW34" s="7" t="n">
        <f aca="false">IF(AS34&gt;0,AG34,0)</f>
        <v>2.00975830146711</v>
      </c>
      <c r="AX34" s="7" t="n">
        <f aca="false">IF(AS34&gt;0,AH34,1)</f>
        <v>0.100326070252633</v>
      </c>
    </row>
    <row r="35" customFormat="false" ht="15" hidden="false" customHeight="false" outlineLevel="0" collapsed="false">
      <c r="A35" s="5" t="s">
        <v>244</v>
      </c>
      <c r="B35" s="5" t="s">
        <v>245</v>
      </c>
      <c r="C35" s="5" t="s">
        <v>246</v>
      </c>
      <c r="D35" s="5" t="n">
        <v>2024</v>
      </c>
      <c r="E35" s="5" t="s">
        <v>221</v>
      </c>
      <c r="F35" s="5" t="s">
        <v>199</v>
      </c>
      <c r="G35" s="5" t="s">
        <v>160</v>
      </c>
      <c r="H35" s="5" t="s">
        <v>131</v>
      </c>
      <c r="I35" s="5" t="s">
        <v>247</v>
      </c>
      <c r="J35" s="5" t="s">
        <v>162</v>
      </c>
      <c r="K35" s="5" t="s">
        <v>163</v>
      </c>
      <c r="L35" s="5" t="s">
        <v>164</v>
      </c>
      <c r="M35" s="5" t="n">
        <v>4</v>
      </c>
      <c r="N35" s="5" t="n">
        <v>20</v>
      </c>
      <c r="O35" s="5" t="s">
        <v>190</v>
      </c>
      <c r="P35" s="6" t="s">
        <v>82</v>
      </c>
      <c r="Q35" s="6" t="s">
        <v>83</v>
      </c>
      <c r="R35" s="5"/>
      <c r="S35" s="6" t="s">
        <v>248</v>
      </c>
      <c r="T35" s="5" t="s">
        <v>213</v>
      </c>
      <c r="U35" s="6" t="s">
        <v>86</v>
      </c>
      <c r="V35" s="5" t="n">
        <v>40</v>
      </c>
      <c r="W35" s="5" t="n">
        <v>16.9</v>
      </c>
      <c r="X35" s="5" t="n">
        <v>1.17</v>
      </c>
      <c r="Y35" s="5" t="n">
        <v>40</v>
      </c>
      <c r="Z35" s="5" t="n">
        <v>14.47</v>
      </c>
      <c r="AA35" s="5" t="n">
        <v>1.5</v>
      </c>
      <c r="AB35" s="5" t="s">
        <v>99</v>
      </c>
      <c r="AC35" s="5"/>
      <c r="AD35" s="5" t="n">
        <v>1</v>
      </c>
      <c r="AE35" s="7" t="n">
        <f aca="false">IFERROR(IF(AB35="MSD",IF(COUNT(V35,W35,X35,Y35,Z35,AA35)&lt;6,"",(W35-Z35)/SQRT(((V35-1)*X35^2+(Y35-1)*AA35^2)/(V35+Y35-2))*AD35),IF(AB35="t",AC35*SQRT(1/V35+1/Y35)*AD35,IF(AB35="F",SQRT(AC35)*SQRT(1/V35+1/Y35)*AD35,IF(AB35="z",2*(AC35/SQRT(V35+Y35))/SQRT(1-(AC35/SQRT(V35+Y35))^2)*AD35,IF(AB35="t_paired",AC35/SQRT(V35)*AD35,""))))),"")</f>
        <v>1.80647926131517</v>
      </c>
      <c r="AF35" s="7" t="n">
        <f aca="false">IF(AE35="","",IF(AB35="t_paired",1-3/(4*(V35-1)-1),1-3/(4*(V35+Y35)-9)))</f>
        <v>0.990353697749196</v>
      </c>
      <c r="AG35" s="7" t="n">
        <f aca="false">IF(AE35="","",AE35*AF35)</f>
        <v>1.78905341635071</v>
      </c>
      <c r="AH35" s="7" t="n">
        <f aca="false">IF(AG35="","",IF(AB35="t_paired",1/V35+AG35^2/(2*V35),(V35+Y35)/(V35*Y35)+AG35^2/(2*(V35+Y35))))</f>
        <v>0.070004450790976</v>
      </c>
      <c r="AI35" s="7" t="n">
        <f aca="false">IF(AH35="","",SQRT(AH35))</f>
        <v>0.26458354217709</v>
      </c>
      <c r="AJ35" s="7" t="n">
        <f aca="false">IF(AI35="","",AG35-1.96*AI35)</f>
        <v>1.27046967368362</v>
      </c>
      <c r="AK35" s="7" t="n">
        <f aca="false">IF(AI35="","",AG35+1.96*AI35)</f>
        <v>2.30763715901781</v>
      </c>
      <c r="AL35" s="7" t="n">
        <f aca="false">IF(AI35="","",AG35/AI35)</f>
        <v>6.76177135444528</v>
      </c>
      <c r="AM35" s="8" t="n">
        <f aca="false">IF(AL35="","",2*(1-NORMSDIST(ABS(AL35))))</f>
        <v>1.36315403409526E-011</v>
      </c>
      <c r="AN35" s="9" t="n">
        <f aca="false">IF(COUNT(V35)=0,"",IF(AB35="t_paired",V35,V35+N(Y35)))</f>
        <v>80</v>
      </c>
      <c r="AO35" s="7" t="n">
        <f aca="false">IF(AH35="","",1/AH35)</f>
        <v>14.2848060187754</v>
      </c>
      <c r="AP35" s="5" t="s">
        <v>88</v>
      </c>
      <c r="AQ35" s="5" t="s">
        <v>167</v>
      </c>
      <c r="AR35" s="5"/>
      <c r="AS35" s="7" t="n">
        <f aca="false">IF(AND(AP35="Y",ISNUMBER(AO35)),AO35,0)</f>
        <v>14.2848060187754</v>
      </c>
      <c r="AT35" s="7" t="n">
        <f aca="false">IF(AS35&gt;0,AS35*AG35,0)</f>
        <v>25.5562810097974</v>
      </c>
      <c r="AU35" s="7" t="n">
        <f aca="false">IF(AS35&gt;0,AS35*AG35^2,0)</f>
        <v>45.7215518497968</v>
      </c>
      <c r="AV35" s="9" t="n">
        <f aca="false">IF(AS35&gt;0,AS35^2,0)</f>
        <v>204.055682994042</v>
      </c>
      <c r="AW35" s="7" t="n">
        <f aca="false">IF(AS35&gt;0,AG35,0)</f>
        <v>1.78905341635071</v>
      </c>
      <c r="AX35" s="7" t="n">
        <f aca="false">IF(AS35&gt;0,AH35,1)</f>
        <v>0.070004450790976</v>
      </c>
    </row>
    <row r="36" customFormat="false" ht="15" hidden="false" customHeight="false" outlineLevel="0" collapsed="false">
      <c r="A36" s="5" t="s">
        <v>249</v>
      </c>
      <c r="B36" s="5" t="s">
        <v>245</v>
      </c>
      <c r="C36" s="5" t="s">
        <v>246</v>
      </c>
      <c r="D36" s="5" t="n">
        <v>2024</v>
      </c>
      <c r="E36" s="5" t="s">
        <v>221</v>
      </c>
      <c r="F36" s="5" t="s">
        <v>199</v>
      </c>
      <c r="G36" s="5" t="s">
        <v>160</v>
      </c>
      <c r="H36" s="5" t="s">
        <v>131</v>
      </c>
      <c r="I36" s="5" t="s">
        <v>247</v>
      </c>
      <c r="J36" s="5" t="s">
        <v>162</v>
      </c>
      <c r="K36" s="5" t="s">
        <v>163</v>
      </c>
      <c r="L36" s="5" t="s">
        <v>164</v>
      </c>
      <c r="M36" s="5" t="n">
        <v>4</v>
      </c>
      <c r="N36" s="5" t="n">
        <v>20</v>
      </c>
      <c r="O36" s="5" t="s">
        <v>190</v>
      </c>
      <c r="P36" s="6" t="s">
        <v>82</v>
      </c>
      <c r="Q36" s="6" t="s">
        <v>191</v>
      </c>
      <c r="R36" s="5"/>
      <c r="S36" s="6" t="s">
        <v>212</v>
      </c>
      <c r="T36" s="5" t="s">
        <v>213</v>
      </c>
      <c r="U36" s="6" t="s">
        <v>86</v>
      </c>
      <c r="V36" s="5" t="n">
        <v>40</v>
      </c>
      <c r="W36" s="5" t="n">
        <v>83.5</v>
      </c>
      <c r="X36" s="5" t="n">
        <v>9.02</v>
      </c>
      <c r="Y36" s="5" t="n">
        <v>40</v>
      </c>
      <c r="Z36" s="5" t="n">
        <v>78.75</v>
      </c>
      <c r="AA36" s="5" t="n">
        <v>9.55</v>
      </c>
      <c r="AB36" s="5" t="s">
        <v>99</v>
      </c>
      <c r="AC36" s="5"/>
      <c r="AD36" s="5" t="n">
        <v>1</v>
      </c>
      <c r="AE36" s="7" t="n">
        <f aca="false">IFERROR(IF(AB36="MSD",IF(COUNT(V36,W36,X36,Y36,Z36,AA36)&lt;6,"",(W36-Z36)/SQRT(((V36-1)*X36^2+(Y36-1)*AA36^2)/(V36+Y36-2))*AD36),IF(AB36="t",AC36*SQRT(1/V36+1/Y36)*AD36,IF(AB36="F",SQRT(AC36)*SQRT(1/V36+1/Y36)*AD36,IF(AB36="z",2*(AC36/SQRT(V36+Y36))/SQRT(1-(AC36/SQRT(V36+Y36))^2)*AD36,IF(AB36="t_paired",AC36/SQRT(V36)*AD36,""))))),"")</f>
        <v>0.511369583143205</v>
      </c>
      <c r="AF36" s="7" t="n">
        <f aca="false">IF(AE36="","",IF(AB36="t_paired",1-3/(4*(V36-1)-1),1-3/(4*(V36+Y36)-9)))</f>
        <v>0.990353697749196</v>
      </c>
      <c r="AG36" s="7" t="n">
        <f aca="false">IF(AE36="","",AE36*AF36)</f>
        <v>0.506436757582338</v>
      </c>
      <c r="AH36" s="7" t="n">
        <f aca="false">IF(AG36="","",IF(AB36="t_paired",1/V36+AG36^2/(2*V36),(V36+Y36)/(V36*Y36)+AG36^2/(2*(V36+Y36))))</f>
        <v>0.0516029886839407</v>
      </c>
      <c r="AI36" s="7" t="n">
        <f aca="false">IF(AH36="","",SQRT(AH36))</f>
        <v>0.227162912210468</v>
      </c>
      <c r="AJ36" s="7" t="n">
        <f aca="false">IF(AI36="","",AG36-1.96*AI36)</f>
        <v>0.0611974496498211</v>
      </c>
      <c r="AK36" s="7" t="n">
        <f aca="false">IF(AI36="","",AG36+1.96*AI36)</f>
        <v>0.951676065514855</v>
      </c>
      <c r="AL36" s="7" t="n">
        <f aca="false">IF(AI36="","",AG36/AI36)</f>
        <v>2.22939894833326</v>
      </c>
      <c r="AM36" s="8" t="n">
        <f aca="false">IF(AL36="","",2*(1-NORMSDIST(ABS(AL36))))</f>
        <v>0.025787372150976</v>
      </c>
      <c r="AN36" s="9" t="n">
        <f aca="false">IF(COUNT(V36)=0,"",IF(AB36="t_paired",V36,V36+N(Y36)))</f>
        <v>80</v>
      </c>
      <c r="AO36" s="7" t="n">
        <f aca="false">IF(AH36="","",1/AH36)</f>
        <v>19.3787225411463</v>
      </c>
      <c r="AP36" s="5" t="s">
        <v>88</v>
      </c>
      <c r="AQ36" s="5" t="s">
        <v>167</v>
      </c>
      <c r="AR36" s="5"/>
      <c r="AS36" s="7" t="n">
        <f aca="false">IF(AND(AP36="Y",ISNUMBER(AO36)),AO36,0)</f>
        <v>19.3787225411463</v>
      </c>
      <c r="AT36" s="7" t="n">
        <f aca="false">IF(AS36&gt;0,AS36*AG36,0)</f>
        <v>9.81409740982591</v>
      </c>
      <c r="AU36" s="7" t="n">
        <f aca="false">IF(AS36&gt;0,AS36*AG36^2,0)</f>
        <v>4.97021967082945</v>
      </c>
      <c r="AV36" s="9" t="n">
        <f aca="false">IF(AS36&gt;0,AS36^2,0)</f>
        <v>375.534887326732</v>
      </c>
      <c r="AW36" s="7" t="n">
        <f aca="false">IF(AS36&gt;0,AG36,0)</f>
        <v>0.506436757582338</v>
      </c>
      <c r="AX36" s="7" t="n">
        <f aca="false">IF(AS36&gt;0,AH36,1)</f>
        <v>0.0516029886839407</v>
      </c>
    </row>
    <row r="37" customFormat="false" ht="15" hidden="false" customHeight="false" outlineLevel="0" collapsed="false">
      <c r="A37" s="5" t="s">
        <v>250</v>
      </c>
      <c r="B37" s="5" t="s">
        <v>251</v>
      </c>
      <c r="C37" s="5" t="s">
        <v>252</v>
      </c>
      <c r="D37" s="5" t="n">
        <v>2025</v>
      </c>
      <c r="E37" s="5" t="s">
        <v>221</v>
      </c>
      <c r="F37" s="5" t="s">
        <v>173</v>
      </c>
      <c r="G37" s="5" t="s">
        <v>253</v>
      </c>
      <c r="H37" s="5" t="s">
        <v>131</v>
      </c>
      <c r="I37" s="5" t="s">
        <v>247</v>
      </c>
      <c r="J37" s="5" t="s">
        <v>189</v>
      </c>
      <c r="K37" s="5" t="s">
        <v>163</v>
      </c>
      <c r="L37" s="5" t="s">
        <v>164</v>
      </c>
      <c r="M37" s="5" t="s">
        <v>254</v>
      </c>
      <c r="N37" s="5" t="n">
        <v>90</v>
      </c>
      <c r="O37" s="5" t="s">
        <v>81</v>
      </c>
      <c r="P37" s="6" t="s">
        <v>82</v>
      </c>
      <c r="Q37" s="6" t="s">
        <v>103</v>
      </c>
      <c r="R37" s="5"/>
      <c r="S37" s="6" t="s">
        <v>212</v>
      </c>
      <c r="T37" s="5" t="s">
        <v>217</v>
      </c>
      <c r="U37" s="6" t="s">
        <v>86</v>
      </c>
      <c r="V37" s="5" t="n">
        <v>30</v>
      </c>
      <c r="W37" s="5" t="n">
        <v>82.17</v>
      </c>
      <c r="X37" s="5" t="n">
        <v>10.5</v>
      </c>
      <c r="Y37" s="5" t="n">
        <v>31</v>
      </c>
      <c r="Z37" s="5" t="n">
        <v>69.19</v>
      </c>
      <c r="AA37" s="5" t="n">
        <v>11.26</v>
      </c>
      <c r="AB37" s="5" t="s">
        <v>99</v>
      </c>
      <c r="AC37" s="5"/>
      <c r="AD37" s="5" t="n">
        <v>1</v>
      </c>
      <c r="AE37" s="7" t="n">
        <f aca="false">IFERROR(IF(AB37="MSD",IF(COUNT(V37,W37,X37,Y37,Z37,AA37)&lt;6,"",(W37-Z37)/SQRT(((V37-1)*X37^2+(Y37-1)*AA37^2)/(V37+Y37-2))*AD37),IF(AB37="t",AC37*SQRT(1/V37+1/Y37)*AD37,IF(AB37="F",SQRT(AC37)*SQRT(1/V37+1/Y37)*AD37,IF(AB37="z",2*(AC37/SQRT(V37+Y37))/SQRT(1-(AC37/SQRT(V37+Y37))^2)*AD37,IF(AB37="t_paired",AC37/SQRT(V37)*AD37,""))))),"")</f>
        <v>1.19158339755301</v>
      </c>
      <c r="AF37" s="7" t="n">
        <f aca="false">IF(AE37="","",IF(AB37="t_paired",1-3/(4*(V37-1)-1),1-3/(4*(V37+Y37)-9)))</f>
        <v>0.987234042553192</v>
      </c>
      <c r="AG37" s="7" t="n">
        <f aca="false">IF(AE37="","",AE37*AF37)</f>
        <v>1.17637169460553</v>
      </c>
      <c r="AH37" s="7" t="n">
        <f aca="false">IF(AG37="","",IF(AB37="t_paired",1/V37+AG37^2/(2*V37),(V37+Y37)/(V37*Y37)+AG37^2/(2*(V37+Y37))))</f>
        <v>0.0769344336188811</v>
      </c>
      <c r="AI37" s="7" t="n">
        <f aca="false">IF(AH37="","",SQRT(AH37))</f>
        <v>0.277370570931527</v>
      </c>
      <c r="AJ37" s="7" t="n">
        <f aca="false">IF(AI37="","",AG37-1.96*AI37)</f>
        <v>0.632725375579735</v>
      </c>
      <c r="AK37" s="7" t="n">
        <f aca="false">IF(AI37="","",AG37+1.96*AI37)</f>
        <v>1.72001801363132</v>
      </c>
      <c r="AL37" s="7" t="n">
        <f aca="false">IF(AI37="","",AG37/AI37)</f>
        <v>4.24115539963298</v>
      </c>
      <c r="AM37" s="8" t="n">
        <f aca="false">IF(AL37="","",2*(1-NORMSDIST(ABS(AL37))))</f>
        <v>2.22372101910118E-005</v>
      </c>
      <c r="AN37" s="9" t="n">
        <f aca="false">IF(COUNT(V37)=0,"",IF(AB37="t_paired",V37,V37+N(Y37)))</f>
        <v>61</v>
      </c>
      <c r="AO37" s="7" t="n">
        <f aca="false">IF(AH37="","",1/AH37)</f>
        <v>12.9980810017243</v>
      </c>
      <c r="AP37" s="5" t="s">
        <v>88</v>
      </c>
      <c r="AQ37" s="5" t="s">
        <v>178</v>
      </c>
      <c r="AR37" s="5"/>
      <c r="AS37" s="7" t="n">
        <f aca="false">IF(AND(AP37="Y",ISNUMBER(AO37)),AO37,0)</f>
        <v>12.9980810017243</v>
      </c>
      <c r="AT37" s="7" t="n">
        <f aca="false">IF(AS37&gt;0,AS37*AG37,0)</f>
        <v>15.2905745746184</v>
      </c>
      <c r="AU37" s="7" t="n">
        <f aca="false">IF(AS37&gt;0,AS37*AG37^2,0)</f>
        <v>17.987399123836</v>
      </c>
      <c r="AV37" s="9" t="n">
        <f aca="false">IF(AS37&gt;0,AS37^2,0)</f>
        <v>168.950109727387</v>
      </c>
      <c r="AW37" s="7" t="n">
        <f aca="false">IF(AS37&gt;0,AG37,0)</f>
        <v>1.17637169460553</v>
      </c>
      <c r="AX37" s="7" t="n">
        <f aca="false">IF(AS37&gt;0,AH37,1)</f>
        <v>0.0769344336188811</v>
      </c>
    </row>
    <row r="38" customFormat="false" ht="15" hidden="false" customHeight="false" outlineLevel="0" collapsed="false">
      <c r="A38" s="5" t="s">
        <v>255</v>
      </c>
      <c r="B38" s="5" t="s">
        <v>251</v>
      </c>
      <c r="C38" s="5" t="s">
        <v>252</v>
      </c>
      <c r="D38" s="5" t="n">
        <v>2025</v>
      </c>
      <c r="E38" s="5" t="s">
        <v>221</v>
      </c>
      <c r="F38" s="5" t="s">
        <v>173</v>
      </c>
      <c r="G38" s="5" t="s">
        <v>253</v>
      </c>
      <c r="H38" s="5" t="s">
        <v>131</v>
      </c>
      <c r="I38" s="5" t="s">
        <v>247</v>
      </c>
      <c r="J38" s="5" t="s">
        <v>189</v>
      </c>
      <c r="K38" s="5" t="s">
        <v>163</v>
      </c>
      <c r="L38" s="5" t="s">
        <v>164</v>
      </c>
      <c r="M38" s="5" t="s">
        <v>254</v>
      </c>
      <c r="N38" s="5" t="n">
        <v>90</v>
      </c>
      <c r="O38" s="5" t="s">
        <v>81</v>
      </c>
      <c r="P38" s="10" t="s">
        <v>113</v>
      </c>
      <c r="Q38" s="10" t="s">
        <v>114</v>
      </c>
      <c r="R38" s="5" t="s">
        <v>125</v>
      </c>
      <c r="S38" s="10" t="s">
        <v>256</v>
      </c>
      <c r="T38" s="5"/>
      <c r="U38" s="10" t="s">
        <v>98</v>
      </c>
      <c r="V38" s="5" t="n">
        <v>31</v>
      </c>
      <c r="W38" s="5" t="n">
        <v>3.36</v>
      </c>
      <c r="X38" s="5" t="n">
        <v>0.72</v>
      </c>
      <c r="Y38" s="5" t="n">
        <v>30</v>
      </c>
      <c r="Z38" s="5" t="n">
        <v>3.3</v>
      </c>
      <c r="AA38" s="5" t="n">
        <v>0.72</v>
      </c>
      <c r="AB38" s="5" t="s">
        <v>99</v>
      </c>
      <c r="AC38" s="5"/>
      <c r="AD38" s="5" t="n">
        <v>1</v>
      </c>
      <c r="AE38" s="7" t="n">
        <f aca="false">IFERROR(IF(AB38="MSD",IF(COUNT(V38,W38,X38,Y38,Z38,AA38)&lt;6,"",(W38-Z38)/SQRT(((V38-1)*X38^2+(Y38-1)*AA38^2)/(V38+Y38-2))*AD38),IF(AB38="t",AC38*SQRT(1/V38+1/Y38)*AD38,IF(AB38="F",SQRT(AC38)*SQRT(1/V38+1/Y38)*AD38,IF(AB38="z",2*(AC38/SQRT(V38+Y38))/SQRT(1-(AC38/SQRT(V38+Y38))^2)*AD38,IF(AB38="t_paired",AC38/SQRT(V38)*AD38,""))))),"")</f>
        <v>0.0833333333333334</v>
      </c>
      <c r="AF38" s="7" t="n">
        <f aca="false">IF(AE38="","",IF(AB38="t_paired",1-3/(4*(V38-1)-1),1-3/(4*(V38+Y38)-9)))</f>
        <v>0.987234042553192</v>
      </c>
      <c r="AG38" s="7" t="n">
        <f aca="false">IF(AE38="","",AE38*AF38)</f>
        <v>0.0822695035460994</v>
      </c>
      <c r="AH38" s="7" t="n">
        <f aca="false">IF(AG38="","",IF(AB38="t_paired",1/V38+AG38^2/(2*V38),(V38+Y38)/(V38*Y38)+AG38^2/(2*(V38+Y38))))</f>
        <v>0.0656468754823617</v>
      </c>
      <c r="AI38" s="7" t="n">
        <f aca="false">IF(AH38="","",SQRT(AH38))</f>
        <v>0.256216462161122</v>
      </c>
      <c r="AJ38" s="7" t="n">
        <f aca="false">IF(AI38="","",AG38-1.96*AI38)</f>
        <v>-0.4199147622897</v>
      </c>
      <c r="AK38" s="7" t="n">
        <f aca="false">IF(AI38="","",AG38+1.96*AI38)</f>
        <v>0.584453769381899</v>
      </c>
      <c r="AL38" s="7" t="n">
        <f aca="false">IF(AI38="","",AG38/AI38)</f>
        <v>0.321093745703053</v>
      </c>
      <c r="AM38" s="8" t="n">
        <f aca="false">IF(AL38="","",2*(1-NORMSDIST(ABS(AL38))))</f>
        <v>0.748139349779573</v>
      </c>
      <c r="AN38" s="9" t="n">
        <f aca="false">IF(COUNT(V38)=0,"",IF(AB38="t_paired",V38,V38+N(Y38)))</f>
        <v>61</v>
      </c>
      <c r="AO38" s="7" t="n">
        <f aca="false">IF(AH38="","",1/AH38)</f>
        <v>15.2330174536438</v>
      </c>
      <c r="AP38" s="5" t="s">
        <v>100</v>
      </c>
      <c r="AQ38" s="5" t="s">
        <v>227</v>
      </c>
      <c r="AR38" s="5"/>
      <c r="AS38" s="9" t="n">
        <f aca="false">IF(AND(AP38="Y",ISNUMBER(AO38)),AO38,0)</f>
        <v>0</v>
      </c>
      <c r="AT38" s="7" t="n">
        <f aca="false">IF(AS38&gt;0,AS38*AG38,0)</f>
        <v>0</v>
      </c>
      <c r="AU38" s="7" t="n">
        <f aca="false">IF(AS38&gt;0,AS38*AG38^2,0)</f>
        <v>0</v>
      </c>
      <c r="AV38" s="9" t="n">
        <f aca="false">IF(AS38&gt;0,AS38^2,0)</f>
        <v>0</v>
      </c>
      <c r="AW38" s="7" t="n">
        <f aca="false">IF(AS38&gt;0,AG38,0)</f>
        <v>0</v>
      </c>
      <c r="AX38" s="7" t="n">
        <f aca="false">IF(AS38&gt;0,AH38,1)</f>
        <v>1</v>
      </c>
    </row>
    <row r="39" customFormat="false" ht="15" hidden="false" customHeight="false" outlineLevel="0" collapsed="false">
      <c r="A39" s="5" t="s">
        <v>257</v>
      </c>
      <c r="B39" s="5" t="s">
        <v>251</v>
      </c>
      <c r="C39" s="5" t="s">
        <v>252</v>
      </c>
      <c r="D39" s="5" t="n">
        <v>2025</v>
      </c>
      <c r="E39" s="5" t="s">
        <v>221</v>
      </c>
      <c r="F39" s="5" t="s">
        <v>173</v>
      </c>
      <c r="G39" s="5" t="s">
        <v>253</v>
      </c>
      <c r="H39" s="5" t="s">
        <v>131</v>
      </c>
      <c r="I39" s="5" t="s">
        <v>247</v>
      </c>
      <c r="J39" s="5" t="s">
        <v>189</v>
      </c>
      <c r="K39" s="5" t="s">
        <v>163</v>
      </c>
      <c r="L39" s="5" t="s">
        <v>164</v>
      </c>
      <c r="M39" s="5" t="s">
        <v>254</v>
      </c>
      <c r="N39" s="5" t="n">
        <v>90</v>
      </c>
      <c r="O39" s="5" t="s">
        <v>81</v>
      </c>
      <c r="P39" s="11" t="s">
        <v>113</v>
      </c>
      <c r="Q39" s="11" t="s">
        <v>114</v>
      </c>
      <c r="R39" s="5" t="s">
        <v>125</v>
      </c>
      <c r="S39" s="11" t="s">
        <v>256</v>
      </c>
      <c r="T39" s="5"/>
      <c r="U39" s="11" t="s">
        <v>86</v>
      </c>
      <c r="V39" s="5" t="n">
        <v>30</v>
      </c>
      <c r="W39" s="5" t="n">
        <v>3.41</v>
      </c>
      <c r="X39" s="5" t="n">
        <v>0.71</v>
      </c>
      <c r="Y39" s="5" t="n">
        <v>33</v>
      </c>
      <c r="Z39" s="5" t="n">
        <v>3.36</v>
      </c>
      <c r="AA39" s="5" t="n">
        <v>0.78</v>
      </c>
      <c r="AB39" s="5" t="s">
        <v>99</v>
      </c>
      <c r="AC39" s="5"/>
      <c r="AD39" s="5" t="n">
        <v>1</v>
      </c>
      <c r="AE39" s="7" t="n">
        <f aca="false">IFERROR(IF(AB39="MSD",IF(COUNT(V39,W39,X39,Y39,Z39,AA39)&lt;6,"",(W39-Z39)/SQRT(((V39-1)*X39^2+(Y39-1)*AA39^2)/(V39+Y39-2))*AD39),IF(AB39="t",AC39*SQRT(1/V39+1/Y39)*AD39,IF(AB39="F",SQRT(AC39)*SQRT(1/V39+1/Y39)*AD39,IF(AB39="z",2*(AC39/SQRT(V39+Y39))/SQRT(1-(AC39/SQRT(V39+Y39))^2)*AD39,IF(AB39="t_paired",AC39/SQRT(V39)*AD39,""))))),"")</f>
        <v>0.0668861305709448</v>
      </c>
      <c r="AF39" s="7" t="n">
        <f aca="false">IF(AE39="","",IF(AB39="t_paired",1-3/(4*(V39-1)-1),1-3/(4*(V39+Y39)-9)))</f>
        <v>0.987654320987654</v>
      </c>
      <c r="AG39" s="7" t="n">
        <f aca="false">IF(AE39="","",AE39*AF39)</f>
        <v>0.0660603758725381</v>
      </c>
      <c r="AH39" s="7" t="n">
        <f aca="false">IF(AG39="","",IF(AB39="t_paired",1/V39+AG39^2/(2*V39),(V39+Y39)/(V39*Y39)+AG39^2/(2*(V39+Y39))))</f>
        <v>0.0636709983447797</v>
      </c>
      <c r="AI39" s="7" t="n">
        <f aca="false">IF(AH39="","",SQRT(AH39))</f>
        <v>0.252331128370599</v>
      </c>
      <c r="AJ39" s="7" t="n">
        <f aca="false">IF(AI39="","",AG39-1.96*AI39)</f>
        <v>-0.428508635733836</v>
      </c>
      <c r="AK39" s="7" t="n">
        <f aca="false">IF(AI39="","",AG39+1.96*AI39)</f>
        <v>0.560629387478912</v>
      </c>
      <c r="AL39" s="7" t="n">
        <f aca="false">IF(AI39="","",AG39/AI39)</f>
        <v>0.261800342665274</v>
      </c>
      <c r="AM39" s="8" t="n">
        <f aca="false">IF(AL39="","",2*(1-NORMSDIST(ABS(AL39))))</f>
        <v>0.793475374869403</v>
      </c>
      <c r="AN39" s="9" t="n">
        <f aca="false">IF(COUNT(V39)=0,"",IF(AB39="t_paired",V39,V39+N(Y39)))</f>
        <v>63</v>
      </c>
      <c r="AO39" s="7" t="n">
        <f aca="false">IF(AH39="","",1/AH39)</f>
        <v>15.7057377141313</v>
      </c>
      <c r="AP39" s="5" t="s">
        <v>88</v>
      </c>
      <c r="AQ39" s="5" t="s">
        <v>227</v>
      </c>
      <c r="AR39" s="5"/>
      <c r="AS39" s="7" t="n">
        <f aca="false">IF(AND(AP39="Y",ISNUMBER(AO39)),AO39,0)</f>
        <v>15.7057377141313</v>
      </c>
      <c r="AT39" s="7" t="n">
        <f aca="false">IF(AS39&gt;0,AS39*AG39,0)</f>
        <v>1.03752693675101</v>
      </c>
      <c r="AU39" s="7" t="n">
        <f aca="false">IF(AS39&gt;0,AS39*AG39^2,0)</f>
        <v>0.0685394194196549</v>
      </c>
      <c r="AV39" s="9" t="n">
        <f aca="false">IF(AS39&gt;0,AS39^2,0)</f>
        <v>246.670197145087</v>
      </c>
      <c r="AW39" s="7" t="n">
        <f aca="false">IF(AS39&gt;0,AG39,0)</f>
        <v>0.0660603758725381</v>
      </c>
      <c r="AX39" s="7" t="n">
        <f aca="false">IF(AS39&gt;0,AH39,1)</f>
        <v>0.0636709983447797</v>
      </c>
    </row>
    <row r="40" customFormat="false" ht="15" hidden="false" customHeight="false" outlineLevel="0" collapsed="false">
      <c r="A40" s="5" t="s">
        <v>258</v>
      </c>
      <c r="B40" s="5" t="s">
        <v>259</v>
      </c>
      <c r="C40" s="5" t="s">
        <v>252</v>
      </c>
      <c r="D40" s="5" t="n">
        <v>2025</v>
      </c>
      <c r="E40" s="5" t="s">
        <v>221</v>
      </c>
      <c r="F40" s="5" t="s">
        <v>260</v>
      </c>
      <c r="G40" s="5" t="s">
        <v>160</v>
      </c>
      <c r="H40" s="5" t="s">
        <v>131</v>
      </c>
      <c r="I40" s="5" t="s">
        <v>247</v>
      </c>
      <c r="J40" s="5" t="s">
        <v>162</v>
      </c>
      <c r="K40" s="5" t="s">
        <v>163</v>
      </c>
      <c r="L40" s="5" t="s">
        <v>164</v>
      </c>
      <c r="M40" s="5" t="n">
        <v>8</v>
      </c>
      <c r="N40" s="5"/>
      <c r="O40" s="5" t="s">
        <v>261</v>
      </c>
      <c r="P40" s="6" t="s">
        <v>82</v>
      </c>
      <c r="Q40" s="6" t="s">
        <v>191</v>
      </c>
      <c r="R40" s="5"/>
      <c r="S40" s="6" t="s">
        <v>212</v>
      </c>
      <c r="T40" s="5" t="s">
        <v>217</v>
      </c>
      <c r="U40" s="6" t="s">
        <v>86</v>
      </c>
      <c r="V40" s="5" t="n">
        <v>33</v>
      </c>
      <c r="W40" s="5" t="n">
        <v>80.15</v>
      </c>
      <c r="X40" s="5" t="n">
        <v>13.55</v>
      </c>
      <c r="Y40" s="5" t="n">
        <v>33</v>
      </c>
      <c r="Z40" s="5" t="n">
        <v>73.18</v>
      </c>
      <c r="AA40" s="5" t="n">
        <v>12.74</v>
      </c>
      <c r="AB40" s="5" t="s">
        <v>99</v>
      </c>
      <c r="AC40" s="5"/>
      <c r="AD40" s="5" t="n">
        <v>1</v>
      </c>
      <c r="AE40" s="7" t="n">
        <f aca="false">IFERROR(IF(AB40="MSD",IF(COUNT(V40,W40,X40,Y40,Z40,AA40)&lt;6,"",(W40-Z40)/SQRT(((V40-1)*X40^2+(Y40-1)*AA40^2)/(V40+Y40-2))*AD40),IF(AB40="t",AC40*SQRT(1/V40+1/Y40)*AD40,IF(AB40="F",SQRT(AC40)*SQRT(1/V40+1/Y40)*AD40,IF(AB40="z",2*(AC40/SQRT(V40+Y40))/SQRT(1-(AC40/SQRT(V40+Y40))^2)*AD40,IF(AB40="t_paired",AC40/SQRT(V40)*AD40,""))))),"")</f>
        <v>0.529988144103998</v>
      </c>
      <c r="AF40" s="7" t="n">
        <f aca="false">IF(AE40="","",IF(AB40="t_paired",1-3/(4*(V40-1)-1),1-3/(4*(V40+Y40)-9)))</f>
        <v>0.988235294117647</v>
      </c>
      <c r="AG40" s="7" t="n">
        <f aca="false">IF(AE40="","",AE40*AF40)</f>
        <v>0.52375298946748</v>
      </c>
      <c r="AH40" s="7" t="n">
        <f aca="false">IF(AG40="","",IF(AB40="t_paired",1/V40+AG40^2/(2*V40),(V40+Y40)/(V40*Y40)+AG40^2/(2*(V40+Y40))))</f>
        <v>0.0626842211664858</v>
      </c>
      <c r="AI40" s="7" t="n">
        <f aca="false">IF(AH40="","",SQRT(AH40))</f>
        <v>0.250368171232858</v>
      </c>
      <c r="AJ40" s="7" t="n">
        <f aca="false">IF(AI40="","",AG40-1.96*AI40)</f>
        <v>0.0330313738510784</v>
      </c>
      <c r="AK40" s="7" t="n">
        <f aca="false">IF(AI40="","",AG40+1.96*AI40)</f>
        <v>1.01447460508388</v>
      </c>
      <c r="AL40" s="7" t="n">
        <f aca="false">IF(AI40="","",AG40/AI40)</f>
        <v>2.09193120231069</v>
      </c>
      <c r="AM40" s="8" t="n">
        <f aca="false">IF(AL40="","",2*(1-NORMSDIST(ABS(AL40))))</f>
        <v>0.0364446704151884</v>
      </c>
      <c r="AN40" s="9" t="n">
        <f aca="false">IF(COUNT(V40)=0,"",IF(AB40="t_paired",V40,V40+N(Y40)))</f>
        <v>66</v>
      </c>
      <c r="AO40" s="7" t="n">
        <f aca="false">IF(AH40="","",1/AH40)</f>
        <v>15.9529779805999</v>
      </c>
      <c r="AP40" s="5" t="s">
        <v>88</v>
      </c>
      <c r="AQ40" s="5" t="s">
        <v>167</v>
      </c>
      <c r="AR40" s="5"/>
      <c r="AS40" s="7" t="n">
        <f aca="false">IF(AND(AP40="Y",ISNUMBER(AO40)),AO40,0)</f>
        <v>15.9529779805999</v>
      </c>
      <c r="AT40" s="7" t="n">
        <f aca="false">IF(AS40&gt;0,AS40*AG40,0)</f>
        <v>8.35541990824807</v>
      </c>
      <c r="AU40" s="7" t="n">
        <f aca="false">IF(AS40&gt;0,AS40*AG40^2,0)</f>
        <v>4.37617615520103</v>
      </c>
      <c r="AV40" s="9" t="n">
        <f aca="false">IF(AS40&gt;0,AS40^2,0)</f>
        <v>254.497506449504</v>
      </c>
      <c r="AW40" s="7" t="n">
        <f aca="false">IF(AS40&gt;0,AG40,0)</f>
        <v>0.52375298946748</v>
      </c>
      <c r="AX40" s="7" t="n">
        <f aca="false">IF(AS40&gt;0,AH40,1)</f>
        <v>0.0626842211664858</v>
      </c>
    </row>
    <row r="41" customFormat="false" ht="15" hidden="false" customHeight="false" outlineLevel="0" collapsed="false">
      <c r="A41" s="5" t="s">
        <v>262</v>
      </c>
      <c r="B41" s="5" t="s">
        <v>263</v>
      </c>
      <c r="C41" s="5" t="s">
        <v>264</v>
      </c>
      <c r="D41" s="5" t="n">
        <v>2020</v>
      </c>
      <c r="E41" s="5" t="s">
        <v>206</v>
      </c>
      <c r="F41" s="5" t="s">
        <v>173</v>
      </c>
      <c r="G41" s="5" t="s">
        <v>160</v>
      </c>
      <c r="H41" s="5" t="s">
        <v>265</v>
      </c>
      <c r="I41" s="5" t="s">
        <v>266</v>
      </c>
      <c r="J41" s="5" t="s">
        <v>162</v>
      </c>
      <c r="K41" s="5" t="s">
        <v>163</v>
      </c>
      <c r="L41" s="5" t="s">
        <v>164</v>
      </c>
      <c r="M41" s="5"/>
      <c r="N41" s="5"/>
      <c r="O41" s="5" t="s">
        <v>162</v>
      </c>
      <c r="P41" s="10" t="s">
        <v>82</v>
      </c>
      <c r="Q41" s="10" t="s">
        <v>103</v>
      </c>
      <c r="R41" s="5"/>
      <c r="S41" s="10" t="s">
        <v>267</v>
      </c>
      <c r="T41" s="5" t="s">
        <v>213</v>
      </c>
      <c r="U41" s="10" t="s">
        <v>98</v>
      </c>
      <c r="V41" s="5" t="n">
        <v>15</v>
      </c>
      <c r="W41" s="5" t="n">
        <v>75.73</v>
      </c>
      <c r="X41" s="5" t="n">
        <v>10.58</v>
      </c>
      <c r="Y41" s="5" t="n">
        <v>15</v>
      </c>
      <c r="Z41" s="5" t="n">
        <v>75.86</v>
      </c>
      <c r="AA41" s="5" t="n">
        <v>11.36</v>
      </c>
      <c r="AB41" s="5" t="s">
        <v>99</v>
      </c>
      <c r="AC41" s="5"/>
      <c r="AD41" s="5" t="n">
        <v>1</v>
      </c>
      <c r="AE41" s="7" t="n">
        <f aca="false">IFERROR(IF(AB41="MSD",IF(COUNT(V41,W41,X41,Y41,Z41,AA41)&lt;6,"",(W41-Z41)/SQRT(((V41-1)*X41^2+(Y41-1)*AA41^2)/(V41+Y41-2))*AD41),IF(AB41="t",AC41*SQRT(1/V41+1/Y41)*AD41,IF(AB41="F",SQRT(AC41)*SQRT(1/V41+1/Y41)*AD41,IF(AB41="z",2*(AC41/SQRT(V41+Y41))/SQRT(1-(AC41/SQRT(V41+Y41))^2)*AD41,IF(AB41="t_paired",AC41/SQRT(V41)*AD41,""))))),"")</f>
        <v>-0.0118430194786442</v>
      </c>
      <c r="AF41" s="7" t="n">
        <f aca="false">IF(AE41="","",IF(AB41="t_paired",1-3/(4*(V41-1)-1),1-3/(4*(V41+Y41)-9)))</f>
        <v>0.972972972972973</v>
      </c>
      <c r="AG41" s="7" t="n">
        <f aca="false">IF(AE41="","",AE41*AF41)</f>
        <v>-0.0115229378711133</v>
      </c>
      <c r="AH41" s="7" t="n">
        <f aca="false">IF(AG41="","",IF(AB41="t_paired",1/V41+AG41^2/(2*V41),(V41+Y41)/(V41*Y41)+AG41^2/(2*(V41+Y41))))</f>
        <v>0.13333554630162</v>
      </c>
      <c r="AI41" s="7" t="n">
        <f aca="false">IF(AH41="","",SQRT(AH41))</f>
        <v>0.365151401889161</v>
      </c>
      <c r="AJ41" s="7" t="n">
        <f aca="false">IF(AI41="","",AG41-1.96*AI41)</f>
        <v>-0.727219685573869</v>
      </c>
      <c r="AK41" s="7" t="n">
        <f aca="false">IF(AI41="","",AG41+1.96*AI41)</f>
        <v>0.704173809831643</v>
      </c>
      <c r="AL41" s="7" t="n">
        <f aca="false">IF(AI41="","",AG41/AI41)</f>
        <v>-0.0315566031281759</v>
      </c>
      <c r="AM41" s="8" t="n">
        <f aca="false">IF(AL41="","",2*(1-NORMSDIST(ABS(AL41))))</f>
        <v>0.974825651825186</v>
      </c>
      <c r="AN41" s="9" t="n">
        <f aca="false">IF(COUNT(V41)=0,"",IF(AB41="t_paired",V41,V41+N(Y41)))</f>
        <v>30</v>
      </c>
      <c r="AO41" s="7" t="n">
        <f aca="false">IF(AH41="","",1/AH41)</f>
        <v>7.49987552259988</v>
      </c>
      <c r="AP41" s="5" t="s">
        <v>100</v>
      </c>
      <c r="AQ41" s="5" t="s">
        <v>178</v>
      </c>
      <c r="AR41" s="5" t="s">
        <v>268</v>
      </c>
      <c r="AS41" s="9" t="n">
        <f aca="false">IF(AND(AP41="Y",ISNUMBER(AO41)),AO41,0)</f>
        <v>0</v>
      </c>
      <c r="AT41" s="7" t="n">
        <f aca="false">IF(AS41&gt;0,AS41*AG41,0)</f>
        <v>0</v>
      </c>
      <c r="AU41" s="7" t="n">
        <f aca="false">IF(AS41&gt;0,AS41*AG41^2,0)</f>
        <v>0</v>
      </c>
      <c r="AV41" s="9" t="n">
        <f aca="false">IF(AS41&gt;0,AS41^2,0)</f>
        <v>0</v>
      </c>
      <c r="AW41" s="7" t="n">
        <f aca="false">IF(AS41&gt;0,AG41,0)</f>
        <v>0</v>
      </c>
      <c r="AX41" s="7" t="n">
        <f aca="false">IF(AS41&gt;0,AH41,1)</f>
        <v>1</v>
      </c>
    </row>
    <row r="42" customFormat="false" ht="15" hidden="false" customHeight="false" outlineLevel="0" collapsed="false">
      <c r="A42" s="5" t="s">
        <v>269</v>
      </c>
      <c r="B42" s="5" t="s">
        <v>263</v>
      </c>
      <c r="C42" s="5" t="s">
        <v>264</v>
      </c>
      <c r="D42" s="5" t="n">
        <v>2020</v>
      </c>
      <c r="E42" s="5" t="s">
        <v>206</v>
      </c>
      <c r="F42" s="5" t="s">
        <v>173</v>
      </c>
      <c r="G42" s="5" t="s">
        <v>160</v>
      </c>
      <c r="H42" s="5" t="s">
        <v>265</v>
      </c>
      <c r="I42" s="5" t="s">
        <v>266</v>
      </c>
      <c r="J42" s="5" t="s">
        <v>162</v>
      </c>
      <c r="K42" s="5" t="s">
        <v>163</v>
      </c>
      <c r="L42" s="5" t="s">
        <v>164</v>
      </c>
      <c r="M42" s="5"/>
      <c r="N42" s="5"/>
      <c r="O42" s="5" t="s">
        <v>162</v>
      </c>
      <c r="P42" s="6" t="s">
        <v>82</v>
      </c>
      <c r="Q42" s="6" t="s">
        <v>103</v>
      </c>
      <c r="R42" s="5"/>
      <c r="S42" s="6" t="s">
        <v>267</v>
      </c>
      <c r="T42" s="5" t="s">
        <v>213</v>
      </c>
      <c r="U42" s="6" t="s">
        <v>86</v>
      </c>
      <c r="V42" s="5" t="n">
        <v>15</v>
      </c>
      <c r="W42" s="5" t="n">
        <v>84.93</v>
      </c>
      <c r="X42" s="5" t="n">
        <v>14.53</v>
      </c>
      <c r="Y42" s="5" t="n">
        <v>15</v>
      </c>
      <c r="Z42" s="5" t="n">
        <v>78.66</v>
      </c>
      <c r="AA42" s="5" t="n">
        <v>14.53</v>
      </c>
      <c r="AB42" s="5" t="s">
        <v>99</v>
      </c>
      <c r="AC42" s="5"/>
      <c r="AD42" s="5" t="n">
        <v>1</v>
      </c>
      <c r="AE42" s="7" t="n">
        <f aca="false">IFERROR(IF(AB42="MSD",IF(COUNT(V42,W42,X42,Y42,Z42,AA42)&lt;6,"",(W42-Z42)/SQRT(((V42-1)*X42^2+(Y42-1)*AA42^2)/(V42+Y42-2))*AD42),IF(AB42="t",AC42*SQRT(1/V42+1/Y42)*AD42,IF(AB42="F",SQRT(AC42)*SQRT(1/V42+1/Y42)*AD42,IF(AB42="z",2*(AC42/SQRT(V42+Y42))/SQRT(1-(AC42/SQRT(V42+Y42))^2)*AD42,IF(AB42="t_paired",AC42/SQRT(V42)*AD42,""))))),"")</f>
        <v>0.431520991052995</v>
      </c>
      <c r="AF42" s="7" t="n">
        <f aca="false">IF(AE42="","",IF(AB42="t_paired",1-3/(4*(V42-1)-1),1-3/(4*(V42+Y42)-9)))</f>
        <v>0.972972972972973</v>
      </c>
      <c r="AG42" s="7" t="n">
        <f aca="false">IF(AE42="","",AE42*AF42)</f>
        <v>0.419858261565076</v>
      </c>
      <c r="AH42" s="7" t="n">
        <f aca="false">IF(AG42="","",IF(AB42="t_paired",1/V42+AG42^2/(2*V42),(V42+Y42)/(V42*Y42)+AG42^2/(2*(V42+Y42))))</f>
        <v>0.136271349330074</v>
      </c>
      <c r="AI42" s="7" t="n">
        <f aca="false">IF(AH42="","",SQRT(AH42))</f>
        <v>0.369149494554813</v>
      </c>
      <c r="AJ42" s="7" t="n">
        <f aca="false">IF(AI42="","",AG42-1.96*AI42)</f>
        <v>-0.303674747762358</v>
      </c>
      <c r="AK42" s="7" t="n">
        <f aca="false">IF(AI42="","",AG42+1.96*AI42)</f>
        <v>1.14339127089251</v>
      </c>
      <c r="AL42" s="7" t="n">
        <f aca="false">IF(AI42="","",AG42/AI42)</f>
        <v>1.13736648094674</v>
      </c>
      <c r="AM42" s="8" t="n">
        <f aca="false">IF(AL42="","",2*(1-NORMSDIST(ABS(AL42))))</f>
        <v>0.255385113532911</v>
      </c>
      <c r="AN42" s="9" t="n">
        <f aca="false">IF(COUNT(V42)=0,"",IF(AB42="t_paired",V42,V42+N(Y42)))</f>
        <v>30</v>
      </c>
      <c r="AO42" s="7" t="n">
        <f aca="false">IF(AH42="","",1/AH42)</f>
        <v>7.33829968600235</v>
      </c>
      <c r="AP42" s="5" t="s">
        <v>88</v>
      </c>
      <c r="AQ42" s="5" t="s">
        <v>178</v>
      </c>
      <c r="AR42" s="5" t="s">
        <v>268</v>
      </c>
      <c r="AS42" s="7" t="n">
        <f aca="false">IF(AND(AP42="Y",ISNUMBER(AO42)),AO42,0)</f>
        <v>7.33829968600235</v>
      </c>
      <c r="AT42" s="7" t="n">
        <f aca="false">IF(AS42&gt;0,AS42*AG42,0)</f>
        <v>3.08104574900849</v>
      </c>
      <c r="AU42" s="7" t="n">
        <f aca="false">IF(AS42&gt;0,AS42*AG42^2,0)</f>
        <v>1.29360251198117</v>
      </c>
      <c r="AV42" s="9" t="n">
        <f aca="false">IF(AS42&gt;0,AS42^2,0)</f>
        <v>53.8506422815822</v>
      </c>
      <c r="AW42" s="7" t="n">
        <f aca="false">IF(AS42&gt;0,AG42,0)</f>
        <v>0.419858261565076</v>
      </c>
      <c r="AX42" s="7" t="n">
        <f aca="false">IF(AS42&gt;0,AH42,1)</f>
        <v>0.136271349330074</v>
      </c>
    </row>
    <row r="43" customFormat="false" ht="15" hidden="false" customHeight="false" outlineLevel="0" collapsed="false">
      <c r="A43" s="5" t="s">
        <v>270</v>
      </c>
      <c r="B43" s="5" t="s">
        <v>263</v>
      </c>
      <c r="C43" s="5" t="s">
        <v>264</v>
      </c>
      <c r="D43" s="5" t="n">
        <v>2020</v>
      </c>
      <c r="E43" s="5" t="s">
        <v>206</v>
      </c>
      <c r="F43" s="5" t="s">
        <v>173</v>
      </c>
      <c r="G43" s="5" t="s">
        <v>160</v>
      </c>
      <c r="H43" s="5" t="s">
        <v>265</v>
      </c>
      <c r="I43" s="5" t="s">
        <v>266</v>
      </c>
      <c r="J43" s="5" t="s">
        <v>162</v>
      </c>
      <c r="K43" s="5" t="s">
        <v>163</v>
      </c>
      <c r="L43" s="5" t="s">
        <v>164</v>
      </c>
      <c r="M43" s="5"/>
      <c r="N43" s="5"/>
      <c r="O43" s="5" t="s">
        <v>162</v>
      </c>
      <c r="P43" s="10" t="s">
        <v>82</v>
      </c>
      <c r="Q43" s="10" t="s">
        <v>103</v>
      </c>
      <c r="R43" s="5"/>
      <c r="S43" s="10" t="s">
        <v>271</v>
      </c>
      <c r="T43" s="5" t="s">
        <v>213</v>
      </c>
      <c r="U43" s="10" t="s">
        <v>98</v>
      </c>
      <c r="V43" s="5" t="n">
        <v>15</v>
      </c>
      <c r="W43" s="5" t="n">
        <v>77.33</v>
      </c>
      <c r="X43" s="5" t="n">
        <v>18.15</v>
      </c>
      <c r="Y43" s="5" t="n">
        <v>15</v>
      </c>
      <c r="Z43" s="5" t="n">
        <v>72.53</v>
      </c>
      <c r="AA43" s="5" t="n">
        <v>15.37</v>
      </c>
      <c r="AB43" s="5" t="s">
        <v>99</v>
      </c>
      <c r="AC43" s="5"/>
      <c r="AD43" s="5" t="n">
        <v>1</v>
      </c>
      <c r="AE43" s="7" t="n">
        <f aca="false">IFERROR(IF(AB43="MSD",IF(COUNT(V43,W43,X43,Y43,Z43,AA43)&lt;6,"",(W43-Z43)/SQRT(((V43-1)*X43^2+(Y43-1)*AA43^2)/(V43+Y43-2))*AD43),IF(AB43="t",AC43*SQRT(1/V43+1/Y43)*AD43,IF(AB43="F",SQRT(AC43)*SQRT(1/V43+1/Y43)*AD43,IF(AB43="z",2*(AC43/SQRT(V43+Y43))/SQRT(1-(AC43/SQRT(V43+Y43))^2)*AD43,IF(AB43="t_paired",AC43/SQRT(V43)*AD43,""))))),"")</f>
        <v>0.28541627311315</v>
      </c>
      <c r="AF43" s="7" t="n">
        <f aca="false">IF(AE43="","",IF(AB43="t_paired",1-3/(4*(V43-1)-1),1-3/(4*(V43+Y43)-9)))</f>
        <v>0.972972972972973</v>
      </c>
      <c r="AG43" s="7" t="n">
        <f aca="false">IF(AE43="","",AE43*AF43)</f>
        <v>0.277702319785768</v>
      </c>
      <c r="AH43" s="7" t="n">
        <f aca="false">IF(AG43="","",IF(AB43="t_paired",1/V43+AG43^2/(2*V43),(V43+Y43)/(V43*Y43)+AG43^2/(2*(V43+Y43))))</f>
        <v>0.134618642973573</v>
      </c>
      <c r="AI43" s="7" t="n">
        <f aca="false">IF(AH43="","",SQRT(AH43))</f>
        <v>0.366904133219528</v>
      </c>
      <c r="AJ43" s="7" t="n">
        <f aca="false">IF(AI43="","",AG43-1.96*AI43)</f>
        <v>-0.441429781324508</v>
      </c>
      <c r="AK43" s="7" t="n">
        <f aca="false">IF(AI43="","",AG43+1.96*AI43)</f>
        <v>0.996834420896043</v>
      </c>
      <c r="AL43" s="7" t="n">
        <f aca="false">IF(AI43="","",AG43/AI43)</f>
        <v>0.756879780418313</v>
      </c>
      <c r="AM43" s="8" t="n">
        <f aca="false">IF(AL43="","",2*(1-NORMSDIST(ABS(AL43))))</f>
        <v>0.449121890070712</v>
      </c>
      <c r="AN43" s="9" t="n">
        <f aca="false">IF(COUNT(V43)=0,"",IF(AB43="t_paired",V43,V43+N(Y43)))</f>
        <v>30</v>
      </c>
      <c r="AO43" s="7" t="n">
        <f aca="false">IF(AH43="","",1/AH43)</f>
        <v>7.42839162474924</v>
      </c>
      <c r="AP43" s="5" t="s">
        <v>100</v>
      </c>
      <c r="AQ43" s="5" t="s">
        <v>178</v>
      </c>
      <c r="AR43" s="5" t="s">
        <v>272</v>
      </c>
      <c r="AS43" s="9" t="n">
        <f aca="false">IF(AND(AP43="Y",ISNUMBER(AO43)),AO43,0)</f>
        <v>0</v>
      </c>
      <c r="AT43" s="7" t="n">
        <f aca="false">IF(AS43&gt;0,AS43*AG43,0)</f>
        <v>0</v>
      </c>
      <c r="AU43" s="7" t="n">
        <f aca="false">IF(AS43&gt;0,AS43*AG43^2,0)</f>
        <v>0</v>
      </c>
      <c r="AV43" s="9" t="n">
        <f aca="false">IF(AS43&gt;0,AS43^2,0)</f>
        <v>0</v>
      </c>
      <c r="AW43" s="7" t="n">
        <f aca="false">IF(AS43&gt;0,AG43,0)</f>
        <v>0</v>
      </c>
      <c r="AX43" s="7" t="n">
        <f aca="false">IF(AS43&gt;0,AH43,1)</f>
        <v>1</v>
      </c>
    </row>
    <row r="44" customFormat="false" ht="15" hidden="false" customHeight="false" outlineLevel="0" collapsed="false">
      <c r="A44" s="5" t="s">
        <v>273</v>
      </c>
      <c r="B44" s="5" t="s">
        <v>263</v>
      </c>
      <c r="C44" s="5" t="s">
        <v>264</v>
      </c>
      <c r="D44" s="5" t="n">
        <v>2020</v>
      </c>
      <c r="E44" s="5" t="s">
        <v>206</v>
      </c>
      <c r="F44" s="5" t="s">
        <v>173</v>
      </c>
      <c r="G44" s="5" t="s">
        <v>160</v>
      </c>
      <c r="H44" s="5" t="s">
        <v>265</v>
      </c>
      <c r="I44" s="5" t="s">
        <v>266</v>
      </c>
      <c r="J44" s="5" t="s">
        <v>162</v>
      </c>
      <c r="K44" s="5" t="s">
        <v>163</v>
      </c>
      <c r="L44" s="5" t="s">
        <v>164</v>
      </c>
      <c r="M44" s="5"/>
      <c r="N44" s="5"/>
      <c r="O44" s="5" t="s">
        <v>162</v>
      </c>
      <c r="P44" s="6" t="s">
        <v>82</v>
      </c>
      <c r="Q44" s="6" t="s">
        <v>103</v>
      </c>
      <c r="R44" s="5"/>
      <c r="S44" s="6" t="s">
        <v>271</v>
      </c>
      <c r="T44" s="5" t="s">
        <v>213</v>
      </c>
      <c r="U44" s="6" t="s">
        <v>86</v>
      </c>
      <c r="V44" s="5" t="n">
        <v>15</v>
      </c>
      <c r="W44" s="5" t="n">
        <v>86.4</v>
      </c>
      <c r="X44" s="5" t="n">
        <v>6.42</v>
      </c>
      <c r="Y44" s="5" t="n">
        <v>15</v>
      </c>
      <c r="Z44" s="5" t="n">
        <v>75.47</v>
      </c>
      <c r="AA44" s="5" t="n">
        <v>22.1</v>
      </c>
      <c r="AB44" s="5" t="s">
        <v>99</v>
      </c>
      <c r="AC44" s="5"/>
      <c r="AD44" s="5" t="n">
        <v>1</v>
      </c>
      <c r="AE44" s="7" t="n">
        <f aca="false">IFERROR(IF(AB44="MSD",IF(COUNT(V44,W44,X44,Y44,Z44,AA44)&lt;6,"",(W44-Z44)/SQRT(((V44-1)*X44^2+(Y44-1)*AA44^2)/(V44+Y44-2))*AD44),IF(AB44="t",AC44*SQRT(1/V44+1/Y44)*AD44,IF(AB44="F",SQRT(AC44)*SQRT(1/V44+1/Y44)*AD44,IF(AB44="z",2*(AC44/SQRT(V44+Y44))/SQRT(1-(AC44/SQRT(V44+Y44))^2)*AD44,IF(AB44="t_paired",AC44/SQRT(V44)*AD44,""))))),"")</f>
        <v>0.671661333369986</v>
      </c>
      <c r="AF44" s="7" t="n">
        <f aca="false">IF(AE44="","",IF(AB44="t_paired",1-3/(4*(V44-1)-1),1-3/(4*(V44+Y44)-9)))</f>
        <v>0.972972972972973</v>
      </c>
      <c r="AG44" s="7" t="n">
        <f aca="false">IF(AE44="","",AE44*AF44)</f>
        <v>0.653508324359986</v>
      </c>
      <c r="AH44" s="7" t="n">
        <f aca="false">IF(AG44="","",IF(AB44="t_paired",1/V44+AG44^2/(2*V44),(V44+Y44)/(V44*Y44)+AG44^2/(2*(V44+Y44))))</f>
        <v>0.140451218833463</v>
      </c>
      <c r="AI44" s="7" t="n">
        <f aca="false">IF(AH44="","",SQRT(AH44))</f>
        <v>0.374768220148752</v>
      </c>
      <c r="AJ44" s="7" t="n">
        <f aca="false">IF(AI44="","",AG44-1.96*AI44)</f>
        <v>-0.0810373871315674</v>
      </c>
      <c r="AK44" s="7" t="n">
        <f aca="false">IF(AI44="","",AG44+1.96*AI44)</f>
        <v>1.38805403585154</v>
      </c>
      <c r="AL44" s="7" t="n">
        <f aca="false">IF(AI44="","",AG44/AI44)</f>
        <v>1.74376665156026</v>
      </c>
      <c r="AM44" s="8" t="n">
        <f aca="false">IF(AL44="","",2*(1-NORMSDIST(ABS(AL44))))</f>
        <v>0.0811997877547428</v>
      </c>
      <c r="AN44" s="9" t="n">
        <f aca="false">IF(COUNT(V44)=0,"",IF(AB44="t_paired",V44,V44+N(Y44)))</f>
        <v>30</v>
      </c>
      <c r="AO44" s="7" t="n">
        <f aca="false">IF(AH44="","",1/AH44)</f>
        <v>7.11990973311329</v>
      </c>
      <c r="AP44" s="5" t="s">
        <v>88</v>
      </c>
      <c r="AQ44" s="5" t="s">
        <v>178</v>
      </c>
      <c r="AR44" s="5" t="s">
        <v>272</v>
      </c>
      <c r="AS44" s="7" t="n">
        <f aca="false">IF(AND(AP44="Y",ISNUMBER(AO44)),AO44,0)</f>
        <v>7.11990973311329</v>
      </c>
      <c r="AT44" s="7" t="n">
        <f aca="false">IF(AS44&gt;0,AS44*AG44,0)</f>
        <v>4.65292027928122</v>
      </c>
      <c r="AU44" s="7" t="n">
        <f aca="false">IF(AS44&gt;0,AS44*AG44^2,0)</f>
        <v>3.04072213509367</v>
      </c>
      <c r="AV44" s="9" t="n">
        <f aca="false">IF(AS44&gt;0,AS44^2,0)</f>
        <v>50.6931146076814</v>
      </c>
      <c r="AW44" s="7" t="n">
        <f aca="false">IF(AS44&gt;0,AG44,0)</f>
        <v>0.653508324359986</v>
      </c>
      <c r="AX44" s="7" t="n">
        <f aca="false">IF(AS44&gt;0,AH44,1)</f>
        <v>0.140451218833463</v>
      </c>
    </row>
    <row r="45" customFormat="false" ht="15" hidden="false" customHeight="false" outlineLevel="0" collapsed="false">
      <c r="A45" s="5" t="s">
        <v>274</v>
      </c>
      <c r="B45" s="5" t="s">
        <v>263</v>
      </c>
      <c r="C45" s="5" t="s">
        <v>264</v>
      </c>
      <c r="D45" s="5" t="n">
        <v>2020</v>
      </c>
      <c r="E45" s="5" t="s">
        <v>206</v>
      </c>
      <c r="F45" s="5" t="s">
        <v>173</v>
      </c>
      <c r="G45" s="5" t="s">
        <v>160</v>
      </c>
      <c r="H45" s="5" t="s">
        <v>265</v>
      </c>
      <c r="I45" s="5" t="s">
        <v>266</v>
      </c>
      <c r="J45" s="5" t="s">
        <v>162</v>
      </c>
      <c r="K45" s="5" t="s">
        <v>163</v>
      </c>
      <c r="L45" s="5" t="s">
        <v>164</v>
      </c>
      <c r="M45" s="5"/>
      <c r="N45" s="5"/>
      <c r="O45" s="5" t="s">
        <v>162</v>
      </c>
      <c r="P45" s="10" t="s">
        <v>82</v>
      </c>
      <c r="Q45" s="10" t="s">
        <v>103</v>
      </c>
      <c r="R45" s="5"/>
      <c r="S45" s="10" t="s">
        <v>275</v>
      </c>
      <c r="T45" s="5" t="s">
        <v>213</v>
      </c>
      <c r="U45" s="10" t="s">
        <v>98</v>
      </c>
      <c r="V45" s="5" t="n">
        <v>15</v>
      </c>
      <c r="W45" s="5" t="n">
        <v>74.13</v>
      </c>
      <c r="X45" s="5" t="n">
        <v>17.42</v>
      </c>
      <c r="Y45" s="5" t="n">
        <v>15</v>
      </c>
      <c r="Z45" s="5" t="n">
        <v>79.2</v>
      </c>
      <c r="AA45" s="5" t="n">
        <v>15.47</v>
      </c>
      <c r="AB45" s="5" t="s">
        <v>99</v>
      </c>
      <c r="AC45" s="5"/>
      <c r="AD45" s="5" t="n">
        <v>1</v>
      </c>
      <c r="AE45" s="7" t="n">
        <f aca="false">IFERROR(IF(AB45="MSD",IF(COUNT(V45,W45,X45,Y45,Z45,AA45)&lt;6,"",(W45-Z45)/SQRT(((V45-1)*X45^2+(Y45-1)*AA45^2)/(V45+Y45-2))*AD45),IF(AB45="t",AC45*SQRT(1/V45+1/Y45)*AD45,IF(AB45="F",SQRT(AC45)*SQRT(1/V45+1/Y45)*AD45,IF(AB45="z",2*(AC45/SQRT(V45+Y45))/SQRT(1-(AC45/SQRT(V45+Y45))^2)*AD45,IF(AB45="t_paired",AC45/SQRT(V45)*AD45,""))))),"")</f>
        <v>-0.307759961521955</v>
      </c>
      <c r="AF45" s="7" t="n">
        <f aca="false">IF(AE45="","",IF(AB45="t_paired",1-3/(4*(V45-1)-1),1-3/(4*(V45+Y45)-9)))</f>
        <v>0.972972972972973</v>
      </c>
      <c r="AG45" s="7" t="n">
        <f aca="false">IF(AE45="","",AE45*AF45)</f>
        <v>-0.299442124724064</v>
      </c>
      <c r="AH45" s="7" t="n">
        <f aca="false">IF(AG45="","",IF(AB45="t_paired",1/V45+AG45^2/(2*V45),(V45+Y45)/(V45*Y45)+AG45^2/(2*(V45+Y45))))</f>
        <v>0.134827759767654</v>
      </c>
      <c r="AI45" s="7" t="n">
        <f aca="false">IF(AH45="","",SQRT(AH45))</f>
        <v>0.367188997340136</v>
      </c>
      <c r="AJ45" s="7" t="n">
        <f aca="false">IF(AI45="","",AG45-1.96*AI45)</f>
        <v>-1.01913255951073</v>
      </c>
      <c r="AK45" s="7" t="n">
        <f aca="false">IF(AI45="","",AG45+1.96*AI45)</f>
        <v>0.420248310062603</v>
      </c>
      <c r="AL45" s="7" t="n">
        <f aca="false">IF(AI45="","",AG45/AI45)</f>
        <v>-0.815498631204038</v>
      </c>
      <c r="AM45" s="8" t="n">
        <f aca="false">IF(AL45="","",2*(1-NORMSDIST(ABS(AL45))))</f>
        <v>0.414786947762226</v>
      </c>
      <c r="AN45" s="9" t="n">
        <f aca="false">IF(COUNT(V45)=0,"",IF(AB45="t_paired",V45,V45+N(Y45)))</f>
        <v>30</v>
      </c>
      <c r="AO45" s="7" t="n">
        <f aca="false">IF(AH45="","",1/AH45)</f>
        <v>7.41687024781304</v>
      </c>
      <c r="AP45" s="5" t="s">
        <v>100</v>
      </c>
      <c r="AQ45" s="5" t="s">
        <v>178</v>
      </c>
      <c r="AR45" s="5" t="s">
        <v>276</v>
      </c>
      <c r="AS45" s="9" t="n">
        <f aca="false">IF(AND(AP45="Y",ISNUMBER(AO45)),AO45,0)</f>
        <v>0</v>
      </c>
      <c r="AT45" s="7" t="n">
        <f aca="false">IF(AS45&gt;0,AS45*AG45,0)</f>
        <v>0</v>
      </c>
      <c r="AU45" s="7" t="n">
        <f aca="false">IF(AS45&gt;0,AS45*AG45^2,0)</f>
        <v>0</v>
      </c>
      <c r="AV45" s="9" t="n">
        <f aca="false">IF(AS45&gt;0,AS45^2,0)</f>
        <v>0</v>
      </c>
      <c r="AW45" s="7" t="n">
        <f aca="false">IF(AS45&gt;0,AG45,0)</f>
        <v>0</v>
      </c>
      <c r="AX45" s="7" t="n">
        <f aca="false">IF(AS45&gt;0,AH45,1)</f>
        <v>1</v>
      </c>
    </row>
    <row r="46" customFormat="false" ht="15" hidden="false" customHeight="false" outlineLevel="0" collapsed="false">
      <c r="A46" s="5" t="s">
        <v>277</v>
      </c>
      <c r="B46" s="5" t="s">
        <v>263</v>
      </c>
      <c r="C46" s="5" t="s">
        <v>264</v>
      </c>
      <c r="D46" s="5" t="n">
        <v>2020</v>
      </c>
      <c r="E46" s="5" t="s">
        <v>206</v>
      </c>
      <c r="F46" s="5" t="s">
        <v>173</v>
      </c>
      <c r="G46" s="5" t="s">
        <v>160</v>
      </c>
      <c r="H46" s="5" t="s">
        <v>265</v>
      </c>
      <c r="I46" s="5" t="s">
        <v>266</v>
      </c>
      <c r="J46" s="5" t="s">
        <v>162</v>
      </c>
      <c r="K46" s="5" t="s">
        <v>163</v>
      </c>
      <c r="L46" s="5" t="s">
        <v>164</v>
      </c>
      <c r="M46" s="5"/>
      <c r="N46" s="5"/>
      <c r="O46" s="5" t="s">
        <v>162</v>
      </c>
      <c r="P46" s="6" t="s">
        <v>82</v>
      </c>
      <c r="Q46" s="6" t="s">
        <v>103</v>
      </c>
      <c r="R46" s="5"/>
      <c r="S46" s="6" t="s">
        <v>275</v>
      </c>
      <c r="T46" s="5" t="s">
        <v>213</v>
      </c>
      <c r="U46" s="6" t="s">
        <v>86</v>
      </c>
      <c r="V46" s="5" t="n">
        <v>15</v>
      </c>
      <c r="W46" s="5" t="n">
        <v>83.47</v>
      </c>
      <c r="X46" s="5" t="n">
        <v>14.03</v>
      </c>
      <c r="Y46" s="5" t="n">
        <v>15</v>
      </c>
      <c r="Z46" s="5" t="n">
        <v>81.87</v>
      </c>
      <c r="AA46" s="5" t="n">
        <v>14.27</v>
      </c>
      <c r="AB46" s="5" t="s">
        <v>99</v>
      </c>
      <c r="AC46" s="5"/>
      <c r="AD46" s="5" t="n">
        <v>1</v>
      </c>
      <c r="AE46" s="7" t="n">
        <f aca="false">IFERROR(IF(AB46="MSD",IF(COUNT(V46,W46,X46,Y46,Z46,AA46)&lt;6,"",(W46-Z46)/SQRT(((V46-1)*X46^2+(Y46-1)*AA46^2)/(V46+Y46-2))*AD46),IF(AB46="t",AC46*SQRT(1/V46+1/Y46)*AD46,IF(AB46="F",SQRT(AC46)*SQRT(1/V46+1/Y46)*AD46,IF(AB46="z",2*(AC46/SQRT(V46+Y46))/SQRT(1-(AC46/SQRT(V46+Y46))^2)*AD46,IF(AB46="t_paired",AC46/SQRT(V46)*AD46,""))))),"")</f>
        <v>0.113070139018522</v>
      </c>
      <c r="AF46" s="7" t="n">
        <f aca="false">IF(AE46="","",IF(AB46="t_paired",1-3/(4*(V46-1)-1),1-3/(4*(V46+Y46)-9)))</f>
        <v>0.972972972972973</v>
      </c>
      <c r="AG46" s="7" t="n">
        <f aca="false">IF(AE46="","",AE46*AF46)</f>
        <v>0.110014189315319</v>
      </c>
      <c r="AH46" s="7" t="n">
        <f aca="false">IF(AG46="","",IF(AB46="t_paired",1/V46+AG46^2/(2*V46),(V46+Y46)/(V46*Y46)+AG46^2/(2*(V46+Y46))))</f>
        <v>0.133535052030845</v>
      </c>
      <c r="AI46" s="7" t="n">
        <f aca="false">IF(AH46="","",SQRT(AH46))</f>
        <v>0.365424481980676</v>
      </c>
      <c r="AJ46" s="7" t="n">
        <f aca="false">IF(AI46="","",AG46-1.96*AI46)</f>
        <v>-0.606217795366805</v>
      </c>
      <c r="AK46" s="7" t="n">
        <f aca="false">IF(AI46="","",AG46+1.96*AI46)</f>
        <v>0.826246173997443</v>
      </c>
      <c r="AL46" s="7" t="n">
        <f aca="false">IF(AI46="","",AG46/AI46)</f>
        <v>0.301058617416708</v>
      </c>
      <c r="AM46" s="8" t="n">
        <f aca="false">IF(AL46="","",2*(1-NORMSDIST(ABS(AL46))))</f>
        <v>0.763369796414434</v>
      </c>
      <c r="AN46" s="9" t="n">
        <f aca="false">IF(COUNT(V46)=0,"",IF(AB46="t_paired",V46,V46+N(Y46)))</f>
        <v>30</v>
      </c>
      <c r="AO46" s="7" t="n">
        <f aca="false">IF(AH46="","",1/AH46)</f>
        <v>7.48867046360989</v>
      </c>
      <c r="AP46" s="5" t="s">
        <v>88</v>
      </c>
      <c r="AQ46" s="5" t="s">
        <v>178</v>
      </c>
      <c r="AR46" s="5" t="s">
        <v>276</v>
      </c>
      <c r="AS46" s="7" t="n">
        <f aca="false">IF(AND(AP46="Y",ISNUMBER(AO46)),AO46,0)</f>
        <v>7.48867046360989</v>
      </c>
      <c r="AT46" s="7" t="n">
        <f aca="false">IF(AS46&gt;0,AS46*AG46,0)</f>
        <v>0.823860010103616</v>
      </c>
      <c r="AU46" s="7" t="n">
        <f aca="false">IF(AS46&gt;0,AS46*AG46^2,0)</f>
        <v>0.0906362911208598</v>
      </c>
      <c r="AV46" s="9" t="n">
        <f aca="false">IF(AS46&gt;0,AS46^2,0)</f>
        <v>56.0801853125432</v>
      </c>
      <c r="AW46" s="7" t="n">
        <f aca="false">IF(AS46&gt;0,AG46,0)</f>
        <v>0.110014189315319</v>
      </c>
      <c r="AX46" s="7" t="n">
        <f aca="false">IF(AS46&gt;0,AH46,1)</f>
        <v>0.133535052030845</v>
      </c>
    </row>
    <row r="47" customFormat="false" ht="15" hidden="false" customHeight="false" outlineLevel="0" collapsed="false">
      <c r="A47" s="5" t="s">
        <v>278</v>
      </c>
      <c r="B47" s="5" t="s">
        <v>279</v>
      </c>
      <c r="C47" s="5" t="s">
        <v>280</v>
      </c>
      <c r="D47" s="5" t="n">
        <v>2025</v>
      </c>
      <c r="E47" s="5" t="s">
        <v>206</v>
      </c>
      <c r="F47" s="5" t="s">
        <v>173</v>
      </c>
      <c r="G47" s="5" t="s">
        <v>281</v>
      </c>
      <c r="H47" s="5" t="s">
        <v>174</v>
      </c>
      <c r="I47" s="5" t="s">
        <v>282</v>
      </c>
      <c r="J47" s="5" t="s">
        <v>189</v>
      </c>
      <c r="K47" s="5" t="s">
        <v>283</v>
      </c>
      <c r="L47" s="5" t="s">
        <v>284</v>
      </c>
      <c r="M47" s="5" t="s">
        <v>285</v>
      </c>
      <c r="N47" s="5" t="s">
        <v>286</v>
      </c>
      <c r="O47" s="5" t="s">
        <v>261</v>
      </c>
      <c r="P47" s="6" t="s">
        <v>82</v>
      </c>
      <c r="Q47" s="6" t="s">
        <v>103</v>
      </c>
      <c r="R47" s="5"/>
      <c r="S47" s="6" t="s">
        <v>287</v>
      </c>
      <c r="T47" s="5" t="s">
        <v>288</v>
      </c>
      <c r="U47" s="6" t="s">
        <v>86</v>
      </c>
      <c r="V47" s="5" t="n">
        <v>23</v>
      </c>
      <c r="W47" s="5"/>
      <c r="X47" s="5"/>
      <c r="Y47" s="5" t="n">
        <v>22</v>
      </c>
      <c r="Z47" s="5"/>
      <c r="AA47" s="5"/>
      <c r="AB47" s="5" t="s">
        <v>289</v>
      </c>
      <c r="AC47" s="5" t="n">
        <v>2.396</v>
      </c>
      <c r="AD47" s="5" t="n">
        <v>1</v>
      </c>
      <c r="AE47" s="7" t="n">
        <f aca="false">IFERROR(IF(AB47="MSD",IF(COUNT(V47,W47,X47,Y47,Z47,AA47)&lt;6,"",(W47-Z47)/SQRT(((V47-1)*X47^2+(Y47-1)*AA47^2)/(V47+Y47-2))*AD47),IF(AB47="t",AC47*SQRT(1/V47+1/Y47)*AD47,IF(AB47="F",SQRT(AC47)*SQRT(1/V47+1/Y47)*AD47,IF(AB47="z",2*(AC47/SQRT(V47+Y47))/SQRT(1-(AC47/SQRT(V47+Y47))^2)*AD47,IF(AB47="t_paired",AC47/SQRT(V47)*AD47,""))))),"")</f>
        <v>0.764796998929684</v>
      </c>
      <c r="AF47" s="7" t="n">
        <f aca="false">IF(AE47="","",IF(AB47="t_paired",1-3/(4*(V47-1)-1),1-3/(4*(V47+Y47)-9)))</f>
        <v>0.982456140350877</v>
      </c>
      <c r="AG47" s="7" t="n">
        <f aca="false">IF(AE47="","",AE47*AF47)</f>
        <v>0.751379507720391</v>
      </c>
      <c r="AH47" s="7" t="n">
        <f aca="false">IF(AG47="","",IF(AB47="t_paired",1/V47+AG47^2/(2*V47),(V47+Y47)/(V47*Y47)+AG47^2/(2*(V47+Y47))))</f>
        <v>0.0952058192643566</v>
      </c>
      <c r="AI47" s="7" t="n">
        <f aca="false">IF(AH47="","",SQRT(AH47))</f>
        <v>0.308554402438787</v>
      </c>
      <c r="AJ47" s="7" t="n">
        <f aca="false">IF(AI47="","",AG47-1.96*AI47)</f>
        <v>0.146612878940369</v>
      </c>
      <c r="AK47" s="7" t="n">
        <f aca="false">IF(AI47="","",AG47+1.96*AI47)</f>
        <v>1.35614613650041</v>
      </c>
      <c r="AL47" s="7" t="n">
        <f aca="false">IF(AI47="","",AG47/AI47)</f>
        <v>2.43516054796676</v>
      </c>
      <c r="AM47" s="8" t="n">
        <f aca="false">IF(AL47="","",2*(1-NORMSDIST(ABS(AL47))))</f>
        <v>0.0148851836013573</v>
      </c>
      <c r="AN47" s="9" t="n">
        <f aca="false">IF(COUNT(V47)=0,"",IF(AB47="t_paired",V47,V47+N(Y47)))</f>
        <v>45</v>
      </c>
      <c r="AO47" s="7" t="n">
        <f aca="false">IF(AH47="","",1/AH47)</f>
        <v>10.503559632456</v>
      </c>
      <c r="AP47" s="5" t="s">
        <v>88</v>
      </c>
      <c r="AQ47" s="5" t="s">
        <v>290</v>
      </c>
      <c r="AR47" s="5" t="s">
        <v>291</v>
      </c>
      <c r="AS47" s="7" t="n">
        <f aca="false">IF(AND(AP47="Y",ISNUMBER(AO47)),AO47,0)</f>
        <v>10.503559632456</v>
      </c>
      <c r="AT47" s="7" t="n">
        <f aca="false">IF(AS47&gt;0,AS47*AG47,0)</f>
        <v>7.89215946594657</v>
      </c>
      <c r="AU47" s="7" t="n">
        <f aca="false">IF(AS47&gt;0,AS47*AG47^2,0)</f>
        <v>5.93000689437376</v>
      </c>
      <c r="AV47" s="9" t="n">
        <f aca="false">IF(AS47&gt;0,AS47^2,0)</f>
        <v>110.32476495256</v>
      </c>
      <c r="AW47" s="7" t="n">
        <f aca="false">IF(AS47&gt;0,AG47,0)</f>
        <v>0.751379507720391</v>
      </c>
      <c r="AX47" s="7" t="n">
        <f aca="false">IF(AS47&gt;0,AH47,1)</f>
        <v>0.0952058192643566</v>
      </c>
    </row>
    <row r="48" customFormat="false" ht="15" hidden="false" customHeight="false" outlineLevel="0" collapsed="false">
      <c r="A48" s="5" t="s">
        <v>292</v>
      </c>
      <c r="B48" s="5" t="s">
        <v>279</v>
      </c>
      <c r="C48" s="5" t="s">
        <v>280</v>
      </c>
      <c r="D48" s="5" t="n">
        <v>2025</v>
      </c>
      <c r="E48" s="5" t="s">
        <v>206</v>
      </c>
      <c r="F48" s="5" t="s">
        <v>173</v>
      </c>
      <c r="G48" s="5" t="s">
        <v>281</v>
      </c>
      <c r="H48" s="5" t="s">
        <v>174</v>
      </c>
      <c r="I48" s="5" t="s">
        <v>282</v>
      </c>
      <c r="J48" s="5" t="s">
        <v>189</v>
      </c>
      <c r="K48" s="5" t="s">
        <v>283</v>
      </c>
      <c r="L48" s="5" t="s">
        <v>284</v>
      </c>
      <c r="M48" s="5" t="s">
        <v>285</v>
      </c>
      <c r="N48" s="5" t="s">
        <v>286</v>
      </c>
      <c r="O48" s="5" t="s">
        <v>261</v>
      </c>
      <c r="P48" s="6" t="s">
        <v>82</v>
      </c>
      <c r="Q48" s="6" t="s">
        <v>103</v>
      </c>
      <c r="R48" s="5"/>
      <c r="S48" s="6" t="s">
        <v>293</v>
      </c>
      <c r="T48" s="5" t="s">
        <v>288</v>
      </c>
      <c r="U48" s="6" t="s">
        <v>86</v>
      </c>
      <c r="V48" s="5" t="n">
        <v>23</v>
      </c>
      <c r="W48" s="5"/>
      <c r="X48" s="5"/>
      <c r="Y48" s="5" t="n">
        <v>22</v>
      </c>
      <c r="Z48" s="5"/>
      <c r="AA48" s="5"/>
      <c r="AB48" s="5" t="s">
        <v>289</v>
      </c>
      <c r="AC48" s="5" t="n">
        <v>2.569</v>
      </c>
      <c r="AD48" s="5" t="n">
        <v>1</v>
      </c>
      <c r="AE48" s="7" t="n">
        <f aca="false">IFERROR(IF(AB48="MSD",IF(COUNT(V48,W48,X48,Y48,Z48,AA48)&lt;6,"",(W48-Z48)/SQRT(((V48-1)*X48^2+(Y48-1)*AA48^2)/(V48+Y48-2))*AD48),IF(AB48="t",AC48*SQRT(1/V48+1/Y48)*AD48,IF(AB48="F",SQRT(AC48)*SQRT(1/V48+1/Y48)*AD48,IF(AB48="z",2*(AC48/SQRT(V48+Y48))/SQRT(1-(AC48/SQRT(V48+Y48))^2)*AD48,IF(AB48="t_paired",AC48/SQRT(V48)*AD48,""))))),"")</f>
        <v>0.829138604442523</v>
      </c>
      <c r="AF48" s="7" t="n">
        <f aca="false">IF(AE48="","",IF(AB48="t_paired",1-3/(4*(V48-1)-1),1-3/(4*(V48+Y48)-9)))</f>
        <v>0.982456140350877</v>
      </c>
      <c r="AG48" s="7" t="n">
        <f aca="false">IF(AE48="","",AE48*AF48)</f>
        <v>0.814592313136514</v>
      </c>
      <c r="AH48" s="7" t="n">
        <f aca="false">IF(AG48="","",IF(AB48="t_paired",1/V48+AG48^2/(2*V48),(V48+Y48)/(V48*Y48)+AG48^2/(2*(V48+Y48))))</f>
        <v>0.0963057022865673</v>
      </c>
      <c r="AI48" s="7" t="n">
        <f aca="false">IF(AH48="","",SQRT(AH48))</f>
        <v>0.310331600528479</v>
      </c>
      <c r="AJ48" s="7" t="n">
        <f aca="false">IF(AI48="","",AG48-1.96*AI48)</f>
        <v>0.206342376100695</v>
      </c>
      <c r="AK48" s="7" t="n">
        <f aca="false">IF(AI48="","",AG48+1.96*AI48)</f>
        <v>1.42284225017233</v>
      </c>
      <c r="AL48" s="7" t="n">
        <f aca="false">IF(AI48="","",AG48/AI48)</f>
        <v>2.62490932843869</v>
      </c>
      <c r="AM48" s="8" t="n">
        <f aca="false">IF(AL48="","",2*(1-NORMSDIST(ABS(AL48))))</f>
        <v>0.00866720444346769</v>
      </c>
      <c r="AN48" s="9" t="n">
        <f aca="false">IF(COUNT(V48)=0,"",IF(AB48="t_paired",V48,V48+N(Y48)))</f>
        <v>45</v>
      </c>
      <c r="AO48" s="7" t="n">
        <f aca="false">IF(AH48="","",1/AH48)</f>
        <v>10.3836011394673</v>
      </c>
      <c r="AP48" s="5" t="s">
        <v>88</v>
      </c>
      <c r="AQ48" s="5" t="s">
        <v>290</v>
      </c>
      <c r="AR48" s="5" t="s">
        <v>294</v>
      </c>
      <c r="AS48" s="7" t="n">
        <f aca="false">IF(AND(AP48="Y",ISNUMBER(AO48)),AO48,0)</f>
        <v>10.3836011394673</v>
      </c>
      <c r="AT48" s="7" t="n">
        <f aca="false">IF(AS48&gt;0,AS48*AG48,0)</f>
        <v>8.45840167088562</v>
      </c>
      <c r="AU48" s="7" t="n">
        <f aca="false">IF(AS48&gt;0,AS48*AG48^2,0)</f>
        <v>6.89014898252446</v>
      </c>
      <c r="AV48" s="9" t="n">
        <f aca="false">IF(AS48&gt;0,AS48^2,0)</f>
        <v>107.819172623547</v>
      </c>
      <c r="AW48" s="7" t="n">
        <f aca="false">IF(AS48&gt;0,AG48,0)</f>
        <v>0.814592313136514</v>
      </c>
      <c r="AX48" s="7" t="n">
        <f aca="false">IF(AS48&gt;0,AH48,1)</f>
        <v>0.0963057022865673</v>
      </c>
    </row>
    <row r="49" customFormat="false" ht="15" hidden="false" customHeight="false" outlineLevel="0" collapsed="false">
      <c r="A49" s="5" t="s">
        <v>295</v>
      </c>
      <c r="B49" s="5" t="s">
        <v>279</v>
      </c>
      <c r="C49" s="5" t="s">
        <v>280</v>
      </c>
      <c r="D49" s="5" t="n">
        <v>2025</v>
      </c>
      <c r="E49" s="5" t="s">
        <v>206</v>
      </c>
      <c r="F49" s="5" t="s">
        <v>173</v>
      </c>
      <c r="G49" s="5" t="s">
        <v>281</v>
      </c>
      <c r="H49" s="5" t="s">
        <v>174</v>
      </c>
      <c r="I49" s="5" t="s">
        <v>282</v>
      </c>
      <c r="J49" s="5" t="s">
        <v>189</v>
      </c>
      <c r="K49" s="5" t="s">
        <v>283</v>
      </c>
      <c r="L49" s="5" t="s">
        <v>284</v>
      </c>
      <c r="M49" s="5" t="s">
        <v>285</v>
      </c>
      <c r="N49" s="5" t="s">
        <v>286</v>
      </c>
      <c r="O49" s="5" t="s">
        <v>261</v>
      </c>
      <c r="P49" s="6" t="s">
        <v>82</v>
      </c>
      <c r="Q49" s="6" t="s">
        <v>191</v>
      </c>
      <c r="R49" s="5"/>
      <c r="S49" s="6" t="s">
        <v>296</v>
      </c>
      <c r="T49" s="5" t="s">
        <v>297</v>
      </c>
      <c r="U49" s="6" t="s">
        <v>86</v>
      </c>
      <c r="V49" s="5" t="n">
        <v>23</v>
      </c>
      <c r="W49" s="5"/>
      <c r="X49" s="5"/>
      <c r="Y49" s="5" t="n">
        <v>22</v>
      </c>
      <c r="Z49" s="5"/>
      <c r="AA49" s="5"/>
      <c r="AB49" s="5" t="s">
        <v>289</v>
      </c>
      <c r="AC49" s="5" t="n">
        <v>2.613</v>
      </c>
      <c r="AD49" s="5" t="n">
        <v>1</v>
      </c>
      <c r="AE49" s="7" t="n">
        <f aca="false">IFERROR(IF(AB49="MSD",IF(COUNT(V49,W49,X49,Y49,Z49,AA49)&lt;6,"",(W49-Z49)/SQRT(((V49-1)*X49^2+(Y49-1)*AA49^2)/(V49+Y49-2))*AD49),IF(AB49="t",AC49*SQRT(1/V49+1/Y49)*AD49,IF(AB49="F",SQRT(AC49)*SQRT(1/V49+1/Y49)*AD49,IF(AB49="z",2*(AC49/SQRT(V49+Y49))/SQRT(1-(AC49/SQRT(V49+Y49))^2)*AD49,IF(AB49="t_paired",AC49/SQRT(V49)*AD49,""))))),"")</f>
        <v>0.845854440819613</v>
      </c>
      <c r="AF49" s="7" t="n">
        <f aca="false">IF(AE49="","",IF(AB49="t_paired",1-3/(4*(V49-1)-1),1-3/(4*(V49+Y49)-9)))</f>
        <v>0.982456140350877</v>
      </c>
      <c r="AG49" s="7" t="n">
        <f aca="false">IF(AE49="","",AE49*AF49)</f>
        <v>0.831014889226286</v>
      </c>
      <c r="AH49" s="7" t="n">
        <f aca="false">IF(AG49="","",IF(AB49="t_paired",1/V49+AG49^2/(2*V49),(V49+Y49)/(V49*Y49)+AG49^2/(2*(V49+Y49))))</f>
        <v>0.0966059812809526</v>
      </c>
      <c r="AI49" s="7" t="n">
        <f aca="false">IF(AH49="","",SQRT(AH49))</f>
        <v>0.310815027437466</v>
      </c>
      <c r="AJ49" s="7" t="n">
        <f aca="false">IF(AI49="","",AG49-1.96*AI49)</f>
        <v>0.221817435448853</v>
      </c>
      <c r="AK49" s="7" t="n">
        <f aca="false">IF(AI49="","",AG49+1.96*AI49)</f>
        <v>1.44021234300372</v>
      </c>
      <c r="AL49" s="7" t="n">
        <f aca="false">IF(AI49="","",AG49/AI49)</f>
        <v>2.67366380601878</v>
      </c>
      <c r="AM49" s="8" t="n">
        <f aca="false">IF(AL49="","",2*(1-NORMSDIST(ABS(AL49))))</f>
        <v>0.00750276246160753</v>
      </c>
      <c r="AN49" s="9" t="n">
        <f aca="false">IF(COUNT(V49)=0,"",IF(AB49="t_paired",V49,V49+N(Y49)))</f>
        <v>45</v>
      </c>
      <c r="AO49" s="7" t="n">
        <f aca="false">IF(AH49="","",1/AH49)</f>
        <v>10.3513259400758</v>
      </c>
      <c r="AP49" s="5" t="s">
        <v>88</v>
      </c>
      <c r="AQ49" s="5" t="s">
        <v>290</v>
      </c>
      <c r="AR49" s="5" t="s">
        <v>298</v>
      </c>
      <c r="AS49" s="7" t="n">
        <f aca="false">IF(AND(AP49="Y",ISNUMBER(AO49)),AO49,0)</f>
        <v>10.3513259400758</v>
      </c>
      <c r="AT49" s="7" t="n">
        <f aca="false">IF(AS49&gt;0,AS49*AG49,0)</f>
        <v>8.60210597943726</v>
      </c>
      <c r="AU49" s="7" t="n">
        <f aca="false">IF(AS49&gt;0,AS49*AG49^2,0)</f>
        <v>7.14847814761482</v>
      </c>
      <c r="AV49" s="9" t="n">
        <f aca="false">IF(AS49&gt;0,AS49^2,0)</f>
        <v>107.149948717686</v>
      </c>
      <c r="AW49" s="7" t="n">
        <f aca="false">IF(AS49&gt;0,AG49,0)</f>
        <v>0.831014889226286</v>
      </c>
      <c r="AX49" s="7" t="n">
        <f aca="false">IF(AS49&gt;0,AH49,1)</f>
        <v>0.0966059812809526</v>
      </c>
    </row>
    <row r="50" customFormat="false" ht="15" hidden="false" customHeight="false" outlineLevel="0" collapsed="false">
      <c r="A50" s="5" t="s">
        <v>299</v>
      </c>
      <c r="B50" s="5" t="s">
        <v>279</v>
      </c>
      <c r="C50" s="5" t="s">
        <v>280</v>
      </c>
      <c r="D50" s="5" t="n">
        <v>2025</v>
      </c>
      <c r="E50" s="5" t="s">
        <v>206</v>
      </c>
      <c r="F50" s="5" t="s">
        <v>173</v>
      </c>
      <c r="G50" s="5" t="s">
        <v>281</v>
      </c>
      <c r="H50" s="5" t="s">
        <v>174</v>
      </c>
      <c r="I50" s="5" t="s">
        <v>282</v>
      </c>
      <c r="J50" s="5" t="s">
        <v>189</v>
      </c>
      <c r="K50" s="5" t="s">
        <v>283</v>
      </c>
      <c r="L50" s="5" t="s">
        <v>284</v>
      </c>
      <c r="M50" s="5" t="s">
        <v>285</v>
      </c>
      <c r="N50" s="5" t="s">
        <v>286</v>
      </c>
      <c r="O50" s="5" t="s">
        <v>261</v>
      </c>
      <c r="P50" s="6" t="s">
        <v>82</v>
      </c>
      <c r="Q50" s="6" t="s">
        <v>191</v>
      </c>
      <c r="R50" s="5"/>
      <c r="S50" s="6" t="s">
        <v>300</v>
      </c>
      <c r="T50" s="5" t="s">
        <v>301</v>
      </c>
      <c r="U50" s="6" t="s">
        <v>86</v>
      </c>
      <c r="V50" s="5" t="n">
        <v>23</v>
      </c>
      <c r="W50" s="5"/>
      <c r="X50" s="5"/>
      <c r="Y50" s="5" t="n">
        <v>22</v>
      </c>
      <c r="Z50" s="5"/>
      <c r="AA50" s="5"/>
      <c r="AB50" s="5" t="s">
        <v>289</v>
      </c>
      <c r="AC50" s="5" t="n">
        <v>2.566</v>
      </c>
      <c r="AD50" s="5" t="n">
        <v>1</v>
      </c>
      <c r="AE50" s="7" t="n">
        <f aca="false">IFERROR(IF(AB50="MSD",IF(COUNT(V50,W50,X50,Y50,Z50,AA50)&lt;6,"",(W50-Z50)/SQRT(((V50-1)*X50^2+(Y50-1)*AA50^2)/(V50+Y50-2))*AD50),IF(AB50="t",AC50*SQRT(1/V50+1/Y50)*AD50,IF(AB50="F",SQRT(AC50)*SQRT(1/V50+1/Y50)*AD50,IF(AB50="z",2*(AC50/SQRT(V50+Y50))/SQRT(1-(AC50/SQRT(V50+Y50))^2)*AD50,IF(AB50="t_paired",AC50/SQRT(V50)*AD50,""))))),"")</f>
        <v>0.828004293289112</v>
      </c>
      <c r="AF50" s="7" t="n">
        <f aca="false">IF(AE50="","",IF(AB50="t_paired",1-3/(4*(V50-1)-1),1-3/(4*(V50+Y50)-9)))</f>
        <v>0.982456140350877</v>
      </c>
      <c r="AG50" s="7" t="n">
        <f aca="false">IF(AE50="","",AE50*AF50)</f>
        <v>0.813477902178777</v>
      </c>
      <c r="AH50" s="7" t="n">
        <f aca="false">IF(AG50="","",IF(AB50="t_paired",1/V50+AG50^2/(2*V50),(V50+Y50)/(V50*Y50)+AG50^2/(2*(V50+Y50))))</f>
        <v>0.096285542961146</v>
      </c>
      <c r="AI50" s="7" t="n">
        <f aca="false">IF(AH50="","",SQRT(AH50))</f>
        <v>0.310299118531049</v>
      </c>
      <c r="AJ50" s="7" t="n">
        <f aca="false">IF(AI50="","",AG50-1.96*AI50)</f>
        <v>0.205291629857921</v>
      </c>
      <c r="AK50" s="7" t="n">
        <f aca="false">IF(AI50="","",AG50+1.96*AI50)</f>
        <v>1.42166417449963</v>
      </c>
      <c r="AL50" s="7" t="n">
        <f aca="false">IF(AI50="","",AG50/AI50)</f>
        <v>2.62159269426793</v>
      </c>
      <c r="AM50" s="8" t="n">
        <f aca="false">IF(AL50="","",2*(1-NORMSDIST(ABS(AL50))))</f>
        <v>0.00875199584599984</v>
      </c>
      <c r="AN50" s="9" t="n">
        <f aca="false">IF(COUNT(V50)=0,"",IF(AB50="t_paired",V50,V50+N(Y50)))</f>
        <v>45</v>
      </c>
      <c r="AO50" s="7" t="n">
        <f aca="false">IF(AH50="","",1/AH50)</f>
        <v>10.385775156334</v>
      </c>
      <c r="AP50" s="5" t="s">
        <v>88</v>
      </c>
      <c r="AQ50" s="5" t="s">
        <v>290</v>
      </c>
      <c r="AR50" s="5" t="s">
        <v>298</v>
      </c>
      <c r="AS50" s="7" t="n">
        <f aca="false">IF(AND(AP50="Y",ISNUMBER(AO50)),AO50,0)</f>
        <v>10.385775156334</v>
      </c>
      <c r="AT50" s="7" t="n">
        <f aca="false">IF(AS50&gt;0,AS50*AG50,0)</f>
        <v>8.44859858667503</v>
      </c>
      <c r="AU50" s="7" t="n">
        <f aca="false">IF(AS50&gt;0,AS50*AG50^2,0)</f>
        <v>6.87274825463899</v>
      </c>
      <c r="AV50" s="9" t="n">
        <f aca="false">IF(AS50&gt;0,AS50^2,0)</f>
        <v>107.864325597924</v>
      </c>
      <c r="AW50" s="7" t="n">
        <f aca="false">IF(AS50&gt;0,AG50,0)</f>
        <v>0.813477902178777</v>
      </c>
      <c r="AX50" s="7" t="n">
        <f aca="false">IF(AS50&gt;0,AH50,1)</f>
        <v>0.096285542961146</v>
      </c>
    </row>
    <row r="51" customFormat="false" ht="15" hidden="false" customHeight="false" outlineLevel="0" collapsed="false">
      <c r="A51" s="5" t="s">
        <v>302</v>
      </c>
      <c r="B51" s="5" t="s">
        <v>279</v>
      </c>
      <c r="C51" s="5" t="s">
        <v>280</v>
      </c>
      <c r="D51" s="5" t="n">
        <v>2025</v>
      </c>
      <c r="E51" s="5" t="s">
        <v>206</v>
      </c>
      <c r="F51" s="5" t="s">
        <v>173</v>
      </c>
      <c r="G51" s="5" t="s">
        <v>281</v>
      </c>
      <c r="H51" s="5" t="s">
        <v>174</v>
      </c>
      <c r="I51" s="5" t="s">
        <v>282</v>
      </c>
      <c r="J51" s="5" t="s">
        <v>189</v>
      </c>
      <c r="K51" s="5" t="s">
        <v>283</v>
      </c>
      <c r="L51" s="5" t="s">
        <v>284</v>
      </c>
      <c r="M51" s="5" t="s">
        <v>285</v>
      </c>
      <c r="N51" s="5" t="s">
        <v>286</v>
      </c>
      <c r="O51" s="5" t="s">
        <v>261</v>
      </c>
      <c r="P51" s="6" t="s">
        <v>82</v>
      </c>
      <c r="Q51" s="6" t="s">
        <v>191</v>
      </c>
      <c r="R51" s="5"/>
      <c r="S51" s="6" t="s">
        <v>303</v>
      </c>
      <c r="T51" s="5" t="s">
        <v>297</v>
      </c>
      <c r="U51" s="6" t="s">
        <v>86</v>
      </c>
      <c r="V51" s="5" t="n">
        <v>23</v>
      </c>
      <c r="W51" s="5"/>
      <c r="X51" s="5"/>
      <c r="Y51" s="5" t="n">
        <v>22</v>
      </c>
      <c r="Z51" s="5"/>
      <c r="AA51" s="5"/>
      <c r="AB51" s="5" t="s">
        <v>289</v>
      </c>
      <c r="AC51" s="5" t="n">
        <v>1.761</v>
      </c>
      <c r="AD51" s="5" t="n">
        <v>1</v>
      </c>
      <c r="AE51" s="7" t="n">
        <f aca="false">IFERROR(IF(AB51="MSD",IF(COUNT(V51,W51,X51,Y51,Z51,AA51)&lt;6,"",(W51-Z51)/SQRT(((V51-1)*X51^2+(Y51-1)*AA51^2)/(V51+Y51-2))*AD51),IF(AB51="t",AC51*SQRT(1/V51+1/Y51)*AD51,IF(AB51="F",SQRT(AC51)*SQRT(1/V51+1/Y51)*AD51,IF(AB51="z",2*(AC51/SQRT(V51+Y51))/SQRT(1-(AC51/SQRT(V51+Y51))^2)*AD51,IF(AB51="t_paired",AC51/SQRT(V51)*AD51,""))))),"")</f>
        <v>0.544111806753945</v>
      </c>
      <c r="AF51" s="7" t="n">
        <f aca="false">IF(AE51="","",IF(AB51="t_paired",1-3/(4*(V51-1)-1),1-3/(4*(V51+Y51)-9)))</f>
        <v>0.982456140350877</v>
      </c>
      <c r="AG51" s="7" t="n">
        <f aca="false">IF(AE51="","",AE51*AF51)</f>
        <v>0.534565985582824</v>
      </c>
      <c r="AH51" s="7" t="n">
        <f aca="false">IF(AG51="","",IF(AB51="t_paired",1/V51+AG51^2/(2*V51),(V51+Y51)/(V51*Y51)+AG51^2/(2*(V51+Y51))))</f>
        <v>0.09210792624569</v>
      </c>
      <c r="AI51" s="7" t="n">
        <f aca="false">IF(AH51="","",SQRT(AH51))</f>
        <v>0.303492876762684</v>
      </c>
      <c r="AJ51" s="7" t="n">
        <f aca="false">IF(AI51="","",AG51-1.96*AI51)</f>
        <v>-0.060280052872038</v>
      </c>
      <c r="AK51" s="7" t="n">
        <f aca="false">IF(AI51="","",AG51+1.96*AI51)</f>
        <v>1.12941202403769</v>
      </c>
      <c r="AL51" s="7" t="n">
        <f aca="false">IF(AI51="","",AG51/AI51)</f>
        <v>1.76137901912217</v>
      </c>
      <c r="AM51" s="8" t="n">
        <f aca="false">IF(AL51="","",2*(1-NORMSDIST(ABS(AL51))))</f>
        <v>0.078174273717686</v>
      </c>
      <c r="AN51" s="9" t="n">
        <f aca="false">IF(COUNT(V51)=0,"",IF(AB51="t_paired",V51,V51+N(Y51)))</f>
        <v>45</v>
      </c>
      <c r="AO51" s="7" t="n">
        <f aca="false">IF(AH51="","",1/AH51)</f>
        <v>10.8568289479516</v>
      </c>
      <c r="AP51" s="5" t="s">
        <v>88</v>
      </c>
      <c r="AQ51" s="5" t="s">
        <v>290</v>
      </c>
      <c r="AR51" s="5" t="s">
        <v>304</v>
      </c>
      <c r="AS51" s="7" t="n">
        <f aca="false">IF(AND(AP51="Y",ISNUMBER(AO51)),AO51,0)</f>
        <v>10.8568289479516</v>
      </c>
      <c r="AT51" s="7" t="n">
        <f aca="false">IF(AS51&gt;0,AS51*AG51,0)</f>
        <v>5.80369146686589</v>
      </c>
      <c r="AU51" s="7" t="n">
        <f aca="false">IF(AS51&gt;0,AS51*AG51^2,0)</f>
        <v>3.10245604900379</v>
      </c>
      <c r="AV51" s="9" t="n">
        <f aca="false">IF(AS51&gt;0,AS51^2,0)</f>
        <v>117.87073480508</v>
      </c>
      <c r="AW51" s="7" t="n">
        <f aca="false">IF(AS51&gt;0,AG51,0)</f>
        <v>0.534565985582824</v>
      </c>
      <c r="AX51" s="7" t="n">
        <f aca="false">IF(AS51&gt;0,AH51,1)</f>
        <v>0.09210792624569</v>
      </c>
    </row>
    <row r="52" customFormat="false" ht="15" hidden="false" customHeight="false" outlineLevel="0" collapsed="false">
      <c r="A52" s="5" t="s">
        <v>305</v>
      </c>
      <c r="B52" s="5" t="s">
        <v>279</v>
      </c>
      <c r="C52" s="5" t="s">
        <v>280</v>
      </c>
      <c r="D52" s="5" t="n">
        <v>2025</v>
      </c>
      <c r="E52" s="5" t="s">
        <v>206</v>
      </c>
      <c r="F52" s="5" t="s">
        <v>173</v>
      </c>
      <c r="G52" s="5" t="s">
        <v>281</v>
      </c>
      <c r="H52" s="5" t="s">
        <v>174</v>
      </c>
      <c r="I52" s="5" t="s">
        <v>282</v>
      </c>
      <c r="J52" s="5" t="s">
        <v>189</v>
      </c>
      <c r="K52" s="5" t="s">
        <v>283</v>
      </c>
      <c r="L52" s="5" t="s">
        <v>284</v>
      </c>
      <c r="M52" s="5" t="s">
        <v>285</v>
      </c>
      <c r="N52" s="5" t="s">
        <v>286</v>
      </c>
      <c r="O52" s="5" t="s">
        <v>261</v>
      </c>
      <c r="P52" s="6" t="s">
        <v>82</v>
      </c>
      <c r="Q52" s="6" t="s">
        <v>191</v>
      </c>
      <c r="R52" s="5"/>
      <c r="S52" s="6" t="s">
        <v>306</v>
      </c>
      <c r="T52" s="5" t="s">
        <v>297</v>
      </c>
      <c r="U52" s="6" t="s">
        <v>86</v>
      </c>
      <c r="V52" s="5" t="n">
        <v>23</v>
      </c>
      <c r="W52" s="5"/>
      <c r="X52" s="5"/>
      <c r="Y52" s="5" t="n">
        <v>22</v>
      </c>
      <c r="Z52" s="5"/>
      <c r="AA52" s="5"/>
      <c r="AB52" s="5" t="s">
        <v>289</v>
      </c>
      <c r="AC52" s="5" t="n">
        <v>1.934</v>
      </c>
      <c r="AD52" s="5" t="n">
        <v>1</v>
      </c>
      <c r="AE52" s="7" t="n">
        <f aca="false">IFERROR(IF(AB52="MSD",IF(COUNT(V52,W52,X52,Y52,Z52,AA52)&lt;6,"",(W52-Z52)/SQRT(((V52-1)*X52^2+(Y52-1)*AA52^2)/(V52+Y52-2))*AD52),IF(AB52="t",AC52*SQRT(1/V52+1/Y52)*AD52,IF(AB52="F",SQRT(AC52)*SQRT(1/V52+1/Y52)*AD52,IF(AB52="z",2*(AC52/SQRT(V52+Y52))/SQRT(1-(AC52/SQRT(V52+Y52))^2)*AD52,IF(AB52="t_paired",AC52/SQRT(V52)*AD52,""))))),"")</f>
        <v>0.602176394721448</v>
      </c>
      <c r="AF52" s="7" t="n">
        <f aca="false">IF(AE52="","",IF(AB52="t_paired",1-3/(4*(V52-1)-1),1-3/(4*(V52+Y52)-9)))</f>
        <v>0.982456140350877</v>
      </c>
      <c r="AG52" s="7" t="n">
        <f aca="false">IF(AE52="","",AE52*AF52)</f>
        <v>0.59161189656844</v>
      </c>
      <c r="AH52" s="7" t="n">
        <f aca="false">IF(AG52="","",IF(AB52="t_paired",1/V52+AG52^2/(2*V52),(V52+Y52)/(V52*Y52)+AG52^2/(2*(V52+Y52))))</f>
        <v>0.092821746725903</v>
      </c>
      <c r="AI52" s="7" t="n">
        <f aca="false">IF(AH52="","",SQRT(AH52))</f>
        <v>0.304666615706255</v>
      </c>
      <c r="AJ52" s="7" t="n">
        <f aca="false">IF(AI52="","",AG52-1.96*AI52)</f>
        <v>-0.0055346702158201</v>
      </c>
      <c r="AK52" s="7" t="n">
        <f aca="false">IF(AI52="","",AG52+1.96*AI52)</f>
        <v>1.1887584633527</v>
      </c>
      <c r="AL52" s="7" t="n">
        <f aca="false">IF(AI52="","",AG52/AI52)</f>
        <v>1.94183368334273</v>
      </c>
      <c r="AM52" s="8" t="n">
        <f aca="false">IF(AL52="","",2*(1-NORMSDIST(ABS(AL52))))</f>
        <v>0.0521572377535651</v>
      </c>
      <c r="AN52" s="9" t="n">
        <f aca="false">IF(COUNT(V52)=0,"",IF(AB52="t_paired",V52,V52+N(Y52)))</f>
        <v>45</v>
      </c>
      <c r="AO52" s="7" t="n">
        <f aca="false">IF(AH52="","",1/AH52)</f>
        <v>10.7733374480976</v>
      </c>
      <c r="AP52" s="5" t="s">
        <v>88</v>
      </c>
      <c r="AQ52" s="5" t="s">
        <v>290</v>
      </c>
      <c r="AR52" s="5" t="s">
        <v>298</v>
      </c>
      <c r="AS52" s="7" t="n">
        <f aca="false">IF(AND(AP52="Y",ISNUMBER(AO52)),AO52,0)</f>
        <v>10.7733374480976</v>
      </c>
      <c r="AT52" s="7" t="n">
        <f aca="false">IF(AS52&gt;0,AS52*AG52,0)</f>
        <v>6.37363460004081</v>
      </c>
      <c r="AU52" s="7" t="n">
        <f aca="false">IF(AS52&gt;0,AS52*AG52^2,0)</f>
        <v>3.77071805376437</v>
      </c>
      <c r="AV52" s="9" t="n">
        <f aca="false">IF(AS52&gt;0,AS52^2,0)</f>
        <v>116.064799770582</v>
      </c>
      <c r="AW52" s="7" t="n">
        <f aca="false">IF(AS52&gt;0,AG52,0)</f>
        <v>0.59161189656844</v>
      </c>
      <c r="AX52" s="7" t="n">
        <f aca="false">IF(AS52&gt;0,AH52,1)</f>
        <v>0.092821746725903</v>
      </c>
    </row>
    <row r="53" customFormat="false" ht="15" hidden="false" customHeight="false" outlineLevel="0" collapsed="false">
      <c r="A53" s="5" t="s">
        <v>307</v>
      </c>
      <c r="B53" s="5" t="s">
        <v>279</v>
      </c>
      <c r="C53" s="5" t="s">
        <v>280</v>
      </c>
      <c r="D53" s="5" t="n">
        <v>2025</v>
      </c>
      <c r="E53" s="5" t="s">
        <v>206</v>
      </c>
      <c r="F53" s="5" t="s">
        <v>173</v>
      </c>
      <c r="G53" s="5" t="s">
        <v>281</v>
      </c>
      <c r="H53" s="5" t="s">
        <v>174</v>
      </c>
      <c r="I53" s="5" t="s">
        <v>282</v>
      </c>
      <c r="J53" s="5" t="s">
        <v>189</v>
      </c>
      <c r="K53" s="5" t="s">
        <v>283</v>
      </c>
      <c r="L53" s="5" t="s">
        <v>284</v>
      </c>
      <c r="M53" s="5" t="s">
        <v>285</v>
      </c>
      <c r="N53" s="5" t="s">
        <v>286</v>
      </c>
      <c r="O53" s="5" t="s">
        <v>261</v>
      </c>
      <c r="P53" s="6" t="s">
        <v>82</v>
      </c>
      <c r="Q53" s="6" t="s">
        <v>191</v>
      </c>
      <c r="R53" s="5"/>
      <c r="S53" s="6" t="s">
        <v>308</v>
      </c>
      <c r="T53" s="5" t="s">
        <v>309</v>
      </c>
      <c r="U53" s="6" t="s">
        <v>86</v>
      </c>
      <c r="V53" s="5" t="n">
        <v>23</v>
      </c>
      <c r="W53" s="5"/>
      <c r="X53" s="5"/>
      <c r="Y53" s="5" t="n">
        <v>22</v>
      </c>
      <c r="Z53" s="5"/>
      <c r="AA53" s="5"/>
      <c r="AB53" s="5" t="s">
        <v>289</v>
      </c>
      <c r="AC53" s="5" t="n">
        <v>2.622</v>
      </c>
      <c r="AD53" s="5" t="n">
        <v>1</v>
      </c>
      <c r="AE53" s="7" t="n">
        <f aca="false">IFERROR(IF(AB53="MSD",IF(COUNT(V53,W53,X53,Y53,Z53,AA53)&lt;6,"",(W53-Z53)/SQRT(((V53-1)*X53^2+(Y53-1)*AA53^2)/(V53+Y53-2))*AD53),IF(AB53="t",AC53*SQRT(1/V53+1/Y53)*AD53,IF(AB53="F",SQRT(AC53)*SQRT(1/V53+1/Y53)*AD53,IF(AB53="z",2*(AC53/SQRT(V53+Y53))/SQRT(1-(AC53/SQRT(V53+Y53))^2)*AD53,IF(AB53="t_paired",AC53/SQRT(V53)*AD53,""))))),"")</f>
        <v>0.849292123054777</v>
      </c>
      <c r="AF53" s="7" t="n">
        <f aca="false">IF(AE53="","",IF(AB53="t_paired",1-3/(4*(V53-1)-1),1-3/(4*(V53+Y53)-9)))</f>
        <v>0.982456140350877</v>
      </c>
      <c r="AG53" s="7" t="n">
        <f aca="false">IF(AE53="","",AE53*AF53)</f>
        <v>0.834392261246798</v>
      </c>
      <c r="AH53" s="7" t="n">
        <f aca="false">IF(AG53="","",IF(AB53="t_paired",1/V53+AG53^2/(2*V53),(V53+Y53)/(V53*Y53)+AG53^2/(2*(V53+Y53))))</f>
        <v>0.0966684779422056</v>
      </c>
      <c r="AI53" s="7" t="n">
        <f aca="false">IF(AH53="","",SQRT(AH53))</f>
        <v>0.31091554792613</v>
      </c>
      <c r="AJ53" s="7" t="n">
        <f aca="false">IF(AI53="","",AG53-1.96*AI53)</f>
        <v>0.224997787311584</v>
      </c>
      <c r="AK53" s="7" t="n">
        <f aca="false">IF(AI53="","",AG53+1.96*AI53)</f>
        <v>1.44378673518201</v>
      </c>
      <c r="AL53" s="7" t="n">
        <f aca="false">IF(AI53="","",AG53/AI53)</f>
        <v>2.68366206454571</v>
      </c>
      <c r="AM53" s="8" t="n">
        <f aca="false">IF(AL53="","",2*(1-NORMSDIST(ABS(AL53))))</f>
        <v>0.00728206716156632</v>
      </c>
      <c r="AN53" s="9" t="n">
        <f aca="false">IF(COUNT(V53)=0,"",IF(AB53="t_paired",V53,V53+N(Y53)))</f>
        <v>45</v>
      </c>
      <c r="AO53" s="7" t="n">
        <f aca="false">IF(AH53="","",1/AH53)</f>
        <v>10.3446337553578</v>
      </c>
      <c r="AP53" s="5" t="s">
        <v>88</v>
      </c>
      <c r="AQ53" s="5" t="s">
        <v>290</v>
      </c>
      <c r="AR53" s="5" t="s">
        <v>310</v>
      </c>
      <c r="AS53" s="7" t="n">
        <f aca="false">IF(AND(AP53="Y",ISNUMBER(AO53)),AO53,0)</f>
        <v>10.3446337553578</v>
      </c>
      <c r="AT53" s="7" t="n">
        <f aca="false">IF(AS53&gt;0,AS53*AG53,0)</f>
        <v>8.63148235090294</v>
      </c>
      <c r="AU53" s="7" t="n">
        <f aca="false">IF(AS53&gt;0,AS53*AG53^2,0)</f>
        <v>7.20204207668174</v>
      </c>
      <c r="AV53" s="9" t="n">
        <f aca="false">IF(AS53&gt;0,AS53^2,0)</f>
        <v>107.011447532488</v>
      </c>
      <c r="AW53" s="7" t="n">
        <f aca="false">IF(AS53&gt;0,AG53,0)</f>
        <v>0.834392261246798</v>
      </c>
      <c r="AX53" s="7" t="n">
        <f aca="false">IF(AS53&gt;0,AH53,1)</f>
        <v>0.0966684779422056</v>
      </c>
    </row>
    <row r="54" customFormat="false" ht="15" hidden="false" customHeight="false" outlineLevel="0" collapsed="false">
      <c r="A54" s="5" t="s">
        <v>311</v>
      </c>
      <c r="B54" s="5" t="s">
        <v>279</v>
      </c>
      <c r="C54" s="5" t="s">
        <v>280</v>
      </c>
      <c r="D54" s="5" t="n">
        <v>2025</v>
      </c>
      <c r="E54" s="5" t="s">
        <v>206</v>
      </c>
      <c r="F54" s="5" t="s">
        <v>173</v>
      </c>
      <c r="G54" s="5" t="s">
        <v>281</v>
      </c>
      <c r="H54" s="5" t="s">
        <v>174</v>
      </c>
      <c r="I54" s="5" t="s">
        <v>282</v>
      </c>
      <c r="J54" s="5" t="s">
        <v>189</v>
      </c>
      <c r="K54" s="5" t="s">
        <v>283</v>
      </c>
      <c r="L54" s="5" t="s">
        <v>284</v>
      </c>
      <c r="M54" s="5" t="s">
        <v>285</v>
      </c>
      <c r="N54" s="5" t="s">
        <v>286</v>
      </c>
      <c r="O54" s="5" t="s">
        <v>261</v>
      </c>
      <c r="P54" s="6" t="s">
        <v>82</v>
      </c>
      <c r="Q54" s="6" t="s">
        <v>191</v>
      </c>
      <c r="R54" s="5"/>
      <c r="S54" s="6" t="s">
        <v>312</v>
      </c>
      <c r="T54" s="5" t="s">
        <v>309</v>
      </c>
      <c r="U54" s="6" t="s">
        <v>86</v>
      </c>
      <c r="V54" s="5" t="n">
        <v>23</v>
      </c>
      <c r="W54" s="5"/>
      <c r="X54" s="5"/>
      <c r="Y54" s="5" t="n">
        <v>22</v>
      </c>
      <c r="Z54" s="5"/>
      <c r="AA54" s="5"/>
      <c r="AB54" s="5" t="s">
        <v>289</v>
      </c>
      <c r="AC54" s="5" t="n">
        <v>2.559</v>
      </c>
      <c r="AD54" s="5" t="n">
        <v>1</v>
      </c>
      <c r="AE54" s="7" t="n">
        <f aca="false">IFERROR(IF(AB54="MSD",IF(COUNT(V54,W54,X54,Y54,Z54,AA54)&lt;6,"",(W54-Z54)/SQRT(((V54-1)*X54^2+(Y54-1)*AA54^2)/(V54+Y54-2))*AD54),IF(AB54="t",AC54*SQRT(1/V54+1/Y54)*AD54,IF(AB54="F",SQRT(AC54)*SQRT(1/V54+1/Y54)*AD54,IF(AB54="z",2*(AC54/SQRT(V54+Y54))/SQRT(1-(AC54/SQRT(V54+Y54))^2)*AD54,IF(AB54="t_paired",AC54/SQRT(V54)*AD54,""))))),"")</f>
        <v>0.825360215762402</v>
      </c>
      <c r="AF54" s="7" t="n">
        <f aca="false">IF(AE54="","",IF(AB54="t_paired",1-3/(4*(V54-1)-1),1-3/(4*(V54+Y54)-9)))</f>
        <v>0.982456140350877</v>
      </c>
      <c r="AG54" s="7" t="n">
        <f aca="false">IF(AE54="","",AE54*AF54)</f>
        <v>0.810880211977096</v>
      </c>
      <c r="AH54" s="7" t="n">
        <f aca="false">IF(AG54="","",IF(AB54="t_paired",1/V54+AG54^2/(2*V54),(V54+Y54)/(V54*Y54)+AG54^2/(2*(V54+Y54))))</f>
        <v>0.0962386587482887</v>
      </c>
      <c r="AI54" s="7" t="n">
        <f aca="false">IF(AH54="","",SQRT(AH54))</f>
        <v>0.310223562529168</v>
      </c>
      <c r="AJ54" s="7" t="n">
        <f aca="false">IF(AI54="","",AG54-1.96*AI54)</f>
        <v>0.202842029419927</v>
      </c>
      <c r="AK54" s="7" t="n">
        <f aca="false">IF(AI54="","",AG54+1.96*AI54)</f>
        <v>1.41891839453427</v>
      </c>
      <c r="AL54" s="7" t="n">
        <f aca="false">IF(AI54="","",AG54/AI54)</f>
        <v>2.61385758504677</v>
      </c>
      <c r="AM54" s="8" t="n">
        <f aca="false">IF(AL54="","",2*(1-NORMSDIST(ABS(AL54))))</f>
        <v>0.00895263452377426</v>
      </c>
      <c r="AN54" s="9" t="n">
        <f aca="false">IF(COUNT(V54)=0,"",IF(AB54="t_paired",V54,V54+N(Y54)))</f>
        <v>45</v>
      </c>
      <c r="AO54" s="7" t="n">
        <f aca="false">IF(AH54="","",1/AH54)</f>
        <v>10.3908347539993</v>
      </c>
      <c r="AP54" s="5" t="s">
        <v>88</v>
      </c>
      <c r="AQ54" s="5" t="s">
        <v>290</v>
      </c>
      <c r="AR54" s="5" t="s">
        <v>313</v>
      </c>
      <c r="AS54" s="7" t="n">
        <f aca="false">IF(AND(AP54="Y",ISNUMBER(AO54)),AO54,0)</f>
        <v>10.3908347539993</v>
      </c>
      <c r="AT54" s="7" t="n">
        <f aca="false">IF(AS54&gt;0,AS54*AG54,0)</f>
        <v>8.42572228794196</v>
      </c>
      <c r="AU54" s="7" t="n">
        <f aca="false">IF(AS54&gt;0,AS54*AG54^2,0)</f>
        <v>6.83225147490652</v>
      </c>
      <c r="AV54" s="9" t="n">
        <f aca="false">IF(AS54&gt;0,AS54^2,0)</f>
        <v>107.96944688492</v>
      </c>
      <c r="AW54" s="7" t="n">
        <f aca="false">IF(AS54&gt;0,AG54,0)</f>
        <v>0.810880211977096</v>
      </c>
      <c r="AX54" s="7" t="n">
        <f aca="false">IF(AS54&gt;0,AH54,1)</f>
        <v>0.0962386587482887</v>
      </c>
    </row>
    <row r="55" customFormat="false" ht="15" hidden="false" customHeight="false" outlineLevel="0" collapsed="false">
      <c r="A55" s="5" t="s">
        <v>314</v>
      </c>
      <c r="B55" s="5" t="s">
        <v>279</v>
      </c>
      <c r="C55" s="5" t="s">
        <v>280</v>
      </c>
      <c r="D55" s="5" t="n">
        <v>2025</v>
      </c>
      <c r="E55" s="5" t="s">
        <v>206</v>
      </c>
      <c r="F55" s="5" t="s">
        <v>173</v>
      </c>
      <c r="G55" s="5" t="s">
        <v>281</v>
      </c>
      <c r="H55" s="5" t="s">
        <v>174</v>
      </c>
      <c r="I55" s="5" t="s">
        <v>282</v>
      </c>
      <c r="J55" s="5" t="s">
        <v>189</v>
      </c>
      <c r="K55" s="5" t="s">
        <v>283</v>
      </c>
      <c r="L55" s="5" t="s">
        <v>284</v>
      </c>
      <c r="M55" s="5" t="s">
        <v>285</v>
      </c>
      <c r="N55" s="5" t="s">
        <v>286</v>
      </c>
      <c r="O55" s="5" t="s">
        <v>261</v>
      </c>
      <c r="P55" s="11" t="s">
        <v>113</v>
      </c>
      <c r="Q55" s="11" t="s">
        <v>315</v>
      </c>
      <c r="R55" s="5"/>
      <c r="S55" s="11" t="s">
        <v>316</v>
      </c>
      <c r="T55" s="5" t="s">
        <v>317</v>
      </c>
      <c r="U55" s="11" t="s">
        <v>86</v>
      </c>
      <c r="V55" s="5" t="n">
        <v>23</v>
      </c>
      <c r="W55" s="5"/>
      <c r="X55" s="5"/>
      <c r="Y55" s="5" t="n">
        <v>22</v>
      </c>
      <c r="Z55" s="5"/>
      <c r="AA55" s="5"/>
      <c r="AB55" s="5" t="s">
        <v>289</v>
      </c>
      <c r="AC55" s="5" t="n">
        <v>2.331</v>
      </c>
      <c r="AD55" s="5" t="n">
        <v>1</v>
      </c>
      <c r="AE55" s="7" t="n">
        <f aca="false">IFERROR(IF(AB55="MSD",IF(COUNT(V55,W55,X55,Y55,Z55,AA55)&lt;6,"",(W55-Z55)/SQRT(((V55-1)*X55^2+(Y55-1)*AA55^2)/(V55+Y55-2))*AD55),IF(AB55="t",AC55*SQRT(1/V55+1/Y55)*AD55,IF(AB55="F",SQRT(AC55)*SQRT(1/V55+1/Y55)*AD55,IF(AB55="z",2*(AC55/SQRT(V55+Y55))/SQRT(1-(AC55/SQRT(V55+Y55))^2)*AD55,IF(AB55="t_paired",AC55/SQRT(V55)*AD55,""))))),"")</f>
        <v>0.741154562660327</v>
      </c>
      <c r="AF55" s="7" t="n">
        <f aca="false">IF(AE55="","",IF(AB55="t_paired",1-3/(4*(V55-1)-1),1-3/(4*(V55+Y55)-9)))</f>
        <v>0.982456140350877</v>
      </c>
      <c r="AG55" s="7" t="n">
        <f aca="false">IF(AE55="","",AE55*AF55)</f>
        <v>0.728151851034707</v>
      </c>
      <c r="AH55" s="7" t="n">
        <f aca="false">IF(AG55="","",IF(AB55="t_paired",1/V55+AG55^2/(2*V55),(V55+Y55)/(V55*Y55)+AG55^2/(2*(V55+Y55))))</f>
        <v>0.0948239743037248</v>
      </c>
      <c r="AI55" s="7" t="n">
        <f aca="false">IF(AH55="","",SQRT(AH55))</f>
        <v>0.307935016365019</v>
      </c>
      <c r="AJ55" s="7" t="n">
        <f aca="false">IF(AI55="","",AG55-1.96*AI55)</f>
        <v>0.124599218959269</v>
      </c>
      <c r="AK55" s="7" t="n">
        <f aca="false">IF(AI55="","",AG55+1.96*AI55)</f>
        <v>1.33170448311015</v>
      </c>
      <c r="AL55" s="7" t="n">
        <f aca="false">IF(AI55="","",AG55/AI55)</f>
        <v>2.36462828953357</v>
      </c>
      <c r="AM55" s="8" t="n">
        <f aca="false">IF(AL55="","",2*(1-NORMSDIST(ABS(AL55))))</f>
        <v>0.018048175257392</v>
      </c>
      <c r="AN55" s="9" t="n">
        <f aca="false">IF(COUNT(V55)=0,"",IF(AB55="t_paired",V55,V55+N(Y55)))</f>
        <v>45</v>
      </c>
      <c r="AO55" s="7" t="n">
        <f aca="false">IF(AH55="","",1/AH55)</f>
        <v>10.5458562282674</v>
      </c>
      <c r="AP55" s="5" t="s">
        <v>88</v>
      </c>
      <c r="AQ55" s="5" t="s">
        <v>290</v>
      </c>
      <c r="AR55" s="5" t="s">
        <v>318</v>
      </c>
      <c r="AS55" s="7" t="n">
        <f aca="false">IF(AND(AP55="Y",ISNUMBER(AO55)),AO55,0)</f>
        <v>10.5458562282674</v>
      </c>
      <c r="AT55" s="7" t="n">
        <f aca="false">IF(AS55&gt;0,AS55*AG55,0)</f>
        <v>7.67898473335877</v>
      </c>
      <c r="AU55" s="7" t="n">
        <f aca="false">IF(AS55&gt;0,AS55*AG55^2,0)</f>
        <v>5.59146694766245</v>
      </c>
      <c r="AV55" s="9" t="n">
        <f aca="false">IF(AS55&gt;0,AS55^2,0)</f>
        <v>111.215083587285</v>
      </c>
      <c r="AW55" s="7" t="n">
        <f aca="false">IF(AS55&gt;0,AG55,0)</f>
        <v>0.728151851034707</v>
      </c>
      <c r="AX55" s="7" t="n">
        <f aca="false">IF(AS55&gt;0,AH55,1)</f>
        <v>0.0948239743037248</v>
      </c>
    </row>
    <row r="56" customFormat="false" ht="15" hidden="false" customHeight="false" outlineLevel="0" collapsed="false">
      <c r="A56" s="5" t="s">
        <v>319</v>
      </c>
      <c r="B56" s="5" t="s">
        <v>279</v>
      </c>
      <c r="C56" s="5" t="s">
        <v>280</v>
      </c>
      <c r="D56" s="5" t="n">
        <v>2025</v>
      </c>
      <c r="E56" s="5" t="s">
        <v>206</v>
      </c>
      <c r="F56" s="5" t="s">
        <v>173</v>
      </c>
      <c r="G56" s="5" t="s">
        <v>281</v>
      </c>
      <c r="H56" s="5" t="s">
        <v>174</v>
      </c>
      <c r="I56" s="5" t="s">
        <v>282</v>
      </c>
      <c r="J56" s="5" t="s">
        <v>189</v>
      </c>
      <c r="K56" s="5" t="s">
        <v>283</v>
      </c>
      <c r="L56" s="5" t="s">
        <v>284</v>
      </c>
      <c r="M56" s="5" t="s">
        <v>285</v>
      </c>
      <c r="N56" s="5" t="s">
        <v>286</v>
      </c>
      <c r="O56" s="5" t="s">
        <v>261</v>
      </c>
      <c r="P56" s="11" t="s">
        <v>113</v>
      </c>
      <c r="Q56" s="11" t="s">
        <v>315</v>
      </c>
      <c r="R56" s="5"/>
      <c r="S56" s="11" t="s">
        <v>320</v>
      </c>
      <c r="T56" s="5" t="s">
        <v>317</v>
      </c>
      <c r="U56" s="11" t="s">
        <v>86</v>
      </c>
      <c r="V56" s="5" t="n">
        <v>23</v>
      </c>
      <c r="W56" s="5"/>
      <c r="X56" s="5"/>
      <c r="Y56" s="5" t="n">
        <v>22</v>
      </c>
      <c r="Z56" s="5"/>
      <c r="AA56" s="5"/>
      <c r="AB56" s="5" t="s">
        <v>289</v>
      </c>
      <c r="AC56" s="5" t="n">
        <v>2.176</v>
      </c>
      <c r="AD56" s="5" t="n">
        <v>1</v>
      </c>
      <c r="AE56" s="7" t="n">
        <f aca="false">IFERROR(IF(AB56="MSD",IF(COUNT(V56,W56,X56,Y56,Z56,AA56)&lt;6,"",(W56-Z56)/SQRT(((V56-1)*X56^2+(Y56-1)*AA56^2)/(V56+Y56-2))*AD56),IF(AB56="t",AC56*SQRT(1/V56+1/Y56)*AD56,IF(AB56="F",SQRT(AC56)*SQRT(1/V56+1/Y56)*AD56,IF(AB56="z",2*(AC56/SQRT(V56+Y56))/SQRT(1-(AC56/SQRT(V56+Y56))^2)*AD56,IF(AB56="t_paired",AC56/SQRT(V56)*AD56,""))))),"")</f>
        <v>0.685843308168214</v>
      </c>
      <c r="AF56" s="7" t="n">
        <f aca="false">IF(AE56="","",IF(AB56="t_paired",1-3/(4*(V56-1)-1),1-3/(4*(V56+Y56)-9)))</f>
        <v>0.982456140350877</v>
      </c>
      <c r="AG56" s="7" t="n">
        <f aca="false">IF(AE56="","",AE56*AF56)</f>
        <v>0.673810969428421</v>
      </c>
      <c r="AH56" s="7" t="n">
        <f aca="false">IF(AG56="","",IF(AB56="t_paired",1/V56+AG56^2/(2*V56),(V56+Y56)/(V56*Y56)+AG56^2/(2*(V56+Y56))))</f>
        <v>0.0939774865743559</v>
      </c>
      <c r="AI56" s="7" t="n">
        <f aca="false">IF(AH56="","",SQRT(AH56))</f>
        <v>0.306557476787561</v>
      </c>
      <c r="AJ56" s="7" t="n">
        <f aca="false">IF(AI56="","",AG56-1.96*AI56)</f>
        <v>0.0729583149248018</v>
      </c>
      <c r="AK56" s="7" t="n">
        <f aca="false">IF(AI56="","",AG56+1.96*AI56)</f>
        <v>1.27466362393204</v>
      </c>
      <c r="AL56" s="7" t="n">
        <f aca="false">IF(AI56="","",AG56/AI56)</f>
        <v>2.19799228676246</v>
      </c>
      <c r="AM56" s="8" t="n">
        <f aca="false">IF(AL56="","",2*(1-NORMSDIST(ABS(AL56))))</f>
        <v>0.0279496556029288</v>
      </c>
      <c r="AN56" s="9" t="n">
        <f aca="false">IF(COUNT(V56)=0,"",IF(AB56="t_paired",V56,V56+N(Y56)))</f>
        <v>45</v>
      </c>
      <c r="AO56" s="7" t="n">
        <f aca="false">IF(AH56="","",1/AH56)</f>
        <v>10.6408464032371</v>
      </c>
      <c r="AP56" s="5" t="s">
        <v>88</v>
      </c>
      <c r="AQ56" s="5" t="s">
        <v>290</v>
      </c>
      <c r="AR56" s="5" t="s">
        <v>318</v>
      </c>
      <c r="AS56" s="7" t="n">
        <f aca="false">IF(AND(AP56="Y",ISNUMBER(AO56)),AO56,0)</f>
        <v>10.6408464032371</v>
      </c>
      <c r="AT56" s="7" t="n">
        <f aca="false">IF(AS56&gt;0,AS56*AG56,0)</f>
        <v>7.16991903050413</v>
      </c>
      <c r="AU56" s="7" t="n">
        <f aca="false">IF(AS56&gt;0,AS56*AG56^2,0)</f>
        <v>4.83117009266727</v>
      </c>
      <c r="AV56" s="9" t="n">
        <f aca="false">IF(AS56&gt;0,AS56^2,0)</f>
        <v>113.227612177284</v>
      </c>
      <c r="AW56" s="7" t="n">
        <f aca="false">IF(AS56&gt;0,AG56,0)</f>
        <v>0.673810969428421</v>
      </c>
      <c r="AX56" s="7" t="n">
        <f aca="false">IF(AS56&gt;0,AH56,1)</f>
        <v>0.0939774865743559</v>
      </c>
    </row>
    <row r="57" customFormat="false" ht="15" hidden="false" customHeight="false" outlineLevel="0" collapsed="false">
      <c r="A57" s="5" t="s">
        <v>321</v>
      </c>
      <c r="B57" s="5" t="s">
        <v>279</v>
      </c>
      <c r="C57" s="5" t="s">
        <v>280</v>
      </c>
      <c r="D57" s="5" t="n">
        <v>2025</v>
      </c>
      <c r="E57" s="5" t="s">
        <v>206</v>
      </c>
      <c r="F57" s="5" t="s">
        <v>173</v>
      </c>
      <c r="G57" s="5" t="s">
        <v>281</v>
      </c>
      <c r="H57" s="5" t="s">
        <v>174</v>
      </c>
      <c r="I57" s="5" t="s">
        <v>282</v>
      </c>
      <c r="J57" s="5" t="s">
        <v>189</v>
      </c>
      <c r="K57" s="5" t="s">
        <v>283</v>
      </c>
      <c r="L57" s="5" t="s">
        <v>284</v>
      </c>
      <c r="M57" s="5" t="s">
        <v>285</v>
      </c>
      <c r="N57" s="5" t="s">
        <v>286</v>
      </c>
      <c r="O57" s="5" t="s">
        <v>261</v>
      </c>
      <c r="P57" s="11" t="s">
        <v>113</v>
      </c>
      <c r="Q57" s="11" t="s">
        <v>315</v>
      </c>
      <c r="R57" s="5"/>
      <c r="S57" s="11" t="s">
        <v>322</v>
      </c>
      <c r="T57" s="5" t="s">
        <v>317</v>
      </c>
      <c r="U57" s="11" t="s">
        <v>86</v>
      </c>
      <c r="V57" s="5" t="n">
        <v>23</v>
      </c>
      <c r="W57" s="5"/>
      <c r="X57" s="5"/>
      <c r="Y57" s="5" t="n">
        <v>22</v>
      </c>
      <c r="Z57" s="5"/>
      <c r="AA57" s="5"/>
      <c r="AB57" s="5" t="s">
        <v>289</v>
      </c>
      <c r="AC57" s="5" t="n">
        <v>2.725</v>
      </c>
      <c r="AD57" s="5" t="n">
        <v>1</v>
      </c>
      <c r="AE57" s="7" t="n">
        <f aca="false">IFERROR(IF(AB57="MSD",IF(COUNT(V57,W57,X57,Y57,Z57,AA57)&lt;6,"",(W57-Z57)/SQRT(((V57-1)*X57^2+(Y57-1)*AA57^2)/(V57+Y57-2))*AD57),IF(AB57="t",AC57*SQRT(1/V57+1/Y57)*AD57,IF(AB57="F",SQRT(AC57)*SQRT(1/V57+1/Y57)*AD57,IF(AB57="z",2*(AC57/SQRT(V57+Y57))/SQRT(1-(AC57/SQRT(V57+Y57))^2)*AD57,IF(AB57="t_paired",AC57/SQRT(V57)*AD57,""))))),"")</f>
        <v>0.889100019097672</v>
      </c>
      <c r="AF57" s="7" t="n">
        <f aca="false">IF(AE57="","",IF(AB57="t_paired",1-3/(4*(V57-1)-1),1-3/(4*(V57+Y57)-9)))</f>
        <v>0.982456140350877</v>
      </c>
      <c r="AG57" s="7" t="n">
        <f aca="false">IF(AE57="","",AE57*AF57)</f>
        <v>0.87350177314859</v>
      </c>
      <c r="AH57" s="7" t="n">
        <f aca="false">IF(AG57="","",IF(AB57="t_paired",1/V57+AG57^2/(2*V57),(V57+Y57)/(V57*Y57)+AG57^2/(2*(V57+Y57))))</f>
        <v>0.0974106435207077</v>
      </c>
      <c r="AI57" s="7" t="n">
        <f aca="false">IF(AH57="","",SQRT(AH57))</f>
        <v>0.312106782240802</v>
      </c>
      <c r="AJ57" s="7" t="n">
        <f aca="false">IF(AI57="","",AG57-1.96*AI57)</f>
        <v>0.261772479956617</v>
      </c>
      <c r="AK57" s="7" t="n">
        <f aca="false">IF(AI57="","",AG57+1.96*AI57)</f>
        <v>1.48523106634056</v>
      </c>
      <c r="AL57" s="7" t="n">
        <f aca="false">IF(AI57="","",AG57/AI57)</f>
        <v>2.79872730376826</v>
      </c>
      <c r="AM57" s="8" t="n">
        <f aca="false">IF(AL57="","",2*(1-NORMSDIST(ABS(AL57))))</f>
        <v>0.00513044452796096</v>
      </c>
      <c r="AN57" s="9" t="n">
        <f aca="false">IF(COUNT(V57)=0,"",IF(AB57="t_paired",V57,V57+N(Y57)))</f>
        <v>45</v>
      </c>
      <c r="AO57" s="7" t="n">
        <f aca="false">IF(AH57="","",1/AH57)</f>
        <v>10.2658186401101</v>
      </c>
      <c r="AP57" s="5" t="s">
        <v>88</v>
      </c>
      <c r="AQ57" s="5" t="s">
        <v>290</v>
      </c>
      <c r="AR57" s="5" t="s">
        <v>318</v>
      </c>
      <c r="AS57" s="7" t="n">
        <f aca="false">IF(AND(AP57="Y",ISNUMBER(AO57)),AO57,0)</f>
        <v>10.2658186401101</v>
      </c>
      <c r="AT57" s="7" t="n">
        <f aca="false">IF(AS57&gt;0,AS57*AG57,0)</f>
        <v>8.96721078495801</v>
      </c>
      <c r="AU57" s="7" t="n">
        <f aca="false">IF(AS57&gt;0,AS57*AG57^2,0)</f>
        <v>7.83287452085798</v>
      </c>
      <c r="AV57" s="9" t="n">
        <f aca="false">IF(AS57&gt;0,AS57^2,0)</f>
        <v>105.387032351632</v>
      </c>
      <c r="AW57" s="7" t="n">
        <f aca="false">IF(AS57&gt;0,AG57,0)</f>
        <v>0.87350177314859</v>
      </c>
      <c r="AX57" s="7" t="n">
        <f aca="false">IF(AS57&gt;0,AH57,1)</f>
        <v>0.0974106435207077</v>
      </c>
    </row>
    <row r="58" customFormat="false" ht="15" hidden="false" customHeight="false" outlineLevel="0" collapsed="false">
      <c r="A58" s="5" t="s">
        <v>323</v>
      </c>
      <c r="B58" s="5" t="s">
        <v>279</v>
      </c>
      <c r="C58" s="5" t="s">
        <v>280</v>
      </c>
      <c r="D58" s="5" t="n">
        <v>2025</v>
      </c>
      <c r="E58" s="5" t="s">
        <v>206</v>
      </c>
      <c r="F58" s="5" t="s">
        <v>173</v>
      </c>
      <c r="G58" s="5" t="s">
        <v>281</v>
      </c>
      <c r="H58" s="5" t="s">
        <v>174</v>
      </c>
      <c r="I58" s="5" t="s">
        <v>282</v>
      </c>
      <c r="J58" s="5" t="s">
        <v>189</v>
      </c>
      <c r="K58" s="5" t="s">
        <v>283</v>
      </c>
      <c r="L58" s="5" t="s">
        <v>284</v>
      </c>
      <c r="M58" s="5" t="s">
        <v>285</v>
      </c>
      <c r="N58" s="5" t="s">
        <v>286</v>
      </c>
      <c r="O58" s="5" t="s">
        <v>261</v>
      </c>
      <c r="P58" s="11" t="s">
        <v>113</v>
      </c>
      <c r="Q58" s="11" t="s">
        <v>315</v>
      </c>
      <c r="R58" s="5"/>
      <c r="S58" s="11" t="s">
        <v>324</v>
      </c>
      <c r="T58" s="5" t="s">
        <v>317</v>
      </c>
      <c r="U58" s="11" t="s">
        <v>86</v>
      </c>
      <c r="V58" s="5" t="n">
        <v>23</v>
      </c>
      <c r="W58" s="5"/>
      <c r="X58" s="5"/>
      <c r="Y58" s="5" t="n">
        <v>22</v>
      </c>
      <c r="Z58" s="5"/>
      <c r="AA58" s="5"/>
      <c r="AB58" s="5" t="s">
        <v>289</v>
      </c>
      <c r="AC58" s="5" t="n">
        <v>1.596</v>
      </c>
      <c r="AD58" s="5" t="n">
        <v>1</v>
      </c>
      <c r="AE58" s="7" t="n">
        <f aca="false">IFERROR(IF(AB58="MSD",IF(COUNT(V58,W58,X58,Y58,Z58,AA58)&lt;6,"",(W58-Z58)/SQRT(((V58-1)*X58^2+(Y58-1)*AA58^2)/(V58+Y58-2))*AD58),IF(AB58="t",AC58*SQRT(1/V58+1/Y58)*AD58,IF(AB58="F",SQRT(AC58)*SQRT(1/V58+1/Y58)*AD58,IF(AB58="z",2*(AC58/SQRT(V58+Y58))/SQRT(1-(AC58/SQRT(V58+Y58))^2)*AD58,IF(AB58="t_paired",AC58/SQRT(V58)*AD58,""))))),"")</f>
        <v>0.489902656785018</v>
      </c>
      <c r="AF58" s="7" t="n">
        <f aca="false">IF(AE58="","",IF(AB58="t_paired",1-3/(4*(V58-1)-1),1-3/(4*(V58+Y58)-9)))</f>
        <v>0.982456140350877</v>
      </c>
      <c r="AG58" s="7" t="n">
        <f aca="false">IF(AE58="","",AE58*AF58)</f>
        <v>0.481307873332649</v>
      </c>
      <c r="AH58" s="7" t="n">
        <f aca="false">IF(AG58="","",IF(AB58="t_paired",1/V58+AG58^2/(2*V58),(V58+Y58)/(V58*Y58)+AG58^2/(2*(V58+Y58))))</f>
        <v>0.0915067759789107</v>
      </c>
      <c r="AI58" s="7" t="n">
        <f aca="false">IF(AH58="","",SQRT(AH58))</f>
        <v>0.30250086938538</v>
      </c>
      <c r="AJ58" s="7" t="n">
        <f aca="false">IF(AI58="","",AG58-1.96*AI58)</f>
        <v>-0.111593830662695</v>
      </c>
      <c r="AK58" s="7" t="n">
        <f aca="false">IF(AI58="","",AG58+1.96*AI58)</f>
        <v>1.07420957732799</v>
      </c>
      <c r="AL58" s="7" t="n">
        <f aca="false">IF(AI58="","",AG58/AI58)</f>
        <v>1.59109583489981</v>
      </c>
      <c r="AM58" s="8" t="n">
        <f aca="false">IF(AL58="","",2*(1-NORMSDIST(ABS(AL58))))</f>
        <v>0.111588009750227</v>
      </c>
      <c r="AN58" s="9" t="n">
        <f aca="false">IF(COUNT(V58)=0,"",IF(AB58="t_paired",V58,V58+N(Y58)))</f>
        <v>45</v>
      </c>
      <c r="AO58" s="7" t="n">
        <f aca="false">IF(AH58="","",1/AH58)</f>
        <v>10.928152470703</v>
      </c>
      <c r="AP58" s="5" t="s">
        <v>88</v>
      </c>
      <c r="AQ58" s="5" t="s">
        <v>290</v>
      </c>
      <c r="AR58" s="5" t="s">
        <v>325</v>
      </c>
      <c r="AS58" s="7" t="n">
        <f aca="false">IF(AND(AP58="Y",ISNUMBER(AO58)),AO58,0)</f>
        <v>10.928152470703</v>
      </c>
      <c r="AT58" s="7" t="n">
        <f aca="false">IF(AS58&gt;0,AS58*AG58,0)</f>
        <v>5.25980582512901</v>
      </c>
      <c r="AU58" s="7" t="n">
        <f aca="false">IF(AS58&gt;0,AS58*AG58^2,0)</f>
        <v>2.53158595583552</v>
      </c>
      <c r="AV58" s="9" t="n">
        <f aca="false">IF(AS58&gt;0,AS58^2,0)</f>
        <v>119.424516422932</v>
      </c>
      <c r="AW58" s="7" t="n">
        <f aca="false">IF(AS58&gt;0,AG58,0)</f>
        <v>0.481307873332649</v>
      </c>
      <c r="AX58" s="7" t="n">
        <f aca="false">IF(AS58&gt;0,AH58,1)</f>
        <v>0.0915067759789107</v>
      </c>
    </row>
    <row r="59" customFormat="false" ht="15" hidden="false" customHeight="false" outlineLevel="0" collapsed="false">
      <c r="A59" s="5" t="s">
        <v>326</v>
      </c>
      <c r="B59" s="5" t="s">
        <v>327</v>
      </c>
      <c r="C59" s="5" t="s">
        <v>328</v>
      </c>
      <c r="D59" s="5" t="n">
        <v>2025</v>
      </c>
      <c r="E59" s="5" t="s">
        <v>329</v>
      </c>
      <c r="F59" s="5" t="s">
        <v>159</v>
      </c>
      <c r="G59" s="5" t="s">
        <v>160</v>
      </c>
      <c r="H59" s="5" t="s">
        <v>74</v>
      </c>
      <c r="I59" s="5" t="s">
        <v>200</v>
      </c>
      <c r="J59" s="5" t="s">
        <v>162</v>
      </c>
      <c r="K59" s="5" t="s">
        <v>163</v>
      </c>
      <c r="L59" s="5" t="s">
        <v>164</v>
      </c>
      <c r="M59" s="5"/>
      <c r="N59" s="5"/>
      <c r="O59" s="5" t="s">
        <v>162</v>
      </c>
      <c r="P59" s="10" t="s">
        <v>82</v>
      </c>
      <c r="Q59" s="10" t="s">
        <v>83</v>
      </c>
      <c r="R59" s="5"/>
      <c r="S59" s="10" t="s">
        <v>330</v>
      </c>
      <c r="T59" s="5" t="s">
        <v>213</v>
      </c>
      <c r="U59" s="10" t="s">
        <v>98</v>
      </c>
      <c r="V59" s="5" t="n">
        <v>45</v>
      </c>
      <c r="W59" s="5" t="n">
        <v>4.02</v>
      </c>
      <c r="X59" s="5" t="n">
        <v>0.812</v>
      </c>
      <c r="Y59" s="5" t="n">
        <v>45</v>
      </c>
      <c r="Z59" s="5" t="n">
        <v>4.04</v>
      </c>
      <c r="AA59" s="5" t="n">
        <v>0.824</v>
      </c>
      <c r="AB59" s="5" t="s">
        <v>99</v>
      </c>
      <c r="AC59" s="5"/>
      <c r="AD59" s="5" t="n">
        <v>1</v>
      </c>
      <c r="AE59" s="7" t="n">
        <f aca="false">IFERROR(IF(AB59="MSD",IF(COUNT(V59,W59,X59,Y59,Z59,AA59)&lt;6,"",(W59-Z59)/SQRT(((V59-1)*X59^2+(Y59-1)*AA59^2)/(V59+Y59-2))*AD59),IF(AB59="t",AC59*SQRT(1/V59+1/Y59)*AD59,IF(AB59="F",SQRT(AC59)*SQRT(1/V59+1/Y59)*AD59,IF(AB59="z",2*(AC59/SQRT(V59+Y59))/SQRT(1-(AC59/SQRT(V59+Y59))^2)*AD59,IF(AB59="t_paired",AC59/SQRT(V59)*AD59,""))))),"")</f>
        <v>-0.0244492200548158</v>
      </c>
      <c r="AF59" s="7" t="n">
        <f aca="false">IF(AE59="","",IF(AB59="t_paired",1-3/(4*(V59-1)-1),1-3/(4*(V59+Y59)-9)))</f>
        <v>0.991452991452992</v>
      </c>
      <c r="AG59" s="7" t="n">
        <f aca="false">IF(AE59="","",AE59*AF59)</f>
        <v>-0.0242402523620396</v>
      </c>
      <c r="AH59" s="7" t="n">
        <f aca="false">IF(AG59="","",IF(AB59="t_paired",1/V59+AG59^2/(2*V59),(V59+Y59)/(V59*Y59)+AG59^2/(2*(V59+Y59))))</f>
        <v>0.0444477088324143</v>
      </c>
      <c r="AI59" s="7" t="n">
        <f aca="false">IF(AH59="","",SQRT(AH59))</f>
        <v>0.210826252711597</v>
      </c>
      <c r="AJ59" s="7" t="n">
        <f aca="false">IF(AI59="","",AG59-1.96*AI59)</f>
        <v>-0.43745970767677</v>
      </c>
      <c r="AK59" s="7" t="n">
        <f aca="false">IF(AI59="","",AG59+1.96*AI59)</f>
        <v>0.388979202952691</v>
      </c>
      <c r="AL59" s="7" t="n">
        <f aca="false">IF(AI59="","",AG59/AI59)</f>
        <v>-0.114977390387901</v>
      </c>
      <c r="AM59" s="8" t="n">
        <f aca="false">IF(AL59="","",2*(1-NORMSDIST(ABS(AL59))))</f>
        <v>0.908463043033049</v>
      </c>
      <c r="AN59" s="9" t="n">
        <f aca="false">IF(COUNT(V59)=0,"",IF(AB59="t_paired",V59,V59+N(Y59)))</f>
        <v>90</v>
      </c>
      <c r="AO59" s="7" t="n">
        <f aca="false">IF(AH59="","",1/AH59)</f>
        <v>22.4983475249624</v>
      </c>
      <c r="AP59" s="5" t="s">
        <v>100</v>
      </c>
      <c r="AQ59" s="5" t="s">
        <v>167</v>
      </c>
      <c r="AR59" s="5"/>
      <c r="AS59" s="9" t="n">
        <f aca="false">IF(AND(AP59="Y",ISNUMBER(AO59)),AO59,0)</f>
        <v>0</v>
      </c>
      <c r="AT59" s="7" t="n">
        <f aca="false">IF(AS59&gt;0,AS59*AG59,0)</f>
        <v>0</v>
      </c>
      <c r="AU59" s="7" t="n">
        <f aca="false">IF(AS59&gt;0,AS59*AG59^2,0)</f>
        <v>0</v>
      </c>
      <c r="AV59" s="9" t="n">
        <f aca="false">IF(AS59&gt;0,AS59^2,0)</f>
        <v>0</v>
      </c>
      <c r="AW59" s="7" t="n">
        <f aca="false">IF(AS59&gt;0,AG59,0)</f>
        <v>0</v>
      </c>
      <c r="AX59" s="7" t="n">
        <f aca="false">IF(AS59&gt;0,AH59,1)</f>
        <v>1</v>
      </c>
    </row>
    <row r="60" customFormat="false" ht="15" hidden="false" customHeight="false" outlineLevel="0" collapsed="false">
      <c r="A60" s="5" t="s">
        <v>331</v>
      </c>
      <c r="B60" s="5" t="s">
        <v>327</v>
      </c>
      <c r="C60" s="5" t="s">
        <v>328</v>
      </c>
      <c r="D60" s="5" t="n">
        <v>2025</v>
      </c>
      <c r="E60" s="5" t="s">
        <v>329</v>
      </c>
      <c r="F60" s="5" t="s">
        <v>159</v>
      </c>
      <c r="G60" s="5" t="s">
        <v>160</v>
      </c>
      <c r="H60" s="5" t="s">
        <v>74</v>
      </c>
      <c r="I60" s="5" t="s">
        <v>200</v>
      </c>
      <c r="J60" s="5" t="s">
        <v>162</v>
      </c>
      <c r="K60" s="5" t="s">
        <v>163</v>
      </c>
      <c r="L60" s="5" t="s">
        <v>164</v>
      </c>
      <c r="M60" s="5"/>
      <c r="N60" s="5"/>
      <c r="O60" s="5" t="s">
        <v>162</v>
      </c>
      <c r="P60" s="6" t="s">
        <v>82</v>
      </c>
      <c r="Q60" s="6" t="s">
        <v>83</v>
      </c>
      <c r="R60" s="5"/>
      <c r="S60" s="6" t="s">
        <v>330</v>
      </c>
      <c r="T60" s="5" t="s">
        <v>213</v>
      </c>
      <c r="U60" s="6" t="s">
        <v>86</v>
      </c>
      <c r="V60" s="5" t="n">
        <v>45</v>
      </c>
      <c r="W60" s="5" t="n">
        <v>8.51</v>
      </c>
      <c r="X60" s="5" t="n">
        <v>0.869</v>
      </c>
      <c r="Y60" s="5" t="n">
        <v>45</v>
      </c>
      <c r="Z60" s="5" t="n">
        <v>4.49</v>
      </c>
      <c r="AA60" s="5" t="n">
        <v>0.944</v>
      </c>
      <c r="AB60" s="5" t="s">
        <v>99</v>
      </c>
      <c r="AC60" s="5"/>
      <c r="AD60" s="5" t="n">
        <v>1</v>
      </c>
      <c r="AE60" s="7" t="n">
        <f aca="false">IFERROR(IF(AB60="MSD",IF(COUNT(V60,W60,X60,Y60,Z60,AA60)&lt;6,"",(W60-Z60)/SQRT(((V60-1)*X60^2+(Y60-1)*AA60^2)/(V60+Y60-2))*AD60),IF(AB60="t",AC60*SQRT(1/V60+1/Y60)*AD60,IF(AB60="F",SQRT(AC60)*SQRT(1/V60+1/Y60)*AD60,IF(AB60="z",2*(AC60/SQRT(V60+Y60))/SQRT(1-(AC60/SQRT(V60+Y60))^2)*AD60,IF(AB60="t_paired",AC60/SQRT(V60)*AD60,""))))),"")</f>
        <v>4.43084907824614</v>
      </c>
      <c r="AF60" s="7" t="n">
        <f aca="false">IF(AE60="","",IF(AB60="t_paired",1-3/(4*(V60-1)-1),1-3/(4*(V60+Y60)-9)))</f>
        <v>0.991452991452992</v>
      </c>
      <c r="AG60" s="7" t="n">
        <f aca="false">IF(AE60="","",AE60*AF60)</f>
        <v>4.39297857330386</v>
      </c>
      <c r="AH60" s="7" t="n">
        <f aca="false">IF(AG60="","",IF(AB60="t_paired",1/V60+AG60^2/(2*V60),(V60+Y60)/(V60*Y60)+AG60^2/(2*(V60+Y60))))</f>
        <v>0.151657004141705</v>
      </c>
      <c r="AI60" s="7" t="n">
        <f aca="false">IF(AH60="","",SQRT(AH60))</f>
        <v>0.389431642450514</v>
      </c>
      <c r="AJ60" s="7" t="n">
        <f aca="false">IF(AI60="","",AG60-1.96*AI60)</f>
        <v>3.62969255410086</v>
      </c>
      <c r="AK60" s="7" t="n">
        <f aca="false">IF(AI60="","",AG60+1.96*AI60)</f>
        <v>5.15626459250687</v>
      </c>
      <c r="AL60" s="7" t="n">
        <f aca="false">IF(AI60="","",AG60/AI60)</f>
        <v>11.2804869826727</v>
      </c>
      <c r="AM60" s="8" t="n">
        <f aca="false">IF(AL60="","",2*(1-NORMSDIST(ABS(AL60))))</f>
        <v>0</v>
      </c>
      <c r="AN60" s="9" t="n">
        <f aca="false">IF(COUNT(V60)=0,"",IF(AB60="t_paired",V60,V60+N(Y60)))</f>
        <v>90</v>
      </c>
      <c r="AO60" s="7" t="n">
        <f aca="false">IF(AH60="","",1/AH60)</f>
        <v>6.59382667921901</v>
      </c>
      <c r="AP60" s="5" t="s">
        <v>88</v>
      </c>
      <c r="AQ60" s="5" t="s">
        <v>167</v>
      </c>
      <c r="AR60" s="5"/>
      <c r="AS60" s="7" t="n">
        <f aca="false">IF(AND(AP60="Y",ISNUMBER(AO60)),AO60,0)</f>
        <v>6.59382667921901</v>
      </c>
      <c r="AT60" s="7" t="n">
        <f aca="false">IF(AS60&gt;0,AS60*AG60,0)</f>
        <v>28.9665393178885</v>
      </c>
      <c r="AU60" s="7" t="n">
        <f aca="false">IF(AS60&gt;0,AS60*AG60^2,0)</f>
        <v>127.249386566248</v>
      </c>
      <c r="AV60" s="9" t="n">
        <f aca="false">IF(AS60&gt;0,AS60^2,0)</f>
        <v>43.4785502755803</v>
      </c>
      <c r="AW60" s="7" t="n">
        <f aca="false">IF(AS60&gt;0,AG60,0)</f>
        <v>4.39297857330386</v>
      </c>
      <c r="AX60" s="7" t="n">
        <f aca="false">IF(AS60&gt;0,AH60,1)</f>
        <v>0.151657004141705</v>
      </c>
    </row>
    <row r="61" customFormat="false" ht="15" hidden="false" customHeight="false" outlineLevel="0" collapsed="false">
      <c r="A61" s="5" t="s">
        <v>332</v>
      </c>
      <c r="B61" s="5" t="s">
        <v>327</v>
      </c>
      <c r="C61" s="5" t="s">
        <v>328</v>
      </c>
      <c r="D61" s="5" t="n">
        <v>2025</v>
      </c>
      <c r="E61" s="5" t="s">
        <v>329</v>
      </c>
      <c r="F61" s="5" t="s">
        <v>159</v>
      </c>
      <c r="G61" s="5" t="s">
        <v>160</v>
      </c>
      <c r="H61" s="5" t="s">
        <v>74</v>
      </c>
      <c r="I61" s="5" t="s">
        <v>200</v>
      </c>
      <c r="J61" s="5" t="s">
        <v>162</v>
      </c>
      <c r="K61" s="5" t="s">
        <v>163</v>
      </c>
      <c r="L61" s="5" t="s">
        <v>164</v>
      </c>
      <c r="M61" s="5"/>
      <c r="N61" s="5"/>
      <c r="O61" s="5" t="s">
        <v>162</v>
      </c>
      <c r="P61" s="10" t="s">
        <v>82</v>
      </c>
      <c r="Q61" s="10" t="s">
        <v>103</v>
      </c>
      <c r="R61" s="5"/>
      <c r="S61" s="10" t="s">
        <v>333</v>
      </c>
      <c r="T61" s="5" t="s">
        <v>213</v>
      </c>
      <c r="U61" s="10" t="s">
        <v>98</v>
      </c>
      <c r="V61" s="5" t="n">
        <v>45</v>
      </c>
      <c r="W61" s="5" t="n">
        <v>4.29</v>
      </c>
      <c r="X61" s="5" t="n">
        <v>1.058</v>
      </c>
      <c r="Y61" s="5" t="n">
        <v>45</v>
      </c>
      <c r="Z61" s="5" t="n">
        <v>4.18</v>
      </c>
      <c r="AA61" s="5" t="n">
        <v>1.114</v>
      </c>
      <c r="AB61" s="5" t="s">
        <v>99</v>
      </c>
      <c r="AC61" s="5"/>
      <c r="AD61" s="5" t="n">
        <v>1</v>
      </c>
      <c r="AE61" s="7" t="n">
        <f aca="false">IFERROR(IF(AB61="MSD",IF(COUNT(V61,W61,X61,Y61,Z61,AA61)&lt;6,"",(W61-Z61)/SQRT(((V61-1)*X61^2+(Y61-1)*AA61^2)/(V61+Y61-2))*AD61),IF(AB61="t",AC61*SQRT(1/V61+1/Y61)*AD61,IF(AB61="F",SQRT(AC61)*SQRT(1/V61+1/Y61)*AD61,IF(AB61="z",2*(AC61/SQRT(V61+Y61))/SQRT(1-(AC61/SQRT(V61+Y61))^2)*AD61,IF(AB61="t_paired",AC61/SQRT(V61)*AD61,""))))),"")</f>
        <v>0.101255485387306</v>
      </c>
      <c r="AF61" s="7" t="n">
        <f aca="false">IF(AE61="","",IF(AB61="t_paired",1-3/(4*(V61-1)-1),1-3/(4*(V61+Y61)-9)))</f>
        <v>0.991452991452992</v>
      </c>
      <c r="AG61" s="7" t="n">
        <f aca="false">IF(AE61="","",AE61*AF61)</f>
        <v>0.100390053888269</v>
      </c>
      <c r="AH61" s="7" t="n">
        <f aca="false">IF(AG61="","",IF(AB61="t_paired",1/V61+AG61^2/(2*V61),(V61+Y61)/(V61*Y61)+AG61^2/(2*(V61+Y61))))</f>
        <v>0.0445004342384427</v>
      </c>
      <c r="AI61" s="7" t="n">
        <f aca="false">IF(AH61="","",SQRT(AH61))</f>
        <v>0.210951260338597</v>
      </c>
      <c r="AJ61" s="7" t="n">
        <f aca="false">IF(AI61="","",AG61-1.96*AI61)</f>
        <v>-0.313074416375382</v>
      </c>
      <c r="AK61" s="7" t="n">
        <f aca="false">IF(AI61="","",AG61+1.96*AI61)</f>
        <v>0.51385452415192</v>
      </c>
      <c r="AL61" s="7" t="n">
        <f aca="false">IF(AI61="","",AG61/AI61)</f>
        <v>0.475892173989068</v>
      </c>
      <c r="AM61" s="8" t="n">
        <f aca="false">IF(AL61="","",2*(1-NORMSDIST(ABS(AL61))))</f>
        <v>0.634151197918681</v>
      </c>
      <c r="AN61" s="9" t="n">
        <f aca="false">IF(COUNT(V61)=0,"",IF(AB61="t_paired",V61,V61+N(Y61)))</f>
        <v>90</v>
      </c>
      <c r="AO61" s="7" t="n">
        <f aca="false">IF(AH61="","",1/AH61)</f>
        <v>22.471690829842</v>
      </c>
      <c r="AP61" s="5" t="s">
        <v>100</v>
      </c>
      <c r="AQ61" s="5" t="s">
        <v>167</v>
      </c>
      <c r="AR61" s="5"/>
      <c r="AS61" s="9" t="n">
        <f aca="false">IF(AND(AP61="Y",ISNUMBER(AO61)),AO61,0)</f>
        <v>0</v>
      </c>
      <c r="AT61" s="7" t="n">
        <f aca="false">IF(AS61&gt;0,AS61*AG61,0)</f>
        <v>0</v>
      </c>
      <c r="AU61" s="7" t="n">
        <f aca="false">IF(AS61&gt;0,AS61*AG61^2,0)</f>
        <v>0</v>
      </c>
      <c r="AV61" s="9" t="n">
        <f aca="false">IF(AS61&gt;0,AS61^2,0)</f>
        <v>0</v>
      </c>
      <c r="AW61" s="7" t="n">
        <f aca="false">IF(AS61&gt;0,AG61,0)</f>
        <v>0</v>
      </c>
      <c r="AX61" s="7" t="n">
        <f aca="false">IF(AS61&gt;0,AH61,1)</f>
        <v>1</v>
      </c>
    </row>
    <row r="62" customFormat="false" ht="15" hidden="false" customHeight="false" outlineLevel="0" collapsed="false">
      <c r="A62" s="5" t="s">
        <v>334</v>
      </c>
      <c r="B62" s="5" t="s">
        <v>327</v>
      </c>
      <c r="C62" s="5" t="s">
        <v>328</v>
      </c>
      <c r="D62" s="5" t="n">
        <v>2025</v>
      </c>
      <c r="E62" s="5" t="s">
        <v>329</v>
      </c>
      <c r="F62" s="5" t="s">
        <v>159</v>
      </c>
      <c r="G62" s="5" t="s">
        <v>160</v>
      </c>
      <c r="H62" s="5" t="s">
        <v>74</v>
      </c>
      <c r="I62" s="5" t="s">
        <v>200</v>
      </c>
      <c r="J62" s="5" t="s">
        <v>162</v>
      </c>
      <c r="K62" s="5" t="s">
        <v>163</v>
      </c>
      <c r="L62" s="5" t="s">
        <v>164</v>
      </c>
      <c r="M62" s="5"/>
      <c r="N62" s="5"/>
      <c r="O62" s="5" t="s">
        <v>162</v>
      </c>
      <c r="P62" s="6" t="s">
        <v>82</v>
      </c>
      <c r="Q62" s="6" t="s">
        <v>103</v>
      </c>
      <c r="R62" s="5"/>
      <c r="S62" s="6" t="s">
        <v>333</v>
      </c>
      <c r="T62" s="5" t="s">
        <v>213</v>
      </c>
      <c r="U62" s="6" t="s">
        <v>86</v>
      </c>
      <c r="V62" s="5" t="n">
        <v>45</v>
      </c>
      <c r="W62" s="5" t="n">
        <v>8</v>
      </c>
      <c r="X62" s="5" t="n">
        <v>0.853</v>
      </c>
      <c r="Y62" s="5" t="n">
        <v>45</v>
      </c>
      <c r="Z62" s="5" t="n">
        <v>4.69</v>
      </c>
      <c r="AA62" s="5" t="n">
        <v>0.973</v>
      </c>
      <c r="AB62" s="5" t="s">
        <v>99</v>
      </c>
      <c r="AC62" s="5"/>
      <c r="AD62" s="5" t="n">
        <v>1</v>
      </c>
      <c r="AE62" s="7" t="n">
        <f aca="false">IFERROR(IF(AB62="MSD",IF(COUNT(V62,W62,X62,Y62,Z62,AA62)&lt;6,"",(W62-Z62)/SQRT(((V62-1)*X62^2+(Y62-1)*AA62^2)/(V62+Y62-2))*AD62),IF(AB62="t",AC62*SQRT(1/V62+1/Y62)*AD62,IF(AB62="F",SQRT(AC62)*SQRT(1/V62+1/Y62)*AD62,IF(AB62="z",2*(AC62/SQRT(V62+Y62))/SQRT(1-(AC62/SQRT(V62+Y62))^2)*AD62,IF(AB62="t_paired",AC62/SQRT(V62)*AD62,""))))),"")</f>
        <v>3.61760732741979</v>
      </c>
      <c r="AF62" s="7" t="n">
        <f aca="false">IF(AE62="","",IF(AB62="t_paired",1-3/(4*(V62-1)-1),1-3/(4*(V62+Y62)-9)))</f>
        <v>0.991452991452992</v>
      </c>
      <c r="AG62" s="7" t="n">
        <f aca="false">IF(AE62="","",AE62*AF62)</f>
        <v>3.58668760667262</v>
      </c>
      <c r="AH62" s="7" t="n">
        <f aca="false">IF(AG62="","",IF(AB62="t_paired",1/V62+AG62^2/(2*V62),(V62+Y62)/(V62*Y62)+AG62^2/(2*(V62+Y62))))</f>
        <v>0.115912933265883</v>
      </c>
      <c r="AI62" s="7" t="n">
        <f aca="false">IF(AH62="","",SQRT(AH62))</f>
        <v>0.340459884958394</v>
      </c>
      <c r="AJ62" s="7" t="n">
        <f aca="false">IF(AI62="","",AG62-1.96*AI62)</f>
        <v>2.91938623215416</v>
      </c>
      <c r="AK62" s="7" t="n">
        <f aca="false">IF(AI62="","",AG62+1.96*AI62)</f>
        <v>4.25398898119107</v>
      </c>
      <c r="AL62" s="7" t="n">
        <f aca="false">IF(AI62="","",AG62/AI62)</f>
        <v>10.5348317529712</v>
      </c>
      <c r="AM62" s="8" t="n">
        <f aca="false">IF(AL62="","",2*(1-NORMSDIST(ABS(AL62))))</f>
        <v>0</v>
      </c>
      <c r="AN62" s="9" t="n">
        <f aca="false">IF(COUNT(V62)=0,"",IF(AB62="t_paired",V62,V62+N(Y62)))</f>
        <v>90</v>
      </c>
      <c r="AO62" s="7" t="n">
        <f aca="false">IF(AH62="","",1/AH62)</f>
        <v>8.6271649920737</v>
      </c>
      <c r="AP62" s="5" t="s">
        <v>88</v>
      </c>
      <c r="AQ62" s="5" t="s">
        <v>167</v>
      </c>
      <c r="AR62" s="5"/>
      <c r="AS62" s="7" t="n">
        <f aca="false">IF(AND(AP62="Y",ISNUMBER(AO62)),AO62,0)</f>
        <v>8.6271649920737</v>
      </c>
      <c r="AT62" s="7" t="n">
        <f aca="false">IF(AS62&gt;0,AS62*AG62,0)</f>
        <v>30.9429457577906</v>
      </c>
      <c r="AU62" s="7" t="n">
        <f aca="false">IF(AS62&gt;0,AS62*AG62^2,0)</f>
        <v>110.98268006341</v>
      </c>
      <c r="AV62" s="9" t="n">
        <f aca="false">IF(AS62&gt;0,AS62^2,0)</f>
        <v>74.4279758004619</v>
      </c>
      <c r="AW62" s="7" t="n">
        <f aca="false">IF(AS62&gt;0,AG62,0)</f>
        <v>3.58668760667262</v>
      </c>
      <c r="AX62" s="7" t="n">
        <f aca="false">IF(AS62&gt;0,AH62,1)</f>
        <v>0.115912933265883</v>
      </c>
    </row>
    <row r="63" customFormat="false" ht="15" hidden="false" customHeight="false" outlineLevel="0" collapsed="false">
      <c r="A63" s="5" t="s">
        <v>335</v>
      </c>
      <c r="B63" s="5" t="s">
        <v>327</v>
      </c>
      <c r="C63" s="5" t="s">
        <v>328</v>
      </c>
      <c r="D63" s="5" t="n">
        <v>2025</v>
      </c>
      <c r="E63" s="5" t="s">
        <v>329</v>
      </c>
      <c r="F63" s="5" t="s">
        <v>159</v>
      </c>
      <c r="G63" s="5" t="s">
        <v>160</v>
      </c>
      <c r="H63" s="5" t="s">
        <v>74</v>
      </c>
      <c r="I63" s="5" t="s">
        <v>200</v>
      </c>
      <c r="J63" s="5" t="s">
        <v>162</v>
      </c>
      <c r="K63" s="5" t="s">
        <v>163</v>
      </c>
      <c r="L63" s="5" t="s">
        <v>164</v>
      </c>
      <c r="M63" s="5"/>
      <c r="N63" s="5"/>
      <c r="O63" s="5" t="s">
        <v>162</v>
      </c>
      <c r="P63" s="10" t="s">
        <v>82</v>
      </c>
      <c r="Q63" s="10" t="s">
        <v>191</v>
      </c>
      <c r="R63" s="5"/>
      <c r="S63" s="10" t="s">
        <v>336</v>
      </c>
      <c r="T63" s="5" t="s">
        <v>213</v>
      </c>
      <c r="U63" s="10" t="s">
        <v>98</v>
      </c>
      <c r="V63" s="5" t="n">
        <v>45</v>
      </c>
      <c r="W63" s="5" t="n">
        <v>8.93</v>
      </c>
      <c r="X63" s="5" t="n">
        <v>1.514</v>
      </c>
      <c r="Y63" s="5" t="n">
        <v>45</v>
      </c>
      <c r="Z63" s="5" t="n">
        <v>8.8</v>
      </c>
      <c r="AA63" s="5" t="n">
        <v>1.632</v>
      </c>
      <c r="AB63" s="5" t="s">
        <v>99</v>
      </c>
      <c r="AC63" s="5"/>
      <c r="AD63" s="5" t="n">
        <v>1</v>
      </c>
      <c r="AE63" s="7" t="n">
        <f aca="false">IFERROR(IF(AB63="MSD",IF(COUNT(V63,W63,X63,Y63,Z63,AA63)&lt;6,"",(W63-Z63)/SQRT(((V63-1)*X63^2+(Y63-1)*AA63^2)/(V63+Y63-2))*AD63),IF(AB63="t",AC63*SQRT(1/V63+1/Y63)*AD63,IF(AB63="F",SQRT(AC63)*SQRT(1/V63+1/Y63)*AD63,IF(AB63="z",2*(AC63/SQRT(V63+Y63))/SQRT(1-(AC63/SQRT(V63+Y63))^2)*AD63,IF(AB63="t_paired",AC63/SQRT(V63)*AD63,""))))),"")</f>
        <v>0.0825865552320518</v>
      </c>
      <c r="AF63" s="7" t="n">
        <f aca="false">IF(AE63="","",IF(AB63="t_paired",1-3/(4*(V63-1)-1),1-3/(4*(V63+Y63)-9)))</f>
        <v>0.991452991452992</v>
      </c>
      <c r="AG63" s="7" t="n">
        <f aca="false">IF(AE63="","",AE63*AF63)</f>
        <v>0.0818806872386154</v>
      </c>
      <c r="AH63" s="7" t="n">
        <f aca="false">IF(AG63="","",IF(AB63="t_paired",1/V63+AG63^2/(2*V63),(V63+Y63)/(V63*Y63)+AG63^2/(2*(V63+Y63))))</f>
        <v>0.0444816913719037</v>
      </c>
      <c r="AI63" s="7" t="n">
        <f aca="false">IF(AH63="","",SQRT(AH63))</f>
        <v>0.210906831022382</v>
      </c>
      <c r="AJ63" s="7" t="n">
        <f aca="false">IF(AI63="","",AG63-1.96*AI63)</f>
        <v>-0.331496701565254</v>
      </c>
      <c r="AK63" s="7" t="n">
        <f aca="false">IF(AI63="","",AG63+1.96*AI63)</f>
        <v>0.495258076042485</v>
      </c>
      <c r="AL63" s="7" t="n">
        <f aca="false">IF(AI63="","",AG63/AI63)</f>
        <v>0.388231556283381</v>
      </c>
      <c r="AM63" s="8" t="n">
        <f aca="false">IF(AL63="","",2*(1-NORMSDIST(ABS(AL63))))</f>
        <v>0.697844682500116</v>
      </c>
      <c r="AN63" s="9" t="n">
        <f aca="false">IF(COUNT(V63)=0,"",IF(AB63="t_paired",V63,V63+N(Y63)))</f>
        <v>90</v>
      </c>
      <c r="AO63" s="7" t="n">
        <f aca="false">IF(AH63="","",1/AH63)</f>
        <v>22.4811595323382</v>
      </c>
      <c r="AP63" s="5" t="s">
        <v>100</v>
      </c>
      <c r="AQ63" s="5" t="s">
        <v>167</v>
      </c>
      <c r="AR63" s="5"/>
      <c r="AS63" s="9" t="n">
        <f aca="false">IF(AND(AP63="Y",ISNUMBER(AO63)),AO63,0)</f>
        <v>0</v>
      </c>
      <c r="AT63" s="7" t="n">
        <f aca="false">IF(AS63&gt;0,AS63*AG63,0)</f>
        <v>0</v>
      </c>
      <c r="AU63" s="7" t="n">
        <f aca="false">IF(AS63&gt;0,AS63*AG63^2,0)</f>
        <v>0</v>
      </c>
      <c r="AV63" s="9" t="n">
        <f aca="false">IF(AS63&gt;0,AS63^2,0)</f>
        <v>0</v>
      </c>
      <c r="AW63" s="7" t="n">
        <f aca="false">IF(AS63&gt;0,AG63,0)</f>
        <v>0</v>
      </c>
      <c r="AX63" s="7" t="n">
        <f aca="false">IF(AS63&gt;0,AH63,1)</f>
        <v>1</v>
      </c>
    </row>
    <row r="64" customFormat="false" ht="15" hidden="false" customHeight="false" outlineLevel="0" collapsed="false">
      <c r="A64" s="5" t="s">
        <v>337</v>
      </c>
      <c r="B64" s="5" t="s">
        <v>327</v>
      </c>
      <c r="C64" s="5" t="s">
        <v>328</v>
      </c>
      <c r="D64" s="5" t="n">
        <v>2025</v>
      </c>
      <c r="E64" s="5" t="s">
        <v>329</v>
      </c>
      <c r="F64" s="5" t="s">
        <v>159</v>
      </c>
      <c r="G64" s="5" t="s">
        <v>160</v>
      </c>
      <c r="H64" s="5" t="s">
        <v>74</v>
      </c>
      <c r="I64" s="5" t="s">
        <v>200</v>
      </c>
      <c r="J64" s="5" t="s">
        <v>162</v>
      </c>
      <c r="K64" s="5" t="s">
        <v>163</v>
      </c>
      <c r="L64" s="5" t="s">
        <v>164</v>
      </c>
      <c r="M64" s="5"/>
      <c r="N64" s="5"/>
      <c r="O64" s="5" t="s">
        <v>162</v>
      </c>
      <c r="P64" s="6" t="s">
        <v>82</v>
      </c>
      <c r="Q64" s="6" t="s">
        <v>191</v>
      </c>
      <c r="R64" s="5"/>
      <c r="S64" s="6" t="s">
        <v>336</v>
      </c>
      <c r="T64" s="5" t="s">
        <v>213</v>
      </c>
      <c r="U64" s="6" t="s">
        <v>86</v>
      </c>
      <c r="V64" s="5" t="n">
        <v>45</v>
      </c>
      <c r="W64" s="5" t="n">
        <v>14.82</v>
      </c>
      <c r="X64" s="5" t="n">
        <v>0.747</v>
      </c>
      <c r="Y64" s="5" t="n">
        <v>45</v>
      </c>
      <c r="Z64" s="5" t="n">
        <v>8.87</v>
      </c>
      <c r="AA64" s="5" t="n">
        <v>1.673</v>
      </c>
      <c r="AB64" s="5" t="s">
        <v>99</v>
      </c>
      <c r="AC64" s="5"/>
      <c r="AD64" s="5" t="n">
        <v>1</v>
      </c>
      <c r="AE64" s="7" t="n">
        <f aca="false">IFERROR(IF(AB64="MSD",IF(COUNT(V64,W64,X64,Y64,Z64,AA64)&lt;6,"",(W64-Z64)/SQRT(((V64-1)*X64^2+(Y64-1)*AA64^2)/(V64+Y64-2))*AD64),IF(AB64="t",AC64*SQRT(1/V64+1/Y64)*AD64,IF(AB64="F",SQRT(AC64)*SQRT(1/V64+1/Y64)*AD64,IF(AB64="z",2*(AC64/SQRT(V64+Y64))/SQRT(1-(AC64/SQRT(V64+Y64))^2)*AD64,IF(AB64="t_paired",AC64/SQRT(V64)*AD64,""))))),"")</f>
        <v>4.59261778651618</v>
      </c>
      <c r="AF64" s="7" t="n">
        <f aca="false">IF(AE64="","",IF(AB64="t_paired",1-3/(4*(V64-1)-1),1-3/(4*(V64+Y64)-9)))</f>
        <v>0.991452991452992</v>
      </c>
      <c r="AG64" s="7" t="n">
        <f aca="false">IF(AE64="","",AE64*AF64)</f>
        <v>4.55336464304169</v>
      </c>
      <c r="AH64" s="7" t="n">
        <f aca="false">IF(AG64="","",IF(AB64="t_paired",1/V64+AG64^2/(2*V64),(V64+Y64)/(V64*Y64)+AG64^2/(2*(V64+Y64))))</f>
        <v>0.159628497625012</v>
      </c>
      <c r="AI64" s="7" t="n">
        <f aca="false">IF(AH64="","",SQRT(AH64))</f>
        <v>0.399535352159245</v>
      </c>
      <c r="AJ64" s="7" t="n">
        <f aca="false">IF(AI64="","",AG64-1.96*AI64)</f>
        <v>3.77027535280957</v>
      </c>
      <c r="AK64" s="7" t="n">
        <f aca="false">IF(AI64="","",AG64+1.96*AI64)</f>
        <v>5.33645393327381</v>
      </c>
      <c r="AL64" s="7" t="n">
        <f aca="false">IF(AI64="","",AG64/AI64)</f>
        <v>11.396650179849</v>
      </c>
      <c r="AM64" s="8" t="n">
        <f aca="false">IF(AL64="","",2*(1-NORMSDIST(ABS(AL64))))</f>
        <v>0</v>
      </c>
      <c r="AN64" s="9" t="n">
        <f aca="false">IF(COUNT(V64)=0,"",IF(AB64="t_paired",V64,V64+N(Y64)))</f>
        <v>90</v>
      </c>
      <c r="AO64" s="7" t="n">
        <f aca="false">IF(AH64="","",1/AH64)</f>
        <v>6.26454558476852</v>
      </c>
      <c r="AP64" s="5" t="s">
        <v>88</v>
      </c>
      <c r="AQ64" s="5" t="s">
        <v>167</v>
      </c>
      <c r="AR64" s="5"/>
      <c r="AS64" s="7" t="n">
        <f aca="false">IF(AND(AP64="Y",ISNUMBER(AO64)),AO64,0)</f>
        <v>6.26454558476852</v>
      </c>
      <c r="AT64" s="7" t="n">
        <f aca="false">IF(AS64&gt;0,AS64*AG64,0)</f>
        <v>28.5247603704079</v>
      </c>
      <c r="AU64" s="7" t="n">
        <f aca="false">IF(AS64&gt;0,AS64*AG64^2,0)</f>
        <v>129.883635321852</v>
      </c>
      <c r="AV64" s="9" t="n">
        <f aca="false">IF(AS64&gt;0,AS64^2,0)</f>
        <v>39.2445313836427</v>
      </c>
      <c r="AW64" s="7" t="n">
        <f aca="false">IF(AS64&gt;0,AG64,0)</f>
        <v>4.55336464304169</v>
      </c>
      <c r="AX64" s="7" t="n">
        <f aca="false">IF(AS64&gt;0,AH64,1)</f>
        <v>0.159628497625012</v>
      </c>
    </row>
    <row r="65" customFormat="false" ht="15" hidden="false" customHeight="false" outlineLevel="0" collapsed="false">
      <c r="A65" s="5" t="s">
        <v>338</v>
      </c>
      <c r="B65" s="5" t="s">
        <v>327</v>
      </c>
      <c r="C65" s="5" t="s">
        <v>328</v>
      </c>
      <c r="D65" s="5" t="n">
        <v>2025</v>
      </c>
      <c r="E65" s="5" t="s">
        <v>329</v>
      </c>
      <c r="F65" s="5" t="s">
        <v>159</v>
      </c>
      <c r="G65" s="5" t="s">
        <v>160</v>
      </c>
      <c r="H65" s="5" t="s">
        <v>74</v>
      </c>
      <c r="I65" s="5" t="s">
        <v>200</v>
      </c>
      <c r="J65" s="5" t="s">
        <v>162</v>
      </c>
      <c r="K65" s="5" t="s">
        <v>163</v>
      </c>
      <c r="L65" s="5" t="s">
        <v>164</v>
      </c>
      <c r="M65" s="5"/>
      <c r="N65" s="5"/>
      <c r="O65" s="5" t="s">
        <v>162</v>
      </c>
      <c r="P65" s="10" t="s">
        <v>82</v>
      </c>
      <c r="Q65" s="10" t="s">
        <v>191</v>
      </c>
      <c r="R65" s="5"/>
      <c r="S65" s="10" t="s">
        <v>339</v>
      </c>
      <c r="T65" s="5" t="s">
        <v>340</v>
      </c>
      <c r="U65" s="10" t="s">
        <v>98</v>
      </c>
      <c r="V65" s="5" t="n">
        <v>45</v>
      </c>
      <c r="W65" s="5" t="n">
        <v>17.24</v>
      </c>
      <c r="X65" s="5" t="n">
        <v>2.814</v>
      </c>
      <c r="Y65" s="5" t="n">
        <v>45</v>
      </c>
      <c r="Z65" s="5" t="n">
        <v>17.02</v>
      </c>
      <c r="AA65" s="5" t="n">
        <v>2.816</v>
      </c>
      <c r="AB65" s="5" t="s">
        <v>99</v>
      </c>
      <c r="AC65" s="5"/>
      <c r="AD65" s="5" t="n">
        <v>1</v>
      </c>
      <c r="AE65" s="7" t="n">
        <f aca="false">IFERROR(IF(AB65="MSD",IF(COUNT(V65,W65,X65,Y65,Z65,AA65)&lt;6,"",(W65-Z65)/SQRT(((V65-1)*X65^2+(Y65-1)*AA65^2)/(V65+Y65-2))*AD65),IF(AB65="t",AC65*SQRT(1/V65+1/Y65)*AD65,IF(AB65="F",SQRT(AC65)*SQRT(1/V65+1/Y65)*AD65,IF(AB65="z",2*(AC65/SQRT(V65+Y65))/SQRT(1-(AC65/SQRT(V65+Y65))^2)*AD65,IF(AB65="t_paired",AC65/SQRT(V65)*AD65,""))))),"")</f>
        <v>0.0781527481770929</v>
      </c>
      <c r="AF65" s="7" t="n">
        <f aca="false">IF(AE65="","",IF(AB65="t_paired",1-3/(4*(V65-1)-1),1-3/(4*(V65+Y65)-9)))</f>
        <v>0.991452991452992</v>
      </c>
      <c r="AG65" s="7" t="n">
        <f aca="false">IF(AE65="","",AE65*AF65)</f>
        <v>0.0774847759704511</v>
      </c>
      <c r="AH65" s="7" t="n">
        <f aca="false">IF(AG65="","",IF(AB65="t_paired",1/V65+AG65^2/(2*V65),(V65+Y65)/(V65*Y65)+AG65^2/(2*(V65+Y65))))</f>
        <v>0.0444777993917066</v>
      </c>
      <c r="AI65" s="7" t="n">
        <f aca="false">IF(AH65="","",SQRT(AH65))</f>
        <v>0.21089760404449</v>
      </c>
      <c r="AJ65" s="7" t="n">
        <f aca="false">IF(AI65="","",AG65-1.96*AI65)</f>
        <v>-0.33587452795675</v>
      </c>
      <c r="AK65" s="7" t="n">
        <f aca="false">IF(AI65="","",AG65+1.96*AI65)</f>
        <v>0.490844079897652</v>
      </c>
      <c r="AL65" s="7" t="n">
        <f aca="false">IF(AI65="","",AG65/AI65)</f>
        <v>0.367404723830362</v>
      </c>
      <c r="AM65" s="8" t="n">
        <f aca="false">IF(AL65="","",2*(1-NORMSDIST(ABS(AL65))))</f>
        <v>0.713317148509288</v>
      </c>
      <c r="AN65" s="9" t="n">
        <f aca="false">IF(COUNT(V65)=0,"",IF(AB65="t_paired",V65,V65+N(Y65)))</f>
        <v>90</v>
      </c>
      <c r="AO65" s="7" t="n">
        <f aca="false">IF(AH65="","",1/AH65)</f>
        <v>22.4831267211134</v>
      </c>
      <c r="AP65" s="5" t="s">
        <v>100</v>
      </c>
      <c r="AQ65" s="5" t="s">
        <v>167</v>
      </c>
      <c r="AR65" s="5"/>
      <c r="AS65" s="9" t="n">
        <f aca="false">IF(AND(AP65="Y",ISNUMBER(AO65)),AO65,0)</f>
        <v>0</v>
      </c>
      <c r="AT65" s="7" t="n">
        <f aca="false">IF(AS65&gt;0,AS65*AG65,0)</f>
        <v>0</v>
      </c>
      <c r="AU65" s="7" t="n">
        <f aca="false">IF(AS65&gt;0,AS65*AG65^2,0)</f>
        <v>0</v>
      </c>
      <c r="AV65" s="9" t="n">
        <f aca="false">IF(AS65&gt;0,AS65^2,0)</f>
        <v>0</v>
      </c>
      <c r="AW65" s="7" t="n">
        <f aca="false">IF(AS65&gt;0,AG65,0)</f>
        <v>0</v>
      </c>
      <c r="AX65" s="7" t="n">
        <f aca="false">IF(AS65&gt;0,AH65,1)</f>
        <v>1</v>
      </c>
    </row>
    <row r="66" customFormat="false" ht="15" hidden="false" customHeight="false" outlineLevel="0" collapsed="false">
      <c r="A66" s="5" t="s">
        <v>341</v>
      </c>
      <c r="B66" s="5" t="s">
        <v>327</v>
      </c>
      <c r="C66" s="5" t="s">
        <v>328</v>
      </c>
      <c r="D66" s="5" t="n">
        <v>2025</v>
      </c>
      <c r="E66" s="5" t="s">
        <v>329</v>
      </c>
      <c r="F66" s="5" t="s">
        <v>159</v>
      </c>
      <c r="G66" s="5" t="s">
        <v>160</v>
      </c>
      <c r="H66" s="5" t="s">
        <v>74</v>
      </c>
      <c r="I66" s="5" t="s">
        <v>200</v>
      </c>
      <c r="J66" s="5" t="s">
        <v>162</v>
      </c>
      <c r="K66" s="5" t="s">
        <v>163</v>
      </c>
      <c r="L66" s="5" t="s">
        <v>164</v>
      </c>
      <c r="M66" s="5"/>
      <c r="N66" s="5"/>
      <c r="O66" s="5" t="s">
        <v>162</v>
      </c>
      <c r="P66" s="6" t="s">
        <v>82</v>
      </c>
      <c r="Q66" s="6" t="s">
        <v>191</v>
      </c>
      <c r="R66" s="5"/>
      <c r="S66" s="6" t="s">
        <v>339</v>
      </c>
      <c r="T66" s="5" t="s">
        <v>340</v>
      </c>
      <c r="U66" s="6" t="s">
        <v>86</v>
      </c>
      <c r="V66" s="5" t="n">
        <v>45</v>
      </c>
      <c r="W66" s="5" t="n">
        <v>31.33</v>
      </c>
      <c r="X66" s="5" t="n">
        <v>1.796</v>
      </c>
      <c r="Y66" s="5" t="n">
        <v>45</v>
      </c>
      <c r="Z66" s="5" t="n">
        <v>18.04</v>
      </c>
      <c r="AA66" s="5" t="n">
        <v>2.73</v>
      </c>
      <c r="AB66" s="5" t="s">
        <v>99</v>
      </c>
      <c r="AC66" s="5"/>
      <c r="AD66" s="5" t="n">
        <v>1</v>
      </c>
      <c r="AE66" s="7" t="n">
        <f aca="false">IFERROR(IF(AB66="MSD",IF(COUNT(V66,W66,X66,Y66,Z66,AA66)&lt;6,"",(W66-Z66)/SQRT(((V66-1)*X66^2+(Y66-1)*AA66^2)/(V66+Y66-2))*AD66),IF(AB66="t",AC66*SQRT(1/V66+1/Y66)*AD66,IF(AB66="F",SQRT(AC66)*SQRT(1/V66+1/Y66)*AD66,IF(AB66="z",2*(AC66/SQRT(V66+Y66))/SQRT(1-(AC66/SQRT(V66+Y66))^2)*AD66,IF(AB66="t_paired",AC66/SQRT(V66)*AD66,""))))),"")</f>
        <v>5.75154507104668</v>
      </c>
      <c r="AF66" s="7" t="n">
        <f aca="false">IF(AE66="","",IF(AB66="t_paired",1-3/(4*(V66-1)-1),1-3/(4*(V66+Y66)-9)))</f>
        <v>0.991452991452992</v>
      </c>
      <c r="AG66" s="7" t="n">
        <f aca="false">IF(AE66="","",AE66*AF66)</f>
        <v>5.70238656616594</v>
      </c>
      <c r="AH66" s="7" t="n">
        <f aca="false">IF(AG66="","",IF(AB66="t_paired",1/V66+AG66^2/(2*V66),(V66+Y66)/(V66*Y66)+AG66^2/(2*(V66+Y66))))</f>
        <v>0.225095625277721</v>
      </c>
      <c r="AI66" s="7" t="n">
        <f aca="false">IF(AH66="","",SQRT(AH66))</f>
        <v>0.474442436210886</v>
      </c>
      <c r="AJ66" s="7" t="n">
        <f aca="false">IF(AI66="","",AG66-1.96*AI66)</f>
        <v>4.7724793911926</v>
      </c>
      <c r="AK66" s="7" t="n">
        <f aca="false">IF(AI66="","",AG66+1.96*AI66)</f>
        <v>6.63229374113928</v>
      </c>
      <c r="AL66" s="7" t="n">
        <f aca="false">IF(AI66="","",AG66/AI66)</f>
        <v>12.019132630099</v>
      </c>
      <c r="AM66" s="8" t="n">
        <f aca="false">IF(AL66="","",2*(1-NORMSDIST(ABS(AL66))))</f>
        <v>0</v>
      </c>
      <c r="AN66" s="9" t="n">
        <f aca="false">IF(COUNT(V66)=0,"",IF(AB66="t_paired",V66,V66+N(Y66)))</f>
        <v>90</v>
      </c>
      <c r="AO66" s="7" t="n">
        <f aca="false">IF(AH66="","",1/AH66)</f>
        <v>4.44255635251111</v>
      </c>
      <c r="AP66" s="5" t="s">
        <v>88</v>
      </c>
      <c r="AQ66" s="5" t="s">
        <v>167</v>
      </c>
      <c r="AR66" s="5"/>
      <c r="AS66" s="7" t="n">
        <f aca="false">IF(AND(AP66="Y",ISNUMBER(AO66)),AO66,0)</f>
        <v>4.44255635251111</v>
      </c>
      <c r="AT66" s="7" t="n">
        <f aca="false">IF(AS66&gt;0,AS66*AG66,0)</f>
        <v>25.3331736639945</v>
      </c>
      <c r="AU66" s="7" t="n">
        <f aca="false">IF(AS66&gt;0,AS66*AG66^2,0)</f>
        <v>144.459549179911</v>
      </c>
      <c r="AV66" s="9" t="n">
        <f aca="false">IF(AS66&gt;0,AS66^2,0)</f>
        <v>19.7363069452368</v>
      </c>
      <c r="AW66" s="7" t="n">
        <f aca="false">IF(AS66&gt;0,AG66,0)</f>
        <v>5.70238656616594</v>
      </c>
      <c r="AX66" s="7" t="n">
        <f aca="false">IF(AS66&gt;0,AH66,1)</f>
        <v>0.225095625277721</v>
      </c>
    </row>
    <row r="67" customFormat="false" ht="15" hidden="false" customHeight="false" outlineLevel="0" collapsed="false">
      <c r="A67" s="5" t="s">
        <v>342</v>
      </c>
      <c r="B67" s="5" t="s">
        <v>343</v>
      </c>
      <c r="C67" s="5" t="s">
        <v>344</v>
      </c>
      <c r="D67" s="5" t="n">
        <v>2022</v>
      </c>
      <c r="E67" s="5" t="s">
        <v>345</v>
      </c>
      <c r="F67" s="5" t="s">
        <v>173</v>
      </c>
      <c r="G67" s="5" t="s">
        <v>160</v>
      </c>
      <c r="H67" s="5" t="s">
        <v>74</v>
      </c>
      <c r="I67" s="5" t="s">
        <v>207</v>
      </c>
      <c r="J67" s="5" t="s">
        <v>162</v>
      </c>
      <c r="K67" s="5" t="s">
        <v>163</v>
      </c>
      <c r="L67" s="5" t="s">
        <v>164</v>
      </c>
      <c r="M67" s="5" t="n">
        <v>16</v>
      </c>
      <c r="N67" s="5"/>
      <c r="O67" s="5" t="s">
        <v>261</v>
      </c>
      <c r="P67" s="10" t="s">
        <v>82</v>
      </c>
      <c r="Q67" s="10" t="s">
        <v>103</v>
      </c>
      <c r="R67" s="5"/>
      <c r="S67" s="10" t="s">
        <v>346</v>
      </c>
      <c r="T67" s="5" t="s">
        <v>213</v>
      </c>
      <c r="U67" s="10" t="s">
        <v>98</v>
      </c>
      <c r="V67" s="5" t="n">
        <v>34</v>
      </c>
      <c r="W67" s="5" t="n">
        <v>40.6</v>
      </c>
      <c r="X67" s="5" t="n">
        <v>4.95</v>
      </c>
      <c r="Y67" s="5" t="n">
        <v>34</v>
      </c>
      <c r="Z67" s="5" t="n">
        <v>43.4</v>
      </c>
      <c r="AA67" s="5" t="n">
        <v>0.49</v>
      </c>
      <c r="AB67" s="5" t="s">
        <v>99</v>
      </c>
      <c r="AC67" s="5"/>
      <c r="AD67" s="5" t="n">
        <v>1</v>
      </c>
      <c r="AE67" s="7" t="n">
        <f aca="false">IFERROR(IF(AB67="MSD",IF(COUNT(V67,W67,X67,Y67,Z67,AA67)&lt;6,"",(W67-Z67)/SQRT(((V67-1)*X67^2+(Y67-1)*AA67^2)/(V67+Y67-2))*AD67),IF(AB67="t",AC67*SQRT(1/V67+1/Y67)*AD67,IF(AB67="F",SQRT(AC67)*SQRT(1/V67+1/Y67)*AD67,IF(AB67="z",2*(AC67/SQRT(V67+Y67))/SQRT(1-(AC67/SQRT(V67+Y67))^2)*AD67,IF(AB67="t_paired",AC67/SQRT(V67)*AD67,""))))),"")</f>
        <v>-0.796068358156834</v>
      </c>
      <c r="AF67" s="7" t="n">
        <f aca="false">IF(AE67="","",IF(AB67="t_paired",1-3/(4*(V67-1)-1),1-3/(4*(V67+Y67)-9)))</f>
        <v>0.988593155893536</v>
      </c>
      <c r="AG67" s="7" t="n">
        <f aca="false">IF(AE67="","",AE67*AF67)</f>
        <v>-0.786987730497251</v>
      </c>
      <c r="AH67" s="7" t="n">
        <f aca="false">IF(AG67="","",IF(AB67="t_paired",1/V67+AG67^2/(2*V67),(V67+Y67)/(V67*Y67)+AG67^2/(2*(V67+Y67))))</f>
        <v>0.0633775712349501</v>
      </c>
      <c r="AI67" s="7" t="n">
        <f aca="false">IF(AH67="","",SQRT(AH67))</f>
        <v>0.251749024297911</v>
      </c>
      <c r="AJ67" s="7" t="n">
        <f aca="false">IF(AI67="","",AG67-1.96*AI67)</f>
        <v>-1.28041581812116</v>
      </c>
      <c r="AK67" s="7" t="n">
        <f aca="false">IF(AI67="","",AG67+1.96*AI67)</f>
        <v>-0.293559642873345</v>
      </c>
      <c r="AL67" s="7" t="n">
        <f aca="false">IF(AI67="","",AG67/AI67)</f>
        <v>-3.12608055857232</v>
      </c>
      <c r="AM67" s="8" t="n">
        <f aca="false">IF(AL67="","",2*(1-NORMSDIST(ABS(AL67))))</f>
        <v>0.00177153016095577</v>
      </c>
      <c r="AN67" s="9" t="n">
        <f aca="false">IF(COUNT(V67)=0,"",IF(AB67="t_paired",V67,V67+N(Y67)))</f>
        <v>68</v>
      </c>
      <c r="AO67" s="7" t="n">
        <f aca="false">IF(AH67="","",1/AH67)</f>
        <v>15.7784525426645</v>
      </c>
      <c r="AP67" s="5" t="s">
        <v>100</v>
      </c>
      <c r="AQ67" s="5" t="s">
        <v>178</v>
      </c>
      <c r="AR67" s="5" t="s">
        <v>347</v>
      </c>
      <c r="AS67" s="9" t="n">
        <f aca="false">IF(AND(AP67="Y",ISNUMBER(AO67)),AO67,0)</f>
        <v>0</v>
      </c>
      <c r="AT67" s="7" t="n">
        <f aca="false">IF(AS67&gt;0,AS67*AG67,0)</f>
        <v>0</v>
      </c>
      <c r="AU67" s="7" t="n">
        <f aca="false">IF(AS67&gt;0,AS67*AG67^2,0)</f>
        <v>0</v>
      </c>
      <c r="AV67" s="9" t="n">
        <f aca="false">IF(AS67&gt;0,AS67^2,0)</f>
        <v>0</v>
      </c>
      <c r="AW67" s="7" t="n">
        <f aca="false">IF(AS67&gt;0,AG67,0)</f>
        <v>0</v>
      </c>
      <c r="AX67" s="7" t="n">
        <f aca="false">IF(AS67&gt;0,AH67,1)</f>
        <v>1</v>
      </c>
    </row>
    <row r="68" customFormat="false" ht="15" hidden="false" customHeight="false" outlineLevel="0" collapsed="false">
      <c r="A68" s="5" t="s">
        <v>348</v>
      </c>
      <c r="B68" s="5" t="s">
        <v>343</v>
      </c>
      <c r="C68" s="5" t="s">
        <v>344</v>
      </c>
      <c r="D68" s="5" t="n">
        <v>2022</v>
      </c>
      <c r="E68" s="5" t="s">
        <v>345</v>
      </c>
      <c r="F68" s="5" t="s">
        <v>173</v>
      </c>
      <c r="G68" s="5" t="s">
        <v>160</v>
      </c>
      <c r="H68" s="5" t="s">
        <v>74</v>
      </c>
      <c r="I68" s="5" t="s">
        <v>207</v>
      </c>
      <c r="J68" s="5" t="s">
        <v>162</v>
      </c>
      <c r="K68" s="5" t="s">
        <v>163</v>
      </c>
      <c r="L68" s="5" t="s">
        <v>164</v>
      </c>
      <c r="M68" s="5" t="n">
        <v>16</v>
      </c>
      <c r="N68" s="5"/>
      <c r="O68" s="5" t="s">
        <v>261</v>
      </c>
      <c r="P68" s="6" t="s">
        <v>82</v>
      </c>
      <c r="Q68" s="6" t="s">
        <v>103</v>
      </c>
      <c r="R68" s="5"/>
      <c r="S68" s="6" t="s">
        <v>346</v>
      </c>
      <c r="T68" s="5" t="s">
        <v>213</v>
      </c>
      <c r="U68" s="6" t="s">
        <v>86</v>
      </c>
      <c r="V68" s="5" t="n">
        <v>34</v>
      </c>
      <c r="W68" s="5" t="n">
        <v>81.1</v>
      </c>
      <c r="X68" s="5" t="n">
        <v>3.19</v>
      </c>
      <c r="Y68" s="5" t="n">
        <v>34</v>
      </c>
      <c r="Z68" s="5" t="n">
        <v>65.2</v>
      </c>
      <c r="AA68" s="5" t="n">
        <v>3.73</v>
      </c>
      <c r="AB68" s="5" t="s">
        <v>99</v>
      </c>
      <c r="AC68" s="5"/>
      <c r="AD68" s="5" t="n">
        <v>1</v>
      </c>
      <c r="AE68" s="7" t="n">
        <f aca="false">IFERROR(IF(AB68="MSD",IF(COUNT(V68,W68,X68,Y68,Z68,AA68)&lt;6,"",(W68-Z68)/SQRT(((V68-1)*X68^2+(Y68-1)*AA68^2)/(V68+Y68-2))*AD68),IF(AB68="t",AC68*SQRT(1/V68+1/Y68)*AD68,IF(AB68="F",SQRT(AC68)*SQRT(1/V68+1/Y68)*AD68,IF(AB68="z",2*(AC68/SQRT(V68+Y68))/SQRT(1-(AC68/SQRT(V68+Y68))^2)*AD68,IF(AB68="t_paired",AC68/SQRT(V68)*AD68,""))))),"")</f>
        <v>4.58144773317465</v>
      </c>
      <c r="AF68" s="7" t="n">
        <f aca="false">IF(AE68="","",IF(AB68="t_paired",1-3/(4*(V68-1)-1),1-3/(4*(V68+Y68)-9)))</f>
        <v>0.988593155893536</v>
      </c>
      <c r="AG68" s="7" t="n">
        <f aca="false">IF(AE68="","",AE68*AF68)</f>
        <v>4.52918787310042</v>
      </c>
      <c r="AH68" s="7" t="n">
        <f aca="false">IF(AG68="","",IF(AB68="t_paired",1/V68+AG68^2/(2*V68),(V68+Y68)/(V68*Y68)+AG68^2/(2*(V68+Y68))))</f>
        <v>0.20965840286647</v>
      </c>
      <c r="AI68" s="7" t="n">
        <f aca="false">IF(AH68="","",SQRT(AH68))</f>
        <v>0.457884704774542</v>
      </c>
      <c r="AJ68" s="7" t="n">
        <f aca="false">IF(AI68="","",AG68-1.96*AI68)</f>
        <v>3.63173385174232</v>
      </c>
      <c r="AK68" s="7" t="n">
        <f aca="false">IF(AI68="","",AG68+1.96*AI68)</f>
        <v>5.42664189445852</v>
      </c>
      <c r="AL68" s="7" t="n">
        <f aca="false">IF(AI68="","",AG68/AI68)</f>
        <v>9.89154655281736</v>
      </c>
      <c r="AM68" s="8" t="n">
        <f aca="false">IF(AL68="","",2*(1-NORMSDIST(ABS(AL68))))</f>
        <v>0</v>
      </c>
      <c r="AN68" s="9" t="n">
        <f aca="false">IF(COUNT(V68)=0,"",IF(AB68="t_paired",V68,V68+N(Y68)))</f>
        <v>68</v>
      </c>
      <c r="AO68" s="7" t="n">
        <f aca="false">IF(AH68="","",1/AH68)</f>
        <v>4.76966334918088</v>
      </c>
      <c r="AP68" s="5" t="s">
        <v>88</v>
      </c>
      <c r="AQ68" s="5" t="s">
        <v>178</v>
      </c>
      <c r="AR68" s="5" t="s">
        <v>347</v>
      </c>
      <c r="AS68" s="7" t="n">
        <f aca="false">IF(AND(AP68="Y",ISNUMBER(AO68)),AO68,0)</f>
        <v>4.76966334918088</v>
      </c>
      <c r="AT68" s="7" t="n">
        <f aca="false">IF(AS68&gt;0,AS68*AG68,0)</f>
        <v>21.6027013998816</v>
      </c>
      <c r="AU68" s="7" t="n">
        <f aca="false">IF(AS68&gt;0,AS68*AG68^2,0)</f>
        <v>97.842693206553</v>
      </c>
      <c r="AV68" s="9" t="n">
        <f aca="false">IF(AS68&gt;0,AS68^2,0)</f>
        <v>22.7496884645193</v>
      </c>
      <c r="AW68" s="7" t="n">
        <f aca="false">IF(AS68&gt;0,AG68,0)</f>
        <v>4.52918787310042</v>
      </c>
      <c r="AX68" s="7" t="n">
        <f aca="false">IF(AS68&gt;0,AH68,1)</f>
        <v>0.20965840286647</v>
      </c>
    </row>
    <row r="69" customFormat="false" ht="15" hidden="false" customHeight="false" outlineLevel="0" collapsed="false">
      <c r="A69" s="5" t="s">
        <v>349</v>
      </c>
      <c r="B69" s="5" t="s">
        <v>350</v>
      </c>
      <c r="C69" s="5" t="s">
        <v>351</v>
      </c>
      <c r="D69" s="5" t="n">
        <v>2025</v>
      </c>
      <c r="E69" s="5" t="s">
        <v>221</v>
      </c>
      <c r="F69" s="5" t="s">
        <v>260</v>
      </c>
      <c r="G69" s="5" t="s">
        <v>160</v>
      </c>
      <c r="H69" s="5" t="s">
        <v>131</v>
      </c>
      <c r="I69" s="5" t="s">
        <v>247</v>
      </c>
      <c r="J69" s="5" t="s">
        <v>162</v>
      </c>
      <c r="K69" s="5" t="s">
        <v>163</v>
      </c>
      <c r="L69" s="5" t="s">
        <v>164</v>
      </c>
      <c r="M69" s="5" t="s">
        <v>352</v>
      </c>
      <c r="N69" s="5" t="n">
        <v>40</v>
      </c>
      <c r="O69" s="5" t="s">
        <v>190</v>
      </c>
      <c r="P69" s="6" t="s">
        <v>82</v>
      </c>
      <c r="Q69" s="6" t="s">
        <v>83</v>
      </c>
      <c r="R69" s="5"/>
      <c r="S69" s="6" t="s">
        <v>353</v>
      </c>
      <c r="T69" s="5" t="s">
        <v>354</v>
      </c>
      <c r="U69" s="6" t="s">
        <v>86</v>
      </c>
      <c r="V69" s="5" t="n">
        <v>40</v>
      </c>
      <c r="W69" s="5" t="n">
        <v>3.5</v>
      </c>
      <c r="X69" s="5" t="n">
        <v>0.4</v>
      </c>
      <c r="Y69" s="5" t="n">
        <v>40</v>
      </c>
      <c r="Z69" s="5" t="n">
        <v>3.39</v>
      </c>
      <c r="AA69" s="5" t="n">
        <v>0.45</v>
      </c>
      <c r="AB69" s="5" t="s">
        <v>99</v>
      </c>
      <c r="AC69" s="5"/>
      <c r="AD69" s="5" t="n">
        <v>1</v>
      </c>
      <c r="AE69" s="7" t="n">
        <f aca="false">IFERROR(IF(AB69="MSD",IF(COUNT(V69,W69,X69,Y69,Z69,AA69)&lt;6,"",(W69-Z69)/SQRT(((V69-1)*X69^2+(Y69-1)*AA69^2)/(V69+Y69-2))*AD69),IF(AB69="t",AC69*SQRT(1/V69+1/Y69)*AD69,IF(AB69="F",SQRT(AC69)*SQRT(1/V69+1/Y69)*AD69,IF(AB69="z",2*(AC69/SQRT(V69+Y69))/SQRT(1-(AC69/SQRT(V69+Y69))^2)*AD69,IF(AB69="t_paired",AC69/SQRT(V69)*AD69,""))))),"")</f>
        <v>0.258376896586469</v>
      </c>
      <c r="AF69" s="7" t="n">
        <f aca="false">IF(AE69="","",IF(AB69="t_paired",1-3/(4*(V69-1)-1),1-3/(4*(V69+Y69)-9)))</f>
        <v>0.990353697749196</v>
      </c>
      <c r="AG69" s="7" t="n">
        <f aca="false">IF(AE69="","",AE69*AF69)</f>
        <v>0.255884514947371</v>
      </c>
      <c r="AH69" s="7" t="n">
        <f aca="false">IF(AG69="","",IF(AB69="t_paired",1/V69+AG69^2/(2*V69),(V69+Y69)/(V69*Y69)+AG69^2/(2*(V69+Y69))))</f>
        <v>0.0504092305311866</v>
      </c>
      <c r="AI69" s="7" t="n">
        <f aca="false">IF(AH69="","",SQRT(AH69))</f>
        <v>0.224520000292149</v>
      </c>
      <c r="AJ69" s="7" t="n">
        <f aca="false">IF(AI69="","",AG69-1.96*AI69)</f>
        <v>-0.184174685625241</v>
      </c>
      <c r="AK69" s="7" t="n">
        <f aca="false">IF(AI69="","",AG69+1.96*AI69)</f>
        <v>0.695943715519984</v>
      </c>
      <c r="AL69" s="7" t="n">
        <f aca="false">IF(AI69="","",AG69/AI69)</f>
        <v>1.13969586056659</v>
      </c>
      <c r="AM69" s="8" t="n">
        <f aca="false">IF(AL69="","",2*(1-NORMSDIST(ABS(AL69))))</f>
        <v>0.254413032318907</v>
      </c>
      <c r="AN69" s="9" t="n">
        <f aca="false">IF(COUNT(V69)=0,"",IF(AB69="t_paired",V69,V69+N(Y69)))</f>
        <v>80</v>
      </c>
      <c r="AO69" s="7" t="n">
        <f aca="false">IF(AH69="","",1/AH69)</f>
        <v>19.8376366681759</v>
      </c>
      <c r="AP69" s="5" t="s">
        <v>88</v>
      </c>
      <c r="AQ69" s="5" t="s">
        <v>167</v>
      </c>
      <c r="AR69" s="5"/>
      <c r="AS69" s="7" t="n">
        <f aca="false">IF(AND(AP69="Y",ISNUMBER(AO69)),AO69,0)</f>
        <v>19.8376366681759</v>
      </c>
      <c r="AT69" s="7" t="n">
        <f aca="false">IF(AS69&gt;0,AS69*AG69,0)</f>
        <v>5.07614403653839</v>
      </c>
      <c r="AU69" s="7" t="n">
        <f aca="false">IF(AS69&gt;0,AS69*AG69^2,0)</f>
        <v>1.29890665459262</v>
      </c>
      <c r="AV69" s="9" t="n">
        <f aca="false">IF(AS69&gt;0,AS69^2,0)</f>
        <v>393.531828578558</v>
      </c>
      <c r="AW69" s="7" t="n">
        <f aca="false">IF(AS69&gt;0,AG69,0)</f>
        <v>0.255884514947371</v>
      </c>
      <c r="AX69" s="7" t="n">
        <f aca="false">IF(AS69&gt;0,AH69,1)</f>
        <v>0.0504092305311866</v>
      </c>
    </row>
    <row r="70" customFormat="false" ht="15" hidden="false" customHeight="false" outlineLevel="0" collapsed="false">
      <c r="A70" s="5" t="s">
        <v>355</v>
      </c>
      <c r="B70" s="5" t="s">
        <v>350</v>
      </c>
      <c r="C70" s="5" t="s">
        <v>351</v>
      </c>
      <c r="D70" s="5" t="n">
        <v>2025</v>
      </c>
      <c r="E70" s="5" t="s">
        <v>221</v>
      </c>
      <c r="F70" s="5" t="s">
        <v>260</v>
      </c>
      <c r="G70" s="5" t="s">
        <v>160</v>
      </c>
      <c r="H70" s="5" t="s">
        <v>131</v>
      </c>
      <c r="I70" s="5" t="s">
        <v>247</v>
      </c>
      <c r="J70" s="5" t="s">
        <v>162</v>
      </c>
      <c r="K70" s="5" t="s">
        <v>163</v>
      </c>
      <c r="L70" s="5" t="s">
        <v>164</v>
      </c>
      <c r="M70" s="5" t="s">
        <v>352</v>
      </c>
      <c r="N70" s="5" t="n">
        <v>40</v>
      </c>
      <c r="O70" s="5" t="s">
        <v>190</v>
      </c>
      <c r="P70" s="6" t="s">
        <v>82</v>
      </c>
      <c r="Q70" s="6" t="s">
        <v>191</v>
      </c>
      <c r="R70" s="5"/>
      <c r="S70" s="6" t="s">
        <v>356</v>
      </c>
      <c r="T70" s="5" t="s">
        <v>354</v>
      </c>
      <c r="U70" s="6" t="s">
        <v>86</v>
      </c>
      <c r="V70" s="5" t="n">
        <v>40</v>
      </c>
      <c r="W70" s="5" t="n">
        <v>73.75</v>
      </c>
      <c r="X70" s="5" t="n">
        <v>11.42</v>
      </c>
      <c r="Y70" s="5" t="n">
        <v>40</v>
      </c>
      <c r="Z70" s="5" t="n">
        <v>67.75</v>
      </c>
      <c r="AA70" s="5" t="n">
        <v>10.69</v>
      </c>
      <c r="AB70" s="5" t="s">
        <v>99</v>
      </c>
      <c r="AC70" s="5"/>
      <c r="AD70" s="5" t="n">
        <v>1</v>
      </c>
      <c r="AE70" s="7" t="n">
        <f aca="false">IFERROR(IF(AB70="MSD",IF(COUNT(V70,W70,X70,Y70,Z70,AA70)&lt;6,"",(W70-Z70)/SQRT(((V70-1)*X70^2+(Y70-1)*AA70^2)/(V70+Y70-2))*AD70),IF(AB70="t",AC70*SQRT(1/V70+1/Y70)*AD70,IF(AB70="F",SQRT(AC70)*SQRT(1/V70+1/Y70)*AD70,IF(AB70="z",2*(AC70/SQRT(V70+Y70))/SQRT(1-(AC70/SQRT(V70+Y70))^2)*AD70,IF(AB70="t_paired",AC70/SQRT(V70)*AD70,""))))),"")</f>
        <v>0.542445260700075</v>
      </c>
      <c r="AF70" s="7" t="n">
        <f aca="false">IF(AE70="","",IF(AB70="t_paired",1-3/(4*(V70-1)-1),1-3/(4*(V70+Y70)-9)))</f>
        <v>0.990353697749196</v>
      </c>
      <c r="AG70" s="7" t="n">
        <f aca="false">IF(AE70="","",AE70*AF70)</f>
        <v>0.537212669760846</v>
      </c>
      <c r="AH70" s="7" t="n">
        <f aca="false">IF(AG70="","",IF(AB70="t_paired",1/V70+AG70^2/(2*V70),(V70+Y70)/(V70*Y70)+AG70^2/(2*(V70+Y70))))</f>
        <v>0.0518037340784474</v>
      </c>
      <c r="AI70" s="7" t="n">
        <f aca="false">IF(AH70="","",SQRT(AH70))</f>
        <v>0.227604336686381</v>
      </c>
      <c r="AJ70" s="7" t="n">
        <f aca="false">IF(AI70="","",AG70-1.96*AI70)</f>
        <v>0.0911081698555398</v>
      </c>
      <c r="AK70" s="7" t="n">
        <f aca="false">IF(AI70="","",AG70+1.96*AI70)</f>
        <v>0.983317169666152</v>
      </c>
      <c r="AL70" s="7" t="n">
        <f aca="false">IF(AI70="","",AG70/AI70)</f>
        <v>2.36029188890667</v>
      </c>
      <c r="AM70" s="8" t="n">
        <f aca="false">IF(AL70="","",2*(1-NORMSDIST(ABS(AL70))))</f>
        <v>0.0182605608242854</v>
      </c>
      <c r="AN70" s="9" t="n">
        <f aca="false">IF(COUNT(V70)=0,"",IF(AB70="t_paired",V70,V70+N(Y70)))</f>
        <v>80</v>
      </c>
      <c r="AO70" s="7" t="n">
        <f aca="false">IF(AH70="","",1/AH70)</f>
        <v>19.3036277748952</v>
      </c>
      <c r="AP70" s="5" t="s">
        <v>88</v>
      </c>
      <c r="AQ70" s="5" t="s">
        <v>167</v>
      </c>
      <c r="AR70" s="5"/>
      <c r="AS70" s="7" t="n">
        <f aca="false">IF(AND(AP70="Y",ISNUMBER(AO70)),AO70,0)</f>
        <v>19.3036277748952</v>
      </c>
      <c r="AT70" s="7" t="n">
        <f aca="false">IF(AS70&gt;0,AS70*AG70,0)</f>
        <v>10.3701534130211</v>
      </c>
      <c r="AU70" s="7" t="n">
        <f aca="false">IF(AS70&gt;0,AS70*AG70^2,0)</f>
        <v>5.57097780083859</v>
      </c>
      <c r="AV70" s="9" t="n">
        <f aca="false">IF(AS70&gt;0,AS70^2,0)</f>
        <v>372.630045271705</v>
      </c>
      <c r="AW70" s="7" t="n">
        <f aca="false">IF(AS70&gt;0,AG70,0)</f>
        <v>0.537212669760846</v>
      </c>
      <c r="AX70" s="7" t="n">
        <f aca="false">IF(AS70&gt;0,AH70,1)</f>
        <v>0.0518037340784474</v>
      </c>
    </row>
    <row r="71" customFormat="false" ht="15" hidden="false" customHeight="false" outlineLevel="0" collapsed="false">
      <c r="A71" s="5" t="s">
        <v>357</v>
      </c>
      <c r="B71" s="5" t="s">
        <v>358</v>
      </c>
      <c r="C71" s="5" t="s">
        <v>359</v>
      </c>
      <c r="D71" s="5" t="n">
        <v>2024</v>
      </c>
      <c r="E71" s="5" t="s">
        <v>360</v>
      </c>
      <c r="F71" s="5" t="s">
        <v>173</v>
      </c>
      <c r="G71" s="5" t="s">
        <v>160</v>
      </c>
      <c r="H71" s="5" t="s">
        <v>131</v>
      </c>
      <c r="I71" s="5" t="s">
        <v>247</v>
      </c>
      <c r="J71" s="5" t="s">
        <v>162</v>
      </c>
      <c r="K71" s="5" t="s">
        <v>163</v>
      </c>
      <c r="L71" s="5" t="s">
        <v>164</v>
      </c>
      <c r="M71" s="5" t="s">
        <v>361</v>
      </c>
      <c r="N71" s="5" t="n">
        <v>20</v>
      </c>
      <c r="O71" s="5" t="s">
        <v>261</v>
      </c>
      <c r="P71" s="10" t="s">
        <v>82</v>
      </c>
      <c r="Q71" s="10" t="s">
        <v>83</v>
      </c>
      <c r="R71" s="5"/>
      <c r="S71" s="10" t="s">
        <v>362</v>
      </c>
      <c r="T71" s="5" t="s">
        <v>363</v>
      </c>
      <c r="U71" s="10" t="s">
        <v>98</v>
      </c>
      <c r="V71" s="5" t="n">
        <v>33</v>
      </c>
      <c r="W71" s="5" t="n">
        <v>6.14</v>
      </c>
      <c r="X71" s="5" t="n">
        <v>1.01</v>
      </c>
      <c r="Y71" s="5" t="n">
        <v>32</v>
      </c>
      <c r="Z71" s="5" t="n">
        <v>6</v>
      </c>
      <c r="AA71" s="5" t="n">
        <v>0.91</v>
      </c>
      <c r="AB71" s="5" t="s">
        <v>99</v>
      </c>
      <c r="AC71" s="5"/>
      <c r="AD71" s="5" t="n">
        <v>1</v>
      </c>
      <c r="AE71" s="7" t="n">
        <f aca="false">IFERROR(IF(AB71="MSD",IF(COUNT(V71,W71,X71,Y71,Z71,AA71)&lt;6,"",(W71-Z71)/SQRT(((V71-1)*X71^2+(Y71-1)*AA71^2)/(V71+Y71-2))*AD71),IF(AB71="t",AC71*SQRT(1/V71+1/Y71)*AD71,IF(AB71="F",SQRT(AC71)*SQRT(1/V71+1/Y71)*AD71,IF(AB71="z",2*(AC71/SQRT(V71+Y71))/SQRT(1-(AC71/SQRT(V71+Y71))^2)*AD71,IF(AB71="t_paired",AC71/SQRT(V71)*AD71,""))))),"")</f>
        <v>0.145516009670176</v>
      </c>
      <c r="AF71" s="7" t="n">
        <f aca="false">IF(AE71="","",IF(AB71="t_paired",1-3/(4*(V71-1)-1),1-3/(4*(V71+Y71)-9)))</f>
        <v>0.98804780876494</v>
      </c>
      <c r="AG71" s="7" t="n">
        <f aca="false">IF(AE71="","",AE71*AF71)</f>
        <v>0.143776774494836</v>
      </c>
      <c r="AH71" s="7" t="n">
        <f aca="false">IF(AG71="","",IF(AB71="t_paired",1/V71+AG71^2/(2*V71),(V71+Y71)/(V71*Y71)+AG71^2/(2*(V71+Y71))))</f>
        <v>0.0617120438482929</v>
      </c>
      <c r="AI71" s="7" t="n">
        <f aca="false">IF(AH71="","",SQRT(AH71))</f>
        <v>0.24841908913828</v>
      </c>
      <c r="AJ71" s="7" t="n">
        <f aca="false">IF(AI71="","",AG71-1.96*AI71)</f>
        <v>-0.343124640216194</v>
      </c>
      <c r="AK71" s="7" t="n">
        <f aca="false">IF(AI71="","",AG71+1.96*AI71)</f>
        <v>0.630678189205865</v>
      </c>
      <c r="AL71" s="7" t="n">
        <f aca="false">IF(AI71="","",AG71/AI71)</f>
        <v>0.578767014216059</v>
      </c>
      <c r="AM71" s="8" t="n">
        <f aca="false">IF(AL71="","",2*(1-NORMSDIST(ABS(AL71))))</f>
        <v>0.562746391119451</v>
      </c>
      <c r="AN71" s="9" t="n">
        <f aca="false">IF(COUNT(V71)=0,"",IF(AB71="t_paired",V71,V71+N(Y71)))</f>
        <v>65</v>
      </c>
      <c r="AO71" s="7" t="n">
        <f aca="false">IF(AH71="","",1/AH71)</f>
        <v>16.204292349453</v>
      </c>
      <c r="AP71" s="5" t="s">
        <v>100</v>
      </c>
      <c r="AQ71" s="5" t="s">
        <v>178</v>
      </c>
      <c r="AR71" s="5" t="s">
        <v>364</v>
      </c>
      <c r="AS71" s="9" t="n">
        <f aca="false">IF(AND(AP71="Y",ISNUMBER(AO71)),AO71,0)</f>
        <v>0</v>
      </c>
      <c r="AT71" s="7" t="n">
        <f aca="false">IF(AS71&gt;0,AS71*AG71,0)</f>
        <v>0</v>
      </c>
      <c r="AU71" s="7" t="n">
        <f aca="false">IF(AS71&gt;0,AS71*AG71^2,0)</f>
        <v>0</v>
      </c>
      <c r="AV71" s="9" t="n">
        <f aca="false">IF(AS71&gt;0,AS71^2,0)</f>
        <v>0</v>
      </c>
      <c r="AW71" s="7" t="n">
        <f aca="false">IF(AS71&gt;0,AG71,0)</f>
        <v>0</v>
      </c>
      <c r="AX71" s="7" t="n">
        <f aca="false">IF(AS71&gt;0,AH71,1)</f>
        <v>1</v>
      </c>
    </row>
    <row r="72" customFormat="false" ht="15" hidden="false" customHeight="false" outlineLevel="0" collapsed="false">
      <c r="A72" s="5" t="s">
        <v>365</v>
      </c>
      <c r="B72" s="5" t="s">
        <v>358</v>
      </c>
      <c r="C72" s="5" t="s">
        <v>359</v>
      </c>
      <c r="D72" s="5" t="n">
        <v>2024</v>
      </c>
      <c r="E72" s="5" t="s">
        <v>360</v>
      </c>
      <c r="F72" s="5" t="s">
        <v>173</v>
      </c>
      <c r="G72" s="5" t="s">
        <v>160</v>
      </c>
      <c r="H72" s="5" t="s">
        <v>131</v>
      </c>
      <c r="I72" s="5" t="s">
        <v>247</v>
      </c>
      <c r="J72" s="5" t="s">
        <v>162</v>
      </c>
      <c r="K72" s="5" t="s">
        <v>163</v>
      </c>
      <c r="L72" s="5" t="s">
        <v>164</v>
      </c>
      <c r="M72" s="5" t="s">
        <v>361</v>
      </c>
      <c r="N72" s="5" t="n">
        <v>20</v>
      </c>
      <c r="O72" s="5" t="s">
        <v>261</v>
      </c>
      <c r="P72" s="6" t="s">
        <v>82</v>
      </c>
      <c r="Q72" s="6" t="s">
        <v>83</v>
      </c>
      <c r="R72" s="5"/>
      <c r="S72" s="6" t="s">
        <v>362</v>
      </c>
      <c r="T72" s="5" t="s">
        <v>363</v>
      </c>
      <c r="U72" s="6" t="s">
        <v>86</v>
      </c>
      <c r="V72" s="5" t="n">
        <v>33</v>
      </c>
      <c r="W72" s="5" t="n">
        <v>6.93</v>
      </c>
      <c r="X72" s="5" t="n">
        <v>0.94</v>
      </c>
      <c r="Y72" s="5" t="n">
        <v>32</v>
      </c>
      <c r="Z72" s="5" t="n">
        <v>6.16</v>
      </c>
      <c r="AA72" s="5" t="n">
        <v>0.9</v>
      </c>
      <c r="AB72" s="5" t="s">
        <v>99</v>
      </c>
      <c r="AC72" s="5"/>
      <c r="AD72" s="5" t="n">
        <v>1</v>
      </c>
      <c r="AE72" s="7" t="n">
        <f aca="false">IFERROR(IF(AB72="MSD",IF(COUNT(V72,W72,X72,Y72,Z72,AA72)&lt;6,"",(W72-Z72)/SQRT(((V72-1)*X72^2+(Y72-1)*AA72^2)/(V72+Y72-2))*AD72),IF(AB72="t",AC72*SQRT(1/V72+1/Y72)*AD72,IF(AB72="F",SQRT(AC72)*SQRT(1/V72+1/Y72)*AD72,IF(AB72="z",2*(AC72/SQRT(V72+Y72))/SQRT(1-(AC72/SQRT(V72+Y72))^2)*AD72,IF(AB72="t_paired",AC72/SQRT(V72)*AD72,""))))),"")</f>
        <v>0.836470372213032</v>
      </c>
      <c r="AF72" s="7" t="n">
        <f aca="false">IF(AE72="","",IF(AB72="t_paired",1-3/(4*(V72-1)-1),1-3/(4*(V72+Y72)-9)))</f>
        <v>0.98804780876494</v>
      </c>
      <c r="AG72" s="7" t="n">
        <f aca="false">IF(AE72="","",AE72*AF72)</f>
        <v>0.82647271836188</v>
      </c>
      <c r="AH72" s="7" t="n">
        <f aca="false">IF(AG72="","",IF(AB72="t_paired",1/V72+AG72^2/(2*V72),(V72+Y72)/(V72*Y72)+AG72^2/(2*(V72+Y72))))</f>
        <v>0.0668073161045417</v>
      </c>
      <c r="AI72" s="7" t="n">
        <f aca="false">IF(AH72="","",SQRT(AH72))</f>
        <v>0.258471112708058</v>
      </c>
      <c r="AJ72" s="7" t="n">
        <f aca="false">IF(AI72="","",AG72-1.96*AI72)</f>
        <v>0.319869337454086</v>
      </c>
      <c r="AK72" s="7" t="n">
        <f aca="false">IF(AI72="","",AG72+1.96*AI72)</f>
        <v>1.33307609926967</v>
      </c>
      <c r="AL72" s="7" t="n">
        <f aca="false">IF(AI72="","",AG72/AI72)</f>
        <v>3.19754385587908</v>
      </c>
      <c r="AM72" s="8" t="n">
        <f aca="false">IF(AL72="","",2*(1-NORMSDIST(ABS(AL72))))</f>
        <v>0.00138603333677723</v>
      </c>
      <c r="AN72" s="9" t="n">
        <f aca="false">IF(COUNT(V72)=0,"",IF(AB72="t_paired",V72,V72+N(Y72)))</f>
        <v>65</v>
      </c>
      <c r="AO72" s="7" t="n">
        <f aca="false">IF(AH72="","",1/AH72)</f>
        <v>14.9684205010597</v>
      </c>
      <c r="AP72" s="5" t="s">
        <v>88</v>
      </c>
      <c r="AQ72" s="5" t="s">
        <v>178</v>
      </c>
      <c r="AR72" s="5" t="s">
        <v>364</v>
      </c>
      <c r="AS72" s="7" t="n">
        <f aca="false">IF(AND(AP72="Y",ISNUMBER(AO72)),AO72,0)</f>
        <v>14.9684205010597</v>
      </c>
      <c r="AT72" s="7" t="n">
        <f aca="false">IF(AS72&gt;0,AS72*AG72,0)</f>
        <v>12.3709911810945</v>
      </c>
      <c r="AU72" s="7" t="n">
        <f aca="false">IF(AS72&gt;0,AS72*AG72^2,0)</f>
        <v>10.22428671027</v>
      </c>
      <c r="AV72" s="9" t="n">
        <f aca="false">IF(AS72&gt;0,AS72^2,0)</f>
        <v>224.053612296546</v>
      </c>
      <c r="AW72" s="7" t="n">
        <f aca="false">IF(AS72&gt;0,AG72,0)</f>
        <v>0.82647271836188</v>
      </c>
      <c r="AX72" s="7" t="n">
        <f aca="false">IF(AS72&gt;0,AH72,1)</f>
        <v>0.0668073161045417</v>
      </c>
    </row>
    <row r="73" customFormat="false" ht="15" hidden="false" customHeight="false" outlineLevel="0" collapsed="false">
      <c r="A73" s="5" t="s">
        <v>366</v>
      </c>
      <c r="B73" s="5" t="s">
        <v>358</v>
      </c>
      <c r="C73" s="5" t="s">
        <v>359</v>
      </c>
      <c r="D73" s="5" t="n">
        <v>2024</v>
      </c>
      <c r="E73" s="5" t="s">
        <v>360</v>
      </c>
      <c r="F73" s="5" t="s">
        <v>173</v>
      </c>
      <c r="G73" s="5" t="s">
        <v>160</v>
      </c>
      <c r="H73" s="5" t="s">
        <v>131</v>
      </c>
      <c r="I73" s="5" t="s">
        <v>247</v>
      </c>
      <c r="J73" s="5" t="s">
        <v>162</v>
      </c>
      <c r="K73" s="5" t="s">
        <v>163</v>
      </c>
      <c r="L73" s="5" t="s">
        <v>164</v>
      </c>
      <c r="M73" s="5" t="s">
        <v>361</v>
      </c>
      <c r="N73" s="5" t="n">
        <v>20</v>
      </c>
      <c r="O73" s="5" t="s">
        <v>261</v>
      </c>
      <c r="P73" s="10" t="s">
        <v>82</v>
      </c>
      <c r="Q73" s="10" t="s">
        <v>83</v>
      </c>
      <c r="R73" s="5"/>
      <c r="S73" s="10" t="s">
        <v>367</v>
      </c>
      <c r="T73" s="5" t="s">
        <v>363</v>
      </c>
      <c r="U73" s="10" t="s">
        <v>98</v>
      </c>
      <c r="V73" s="5" t="n">
        <v>33</v>
      </c>
      <c r="W73" s="5" t="n">
        <v>5.08</v>
      </c>
      <c r="X73" s="5" t="n">
        <v>0.94</v>
      </c>
      <c r="Y73" s="5" t="n">
        <v>32</v>
      </c>
      <c r="Z73" s="5" t="n">
        <v>5.29</v>
      </c>
      <c r="AA73" s="5" t="n">
        <v>0.97</v>
      </c>
      <c r="AB73" s="5" t="s">
        <v>99</v>
      </c>
      <c r="AC73" s="5"/>
      <c r="AD73" s="5" t="n">
        <v>1</v>
      </c>
      <c r="AE73" s="7" t="n">
        <f aca="false">IFERROR(IF(AB73="MSD",IF(COUNT(V73,W73,X73,Y73,Z73,AA73)&lt;6,"",(W73-Z73)/SQRT(((V73-1)*X73^2+(Y73-1)*AA73^2)/(V73+Y73-2))*AD73),IF(AB73="t",AC73*SQRT(1/V73+1/Y73)*AD73,IF(AB73="F",SQRT(AC73)*SQRT(1/V73+1/Y73)*AD73,IF(AB73="z",2*(AC73/SQRT(V73+Y73))/SQRT(1-(AC73/SQRT(V73+Y73))^2)*AD73,IF(AB73="t_paired",AC73/SQRT(V73)*AD73,""))))),"")</f>
        <v>-0.219922991753694</v>
      </c>
      <c r="AF73" s="7" t="n">
        <f aca="false">IF(AE73="","",IF(AB73="t_paired",1-3/(4*(V73-1)-1),1-3/(4*(V73+Y73)-9)))</f>
        <v>0.98804780876494</v>
      </c>
      <c r="AG73" s="7" t="n">
        <f aca="false">IF(AE73="","",AE73*AF73)</f>
        <v>-0.217294430099267</v>
      </c>
      <c r="AH73" s="7" t="n">
        <f aca="false">IF(AG73="","",IF(AB73="t_paired",1/V73+AG73^2/(2*V73),(V73+Y73)/(V73*Y73)+AG73^2/(2*(V73+Y73))))</f>
        <v>0.0619162369903547</v>
      </c>
      <c r="AI73" s="7" t="n">
        <f aca="false">IF(AH73="","",SQRT(AH73))</f>
        <v>0.248829734940088</v>
      </c>
      <c r="AJ73" s="7" t="n">
        <f aca="false">IF(AI73="","",AG73-1.96*AI73)</f>
        <v>-0.70500071058184</v>
      </c>
      <c r="AK73" s="7" t="n">
        <f aca="false">IF(AI73="","",AG73+1.96*AI73)</f>
        <v>0.270411850383306</v>
      </c>
      <c r="AL73" s="7" t="n">
        <f aca="false">IF(AI73="","",AG73/AI73)</f>
        <v>-0.873265528943259</v>
      </c>
      <c r="AM73" s="8" t="n">
        <f aca="false">IF(AL73="","",2*(1-NORMSDIST(ABS(AL73))))</f>
        <v>0.382518364776333</v>
      </c>
      <c r="AN73" s="9" t="n">
        <f aca="false">IF(COUNT(V73)=0,"",IF(AB73="t_paired",V73,V73+N(Y73)))</f>
        <v>65</v>
      </c>
      <c r="AO73" s="7" t="n">
        <f aca="false">IF(AH73="","",1/AH73)</f>
        <v>16.1508523225625</v>
      </c>
      <c r="AP73" s="5" t="s">
        <v>100</v>
      </c>
      <c r="AQ73" s="5" t="s">
        <v>178</v>
      </c>
      <c r="AR73" s="5" t="s">
        <v>368</v>
      </c>
      <c r="AS73" s="9" t="n">
        <f aca="false">IF(AND(AP73="Y",ISNUMBER(AO73)),AO73,0)</f>
        <v>0</v>
      </c>
      <c r="AT73" s="7" t="n">
        <f aca="false">IF(AS73&gt;0,AS73*AG73,0)</f>
        <v>0</v>
      </c>
      <c r="AU73" s="7" t="n">
        <f aca="false">IF(AS73&gt;0,AS73*AG73^2,0)</f>
        <v>0</v>
      </c>
      <c r="AV73" s="9" t="n">
        <f aca="false">IF(AS73&gt;0,AS73^2,0)</f>
        <v>0</v>
      </c>
      <c r="AW73" s="7" t="n">
        <f aca="false">IF(AS73&gt;0,AG73,0)</f>
        <v>0</v>
      </c>
      <c r="AX73" s="7" t="n">
        <f aca="false">IF(AS73&gt;0,AH73,1)</f>
        <v>1</v>
      </c>
    </row>
    <row r="74" customFormat="false" ht="15" hidden="false" customHeight="false" outlineLevel="0" collapsed="false">
      <c r="A74" s="5" t="s">
        <v>369</v>
      </c>
      <c r="B74" s="5" t="s">
        <v>358</v>
      </c>
      <c r="C74" s="5" t="s">
        <v>359</v>
      </c>
      <c r="D74" s="5" t="n">
        <v>2024</v>
      </c>
      <c r="E74" s="5" t="s">
        <v>360</v>
      </c>
      <c r="F74" s="5" t="s">
        <v>173</v>
      </c>
      <c r="G74" s="5" t="s">
        <v>160</v>
      </c>
      <c r="H74" s="5" t="s">
        <v>131</v>
      </c>
      <c r="I74" s="5" t="s">
        <v>247</v>
      </c>
      <c r="J74" s="5" t="s">
        <v>162</v>
      </c>
      <c r="K74" s="5" t="s">
        <v>163</v>
      </c>
      <c r="L74" s="5" t="s">
        <v>164</v>
      </c>
      <c r="M74" s="5" t="s">
        <v>361</v>
      </c>
      <c r="N74" s="5" t="n">
        <v>20</v>
      </c>
      <c r="O74" s="5" t="s">
        <v>261</v>
      </c>
      <c r="P74" s="6" t="s">
        <v>82</v>
      </c>
      <c r="Q74" s="6" t="s">
        <v>83</v>
      </c>
      <c r="R74" s="5"/>
      <c r="S74" s="6" t="s">
        <v>367</v>
      </c>
      <c r="T74" s="5" t="s">
        <v>363</v>
      </c>
      <c r="U74" s="6" t="s">
        <v>86</v>
      </c>
      <c r="V74" s="5" t="n">
        <v>33</v>
      </c>
      <c r="W74" s="5" t="n">
        <v>6.28</v>
      </c>
      <c r="X74" s="5" t="n">
        <v>0.79</v>
      </c>
      <c r="Y74" s="5" t="n">
        <v>32</v>
      </c>
      <c r="Z74" s="5" t="n">
        <v>5.58</v>
      </c>
      <c r="AA74" s="5" t="n">
        <v>0.84</v>
      </c>
      <c r="AB74" s="5" t="s">
        <v>99</v>
      </c>
      <c r="AC74" s="5"/>
      <c r="AD74" s="5" t="n">
        <v>1</v>
      </c>
      <c r="AE74" s="7" t="n">
        <f aca="false">IFERROR(IF(AB74="MSD",IF(COUNT(V74,W74,X74,Y74,Z74,AA74)&lt;6,"",(W74-Z74)/SQRT(((V74-1)*X74^2+(Y74-1)*AA74^2)/(V74+Y74-2))*AD74),IF(AB74="t",AC74*SQRT(1/V74+1/Y74)*AD74,IF(AB74="F",SQRT(AC74)*SQRT(1/V74+1/Y74)*AD74,IF(AB74="z",2*(AC74/SQRT(V74+Y74))/SQRT(1-(AC74/SQRT(V74+Y74))^2)*AD74,IF(AB74="t_paired",AC74/SQRT(V74)*AD74,""))))),"")</f>
        <v>0.858909816855421</v>
      </c>
      <c r="AF74" s="7" t="n">
        <f aca="false">IF(AE74="","",IF(AB74="t_paired",1-3/(4*(V74-1)-1),1-3/(4*(V74+Y74)-9)))</f>
        <v>0.98804780876494</v>
      </c>
      <c r="AG74" s="7" t="n">
        <f aca="false">IF(AE74="","",AE74*AF74)</f>
        <v>0.848643962470695</v>
      </c>
      <c r="AH74" s="7" t="n">
        <f aca="false">IF(AG74="","",IF(AB74="t_paired",1/V74+AG74^2/(2*V74),(V74+Y74)/(V74*Y74)+AG74^2/(2*(V74+Y74))))</f>
        <v>0.0670930039571685</v>
      </c>
      <c r="AI74" s="7" t="n">
        <f aca="false">IF(AH74="","",SQRT(AH74))</f>
        <v>0.259023172625865</v>
      </c>
      <c r="AJ74" s="7" t="n">
        <f aca="false">IF(AI74="","",AG74-1.96*AI74)</f>
        <v>0.340958544124</v>
      </c>
      <c r="AK74" s="7" t="n">
        <f aca="false">IF(AI74="","",AG74+1.96*AI74)</f>
        <v>1.35632938081739</v>
      </c>
      <c r="AL74" s="7" t="n">
        <f aca="false">IF(AI74="","",AG74/AI74)</f>
        <v>3.27632448428266</v>
      </c>
      <c r="AM74" s="8" t="n">
        <f aca="false">IF(AL74="","",2*(1-NORMSDIST(ABS(AL74))))</f>
        <v>0.00105167656914951</v>
      </c>
      <c r="AN74" s="9" t="n">
        <f aca="false">IF(COUNT(V74)=0,"",IF(AB74="t_paired",V74,V74+N(Y74)))</f>
        <v>65</v>
      </c>
      <c r="AO74" s="7" t="n">
        <f aca="false">IF(AH74="","",1/AH74)</f>
        <v>14.9046836632682</v>
      </c>
      <c r="AP74" s="5" t="s">
        <v>88</v>
      </c>
      <c r="AQ74" s="5" t="s">
        <v>178</v>
      </c>
      <c r="AR74" s="5" t="s">
        <v>368</v>
      </c>
      <c r="AS74" s="7" t="n">
        <f aca="false">IF(AND(AP74="Y",ISNUMBER(AO74)),AO74,0)</f>
        <v>14.9046836632682</v>
      </c>
      <c r="AT74" s="7" t="n">
        <f aca="false">IF(AS74&gt;0,AS74*AG74,0)</f>
        <v>12.6487698033682</v>
      </c>
      <c r="AU74" s="7" t="n">
        <f aca="false">IF(AS74&gt;0,AS74*AG74^2,0)</f>
        <v>10.7343021263101</v>
      </c>
      <c r="AV74" s="9" t="n">
        <f aca="false">IF(AS74&gt;0,AS74^2,0)</f>
        <v>222.149595102095</v>
      </c>
      <c r="AW74" s="7" t="n">
        <f aca="false">IF(AS74&gt;0,AG74,0)</f>
        <v>0.848643962470695</v>
      </c>
      <c r="AX74" s="7" t="n">
        <f aca="false">IF(AS74&gt;0,AH74,1)</f>
        <v>0.0670930039571685</v>
      </c>
    </row>
    <row r="75" customFormat="false" ht="15" hidden="false" customHeight="false" outlineLevel="0" collapsed="false">
      <c r="A75" s="5" t="s">
        <v>370</v>
      </c>
      <c r="B75" s="5" t="s">
        <v>358</v>
      </c>
      <c r="C75" s="5" t="s">
        <v>359</v>
      </c>
      <c r="D75" s="5" t="n">
        <v>2024</v>
      </c>
      <c r="E75" s="5" t="s">
        <v>360</v>
      </c>
      <c r="F75" s="5" t="s">
        <v>173</v>
      </c>
      <c r="G75" s="5" t="s">
        <v>160</v>
      </c>
      <c r="H75" s="5" t="s">
        <v>131</v>
      </c>
      <c r="I75" s="5" t="s">
        <v>247</v>
      </c>
      <c r="J75" s="5" t="s">
        <v>162</v>
      </c>
      <c r="K75" s="5" t="s">
        <v>163</v>
      </c>
      <c r="L75" s="5" t="s">
        <v>164</v>
      </c>
      <c r="M75" s="5" t="s">
        <v>361</v>
      </c>
      <c r="N75" s="5" t="n">
        <v>20</v>
      </c>
      <c r="O75" s="5" t="s">
        <v>261</v>
      </c>
      <c r="P75" s="10" t="s">
        <v>82</v>
      </c>
      <c r="Q75" s="10" t="s">
        <v>191</v>
      </c>
      <c r="R75" s="5"/>
      <c r="S75" s="10" t="s">
        <v>371</v>
      </c>
      <c r="T75" s="5" t="s">
        <v>363</v>
      </c>
      <c r="U75" s="10" t="s">
        <v>98</v>
      </c>
      <c r="V75" s="5" t="n">
        <v>33</v>
      </c>
      <c r="W75" s="5" t="n">
        <v>5.95</v>
      </c>
      <c r="X75" s="5" t="n">
        <v>1.03</v>
      </c>
      <c r="Y75" s="5" t="n">
        <v>32</v>
      </c>
      <c r="Z75" s="5" t="n">
        <v>5.86</v>
      </c>
      <c r="AA75" s="5" t="n">
        <v>0.87</v>
      </c>
      <c r="AB75" s="5" t="s">
        <v>99</v>
      </c>
      <c r="AC75" s="5"/>
      <c r="AD75" s="5" t="n">
        <v>1</v>
      </c>
      <c r="AE75" s="7" t="n">
        <f aca="false">IFERROR(IF(AB75="MSD",IF(COUNT(V75,W75,X75,Y75,Z75,AA75)&lt;6,"",(W75-Z75)/SQRT(((V75-1)*X75^2+(Y75-1)*AA75^2)/(V75+Y75-2))*AD75),IF(AB75="t",AC75*SQRT(1/V75+1/Y75)*AD75,IF(AB75="F",SQRT(AC75)*SQRT(1/V75+1/Y75)*AD75,IF(AB75="z",2*(AC75/SQRT(V75+Y75))/SQRT(1-(AC75/SQRT(V75+Y75))^2)*AD75,IF(AB75="t_paired",AC75/SQRT(V75)*AD75,""))))),"")</f>
        <v>0.0942776608341934</v>
      </c>
      <c r="AF75" s="7" t="n">
        <f aca="false">IF(AE75="","",IF(AB75="t_paired",1-3/(4*(V75-1)-1),1-3/(4*(V75+Y75)-9)))</f>
        <v>0.98804780876494</v>
      </c>
      <c r="AG75" s="7" t="n">
        <f aca="false">IF(AE75="","",AE75*AF75)</f>
        <v>0.093150836202709</v>
      </c>
      <c r="AH75" s="7" t="n">
        <f aca="false">IF(AG75="","",IF(AB75="t_paired",1/V75+AG75^2/(2*V75),(V75+Y75)/(V75*Y75)+AG75^2/(2*(V75+Y75))))</f>
        <v>0.0616197770590708</v>
      </c>
      <c r="AI75" s="7" t="n">
        <f aca="false">IF(AH75="","",SQRT(AH75))</f>
        <v>0.248233311743349</v>
      </c>
      <c r="AJ75" s="7" t="n">
        <f aca="false">IF(AI75="","",AG75-1.96*AI75)</f>
        <v>-0.393386454814256</v>
      </c>
      <c r="AK75" s="7" t="n">
        <f aca="false">IF(AI75="","",AG75+1.96*AI75)</f>
        <v>0.579688127219673</v>
      </c>
      <c r="AL75" s="7" t="n">
        <f aca="false">IF(AI75="","",AG75/AI75)</f>
        <v>0.375255180493336</v>
      </c>
      <c r="AM75" s="8" t="n">
        <f aca="false">IF(AL75="","",2*(1-NORMSDIST(ABS(AL75))))</f>
        <v>0.707470695404011</v>
      </c>
      <c r="AN75" s="9" t="n">
        <f aca="false">IF(COUNT(V75)=0,"",IF(AB75="t_paired",V75,V75+N(Y75)))</f>
        <v>65</v>
      </c>
      <c r="AO75" s="7" t="n">
        <f aca="false">IF(AH75="","",1/AH75)</f>
        <v>16.2285559560101</v>
      </c>
      <c r="AP75" s="5" t="s">
        <v>100</v>
      </c>
      <c r="AQ75" s="5" t="s">
        <v>178</v>
      </c>
      <c r="AR75" s="5" t="s">
        <v>372</v>
      </c>
      <c r="AS75" s="9" t="n">
        <f aca="false">IF(AND(AP75="Y",ISNUMBER(AO75)),AO75,0)</f>
        <v>0</v>
      </c>
      <c r="AT75" s="7" t="n">
        <f aca="false">IF(AS75&gt;0,AS75*AG75,0)</f>
        <v>0</v>
      </c>
      <c r="AU75" s="7" t="n">
        <f aca="false">IF(AS75&gt;0,AS75*AG75^2,0)</f>
        <v>0</v>
      </c>
      <c r="AV75" s="9" t="n">
        <f aca="false">IF(AS75&gt;0,AS75^2,0)</f>
        <v>0</v>
      </c>
      <c r="AW75" s="7" t="n">
        <f aca="false">IF(AS75&gt;0,AG75,0)</f>
        <v>0</v>
      </c>
      <c r="AX75" s="7" t="n">
        <f aca="false">IF(AS75&gt;0,AH75,1)</f>
        <v>1</v>
      </c>
    </row>
    <row r="76" customFormat="false" ht="15" hidden="false" customHeight="false" outlineLevel="0" collapsed="false">
      <c r="A76" s="5" t="s">
        <v>373</v>
      </c>
      <c r="B76" s="5" t="s">
        <v>358</v>
      </c>
      <c r="C76" s="5" t="s">
        <v>359</v>
      </c>
      <c r="D76" s="5" t="n">
        <v>2024</v>
      </c>
      <c r="E76" s="5" t="s">
        <v>360</v>
      </c>
      <c r="F76" s="5" t="s">
        <v>173</v>
      </c>
      <c r="G76" s="5" t="s">
        <v>160</v>
      </c>
      <c r="H76" s="5" t="s">
        <v>131</v>
      </c>
      <c r="I76" s="5" t="s">
        <v>247</v>
      </c>
      <c r="J76" s="5" t="s">
        <v>162</v>
      </c>
      <c r="K76" s="5" t="s">
        <v>163</v>
      </c>
      <c r="L76" s="5" t="s">
        <v>164</v>
      </c>
      <c r="M76" s="5" t="s">
        <v>361</v>
      </c>
      <c r="N76" s="5" t="n">
        <v>20</v>
      </c>
      <c r="O76" s="5" t="s">
        <v>261</v>
      </c>
      <c r="P76" s="6" t="s">
        <v>82</v>
      </c>
      <c r="Q76" s="6" t="s">
        <v>191</v>
      </c>
      <c r="R76" s="5"/>
      <c r="S76" s="6" t="s">
        <v>371</v>
      </c>
      <c r="T76" s="5" t="s">
        <v>363</v>
      </c>
      <c r="U76" s="6" t="s">
        <v>86</v>
      </c>
      <c r="V76" s="5" t="n">
        <v>33</v>
      </c>
      <c r="W76" s="5" t="n">
        <v>6.53</v>
      </c>
      <c r="X76" s="5" t="n">
        <v>1.14</v>
      </c>
      <c r="Y76" s="5" t="n">
        <v>32</v>
      </c>
      <c r="Z76" s="5" t="n">
        <v>5.97</v>
      </c>
      <c r="AA76" s="5" t="n">
        <v>0.79</v>
      </c>
      <c r="AB76" s="5" t="s">
        <v>99</v>
      </c>
      <c r="AC76" s="5"/>
      <c r="AD76" s="5" t="n">
        <v>1</v>
      </c>
      <c r="AE76" s="7" t="n">
        <f aca="false">IFERROR(IF(AB76="MSD",IF(COUNT(V76,W76,X76,Y76,Z76,AA76)&lt;6,"",(W76-Z76)/SQRT(((V76-1)*X76^2+(Y76-1)*AA76^2)/(V76+Y76-2))*AD76),IF(AB76="t",AC76*SQRT(1/V76+1/Y76)*AD76,IF(AB76="F",SQRT(AC76)*SQRT(1/V76+1/Y76)*AD76,IF(AB76="z",2*(AC76/SQRT(V76+Y76))/SQRT(1-(AC76/SQRT(V76+Y76))^2)*AD76,IF(AB76="t_paired",AC76/SQRT(V76)*AD76,""))))),"")</f>
        <v>0.569413013672784</v>
      </c>
      <c r="AF76" s="7" t="n">
        <f aca="false">IF(AE76="","",IF(AB76="t_paired",1-3/(4*(V76-1)-1),1-3/(4*(V76+Y76)-9)))</f>
        <v>0.98804780876494</v>
      </c>
      <c r="AG76" s="7" t="n">
        <f aca="false">IF(AE76="","",AE76*AF76)</f>
        <v>0.562607280441635</v>
      </c>
      <c r="AH76" s="7" t="n">
        <f aca="false">IF(AG76="","",IF(AB76="t_paired",1/V76+AG76^2/(2*V76),(V76+Y76)/(V76*Y76)+AG76^2/(2*(V76+Y76))))</f>
        <v>0.0639878530107682</v>
      </c>
      <c r="AI76" s="7" t="n">
        <f aca="false">IF(AH76="","",SQRT(AH76))</f>
        <v>0.252958204078793</v>
      </c>
      <c r="AJ76" s="7" t="n">
        <f aca="false">IF(AI76="","",AG76-1.96*AI76)</f>
        <v>0.0668092004472007</v>
      </c>
      <c r="AK76" s="7" t="n">
        <f aca="false">IF(AI76="","",AG76+1.96*AI76)</f>
        <v>1.05840536043607</v>
      </c>
      <c r="AL76" s="7" t="n">
        <f aca="false">IF(AI76="","",AG76/AI76)</f>
        <v>2.22411161753185</v>
      </c>
      <c r="AM76" s="8" t="n">
        <f aca="false">IF(AL76="","",2*(1-NORMSDIST(ABS(AL76))))</f>
        <v>0.0261409354511652</v>
      </c>
      <c r="AN76" s="9" t="n">
        <f aca="false">IF(COUNT(V76)=0,"",IF(AB76="t_paired",V76,V76+N(Y76)))</f>
        <v>65</v>
      </c>
      <c r="AO76" s="7" t="n">
        <f aca="false">IF(AH76="","",1/AH76)</f>
        <v>15.6279661365058</v>
      </c>
      <c r="AP76" s="5" t="s">
        <v>88</v>
      </c>
      <c r="AQ76" s="5" t="s">
        <v>178</v>
      </c>
      <c r="AR76" s="5" t="s">
        <v>372</v>
      </c>
      <c r="AS76" s="7" t="n">
        <f aca="false">IF(AND(AP76="Y",ISNUMBER(AO76)),AO76,0)</f>
        <v>15.6279661365058</v>
      </c>
      <c r="AT76" s="7" t="n">
        <f aca="false">IF(AS76&gt;0,AS76*AG76,0)</f>
        <v>8.79240752689352</v>
      </c>
      <c r="AU76" s="7" t="n">
        <f aca="false">IF(AS76&gt;0,AS76*AG76^2,0)</f>
        <v>4.94667248724012</v>
      </c>
      <c r="AV76" s="9" t="n">
        <f aca="false">IF(AS76&gt;0,AS76^2,0)</f>
        <v>244.233325563774</v>
      </c>
      <c r="AW76" s="7" t="n">
        <f aca="false">IF(AS76&gt;0,AG76,0)</f>
        <v>0.562607280441635</v>
      </c>
      <c r="AX76" s="7" t="n">
        <f aca="false">IF(AS76&gt;0,AH76,1)</f>
        <v>0.0639878530107682</v>
      </c>
    </row>
    <row r="77" customFormat="false" ht="15" hidden="false" customHeight="false" outlineLevel="0" collapsed="false">
      <c r="A77" s="5" t="s">
        <v>374</v>
      </c>
      <c r="B77" s="5" t="s">
        <v>358</v>
      </c>
      <c r="C77" s="5" t="s">
        <v>359</v>
      </c>
      <c r="D77" s="5" t="n">
        <v>2024</v>
      </c>
      <c r="E77" s="5" t="s">
        <v>360</v>
      </c>
      <c r="F77" s="5" t="s">
        <v>173</v>
      </c>
      <c r="G77" s="5" t="s">
        <v>160</v>
      </c>
      <c r="H77" s="5" t="s">
        <v>131</v>
      </c>
      <c r="I77" s="5" t="s">
        <v>247</v>
      </c>
      <c r="J77" s="5" t="s">
        <v>162</v>
      </c>
      <c r="K77" s="5" t="s">
        <v>163</v>
      </c>
      <c r="L77" s="5" t="s">
        <v>164</v>
      </c>
      <c r="M77" s="5" t="s">
        <v>361</v>
      </c>
      <c r="N77" s="5" t="n">
        <v>20</v>
      </c>
      <c r="O77" s="5" t="s">
        <v>261</v>
      </c>
      <c r="P77" s="10" t="s">
        <v>82</v>
      </c>
      <c r="Q77" s="10" t="s">
        <v>191</v>
      </c>
      <c r="R77" s="5"/>
      <c r="S77" s="10" t="s">
        <v>306</v>
      </c>
      <c r="T77" s="5" t="s">
        <v>363</v>
      </c>
      <c r="U77" s="10" t="s">
        <v>98</v>
      </c>
      <c r="V77" s="5" t="n">
        <v>33</v>
      </c>
      <c r="W77" s="5" t="n">
        <v>5.26</v>
      </c>
      <c r="X77" s="5" t="n">
        <v>0.97</v>
      </c>
      <c r="Y77" s="5" t="n">
        <v>32</v>
      </c>
      <c r="Z77" s="5" t="n">
        <v>5.04</v>
      </c>
      <c r="AA77" s="5" t="n">
        <v>1.01</v>
      </c>
      <c r="AB77" s="5" t="s">
        <v>99</v>
      </c>
      <c r="AC77" s="5"/>
      <c r="AD77" s="5" t="n">
        <v>1</v>
      </c>
      <c r="AE77" s="7" t="n">
        <f aca="false">IFERROR(IF(AB77="MSD",IF(COUNT(V77,W77,X77,Y77,Z77,AA77)&lt;6,"",(W77-Z77)/SQRT(((V77-1)*X77^2+(Y77-1)*AA77^2)/(V77+Y77-2))*AD77),IF(AB77="t",AC77*SQRT(1/V77+1/Y77)*AD77,IF(AB77="F",SQRT(AC77)*SQRT(1/V77+1/Y77)*AD77,IF(AB77="z",2*(AC77/SQRT(V77+Y77))/SQRT(1-(AC77/SQRT(V77+Y77))^2)*AD77,IF(AB77="t_paired",AC77/SQRT(V77)*AD77,""))))),"")</f>
        <v>0.222248139239261</v>
      </c>
      <c r="AF77" s="7" t="n">
        <f aca="false">IF(AE77="","",IF(AB77="t_paired",1-3/(4*(V77-1)-1),1-3/(4*(V77+Y77)-9)))</f>
        <v>0.98804780876494</v>
      </c>
      <c r="AG77" s="7" t="n">
        <f aca="false">IF(AE77="","",AE77*AF77)</f>
        <v>0.219591786977438</v>
      </c>
      <c r="AH77" s="7" t="n">
        <f aca="false">IF(AG77="","",IF(AB77="t_paired",1/V77+AG77^2/(2*V77),(V77+Y77)/(V77*Y77)+AG77^2/(2*(V77+Y77))))</f>
        <v>0.0619239576330914</v>
      </c>
      <c r="AI77" s="7" t="n">
        <f aca="false">IF(AH77="","",SQRT(AH77))</f>
        <v>0.248845248363499</v>
      </c>
      <c r="AJ77" s="7" t="n">
        <f aca="false">IF(AI77="","",AG77-1.96*AI77)</f>
        <v>-0.26814489981502</v>
      </c>
      <c r="AK77" s="7" t="n">
        <f aca="false">IF(AI77="","",AG77+1.96*AI77)</f>
        <v>0.707328473769895</v>
      </c>
      <c r="AL77" s="7" t="n">
        <f aca="false">IF(AI77="","",AG77/AI77)</f>
        <v>0.882443158635967</v>
      </c>
      <c r="AM77" s="8" t="n">
        <f aca="false">IF(AL77="","",2*(1-NORMSDIST(ABS(AL77))))</f>
        <v>0.377537205323504</v>
      </c>
      <c r="AN77" s="9" t="n">
        <f aca="false">IF(COUNT(V77)=0,"",IF(AB77="t_paired",V77,V77+N(Y77)))</f>
        <v>65</v>
      </c>
      <c r="AO77" s="7" t="n">
        <f aca="false">IF(AH77="","",1/AH77)</f>
        <v>16.1488386437628</v>
      </c>
      <c r="AP77" s="5" t="s">
        <v>100</v>
      </c>
      <c r="AQ77" s="5" t="s">
        <v>178</v>
      </c>
      <c r="AR77" s="5" t="s">
        <v>375</v>
      </c>
      <c r="AS77" s="9" t="n">
        <f aca="false">IF(AND(AP77="Y",ISNUMBER(AO77)),AO77,0)</f>
        <v>0</v>
      </c>
      <c r="AT77" s="7" t="n">
        <f aca="false">IF(AS77&gt;0,AS77*AG77,0)</f>
        <v>0</v>
      </c>
      <c r="AU77" s="7" t="n">
        <f aca="false">IF(AS77&gt;0,AS77*AG77^2,0)</f>
        <v>0</v>
      </c>
      <c r="AV77" s="9" t="n">
        <f aca="false">IF(AS77&gt;0,AS77^2,0)</f>
        <v>0</v>
      </c>
      <c r="AW77" s="7" t="n">
        <f aca="false">IF(AS77&gt;0,AG77,0)</f>
        <v>0</v>
      </c>
      <c r="AX77" s="7" t="n">
        <f aca="false">IF(AS77&gt;0,AH77,1)</f>
        <v>1</v>
      </c>
    </row>
    <row r="78" customFormat="false" ht="15" hidden="false" customHeight="false" outlineLevel="0" collapsed="false">
      <c r="A78" s="5" t="s">
        <v>376</v>
      </c>
      <c r="B78" s="5" t="s">
        <v>358</v>
      </c>
      <c r="C78" s="5" t="s">
        <v>359</v>
      </c>
      <c r="D78" s="5" t="n">
        <v>2024</v>
      </c>
      <c r="E78" s="5" t="s">
        <v>360</v>
      </c>
      <c r="F78" s="5" t="s">
        <v>173</v>
      </c>
      <c r="G78" s="5" t="s">
        <v>160</v>
      </c>
      <c r="H78" s="5" t="s">
        <v>131</v>
      </c>
      <c r="I78" s="5" t="s">
        <v>247</v>
      </c>
      <c r="J78" s="5" t="s">
        <v>162</v>
      </c>
      <c r="K78" s="5" t="s">
        <v>163</v>
      </c>
      <c r="L78" s="5" t="s">
        <v>164</v>
      </c>
      <c r="M78" s="5" t="s">
        <v>361</v>
      </c>
      <c r="N78" s="5" t="n">
        <v>20</v>
      </c>
      <c r="O78" s="5" t="s">
        <v>261</v>
      </c>
      <c r="P78" s="6" t="s">
        <v>82</v>
      </c>
      <c r="Q78" s="6" t="s">
        <v>191</v>
      </c>
      <c r="R78" s="5"/>
      <c r="S78" s="6" t="s">
        <v>306</v>
      </c>
      <c r="T78" s="5" t="s">
        <v>363</v>
      </c>
      <c r="U78" s="6" t="s">
        <v>86</v>
      </c>
      <c r="V78" s="5" t="n">
        <v>33</v>
      </c>
      <c r="W78" s="5" t="n">
        <v>6.83</v>
      </c>
      <c r="X78" s="5" t="n">
        <v>0.9</v>
      </c>
      <c r="Y78" s="5" t="n">
        <v>32</v>
      </c>
      <c r="Z78" s="5" t="n">
        <v>6.08</v>
      </c>
      <c r="AA78" s="5" t="n">
        <v>0.89</v>
      </c>
      <c r="AB78" s="5" t="s">
        <v>99</v>
      </c>
      <c r="AC78" s="5"/>
      <c r="AD78" s="5" t="n">
        <v>1</v>
      </c>
      <c r="AE78" s="7" t="n">
        <f aca="false">IFERROR(IF(AB78="MSD",IF(COUNT(V78,W78,X78,Y78,Z78,AA78)&lt;6,"",(W78-Z78)/SQRT(((V78-1)*X78^2+(Y78-1)*AA78^2)/(V78+Y78-2))*AD78),IF(AB78="t",AC78*SQRT(1/V78+1/Y78)*AD78,IF(AB78="F",SQRT(AC78)*SQRT(1/V78+1/Y78)*AD78,IF(AB78="z",2*(AC78/SQRT(V78+Y78))/SQRT(1-(AC78/SQRT(V78+Y78))^2)*AD78,IF(AB78="t_paired",AC78/SQRT(V78)*AD78,""))))),"")</f>
        <v>0.837901454108852</v>
      </c>
      <c r="AF78" s="7" t="n">
        <f aca="false">IF(AE78="","",IF(AB78="t_paired",1-3/(4*(V78-1)-1),1-3/(4*(V78+Y78)-9)))</f>
        <v>0.98804780876494</v>
      </c>
      <c r="AG78" s="7" t="n">
        <f aca="false">IF(AE78="","",AE78*AF78)</f>
        <v>0.827886695693208</v>
      </c>
      <c r="AH78" s="7" t="n">
        <f aca="false">IF(AG78="","",IF(AB78="t_paired",1/V78+AG78^2/(2*V78),(V78+Y78)/(V78*Y78)+AG78^2/(2*(V78+Y78))))</f>
        <v>0.066825310156152</v>
      </c>
      <c r="AI78" s="7" t="n">
        <f aca="false">IF(AH78="","",SQRT(AH78))</f>
        <v>0.258505918996359</v>
      </c>
      <c r="AJ78" s="7" t="n">
        <f aca="false">IF(AI78="","",AG78-1.96*AI78)</f>
        <v>0.321215094460345</v>
      </c>
      <c r="AK78" s="7" t="n">
        <f aca="false">IF(AI78="","",AG78+1.96*AI78)</f>
        <v>1.33455829692607</v>
      </c>
      <c r="AL78" s="7" t="n">
        <f aca="false">IF(AI78="","",AG78/AI78)</f>
        <v>3.20258313197413</v>
      </c>
      <c r="AM78" s="8" t="n">
        <f aca="false">IF(AL78="","",2*(1-NORMSDIST(ABS(AL78))))</f>
        <v>0.00136200982613843</v>
      </c>
      <c r="AN78" s="9" t="n">
        <f aca="false">IF(COUNT(V78)=0,"",IF(AB78="t_paired",V78,V78+N(Y78)))</f>
        <v>65</v>
      </c>
      <c r="AO78" s="7" t="n">
        <f aca="false">IF(AH78="","",1/AH78)</f>
        <v>14.9643899543942</v>
      </c>
      <c r="AP78" s="5" t="s">
        <v>88</v>
      </c>
      <c r="AQ78" s="5" t="s">
        <v>178</v>
      </c>
      <c r="AR78" s="5" t="s">
        <v>375</v>
      </c>
      <c r="AS78" s="7" t="n">
        <f aca="false">IF(AND(AP78="Y",ISNUMBER(AO78)),AO78,0)</f>
        <v>14.9643899543942</v>
      </c>
      <c r="AT78" s="7" t="n">
        <f aca="false">IF(AS78&gt;0,AS78*AG78,0)</f>
        <v>12.3888193524081</v>
      </c>
      <c r="AU78" s="7" t="n">
        <f aca="false">IF(AS78&gt;0,AS78*AG78^2,0)</f>
        <v>10.2565387172052</v>
      </c>
      <c r="AV78" s="9" t="n">
        <f aca="false">IF(AS78&gt;0,AS78^2,0)</f>
        <v>223.932966707175</v>
      </c>
      <c r="AW78" s="7" t="n">
        <f aca="false">IF(AS78&gt;0,AG78,0)</f>
        <v>0.827886695693208</v>
      </c>
      <c r="AX78" s="7" t="n">
        <f aca="false">IF(AS78&gt;0,AH78,1)</f>
        <v>0.066825310156152</v>
      </c>
    </row>
    <row r="79" customFormat="false" ht="15" hidden="false" customHeight="false" outlineLevel="0" collapsed="false">
      <c r="A79" s="5" t="s">
        <v>377</v>
      </c>
      <c r="B79" s="5" t="s">
        <v>378</v>
      </c>
      <c r="C79" s="5" t="s">
        <v>379</v>
      </c>
      <c r="D79" s="5" t="n">
        <v>2023</v>
      </c>
      <c r="E79" s="5" t="s">
        <v>221</v>
      </c>
      <c r="F79" s="5" t="s">
        <v>159</v>
      </c>
      <c r="G79" s="5" t="s">
        <v>160</v>
      </c>
      <c r="H79" s="5" t="s">
        <v>161</v>
      </c>
      <c r="I79" s="5" t="s">
        <v>161</v>
      </c>
      <c r="J79" s="5" t="s">
        <v>162</v>
      </c>
      <c r="K79" s="5" t="s">
        <v>163</v>
      </c>
      <c r="L79" s="5" t="s">
        <v>164</v>
      </c>
      <c r="M79" s="5" t="s">
        <v>380</v>
      </c>
      <c r="N79" s="5" t="n">
        <v>112</v>
      </c>
      <c r="O79" s="5" t="s">
        <v>381</v>
      </c>
      <c r="P79" s="10" t="s">
        <v>82</v>
      </c>
      <c r="Q79" s="10" t="s">
        <v>191</v>
      </c>
      <c r="R79" s="5"/>
      <c r="S79" s="10" t="s">
        <v>382</v>
      </c>
      <c r="T79" s="5" t="s">
        <v>383</v>
      </c>
      <c r="U79" s="10" t="s">
        <v>98</v>
      </c>
      <c r="V79" s="5" t="n">
        <v>43</v>
      </c>
      <c r="W79" s="5" t="n">
        <v>57.81</v>
      </c>
      <c r="X79" s="5" t="n">
        <v>5.23</v>
      </c>
      <c r="Y79" s="5" t="n">
        <v>42</v>
      </c>
      <c r="Z79" s="5" t="n">
        <v>58.33</v>
      </c>
      <c r="AA79" s="5" t="n">
        <v>5.33</v>
      </c>
      <c r="AB79" s="5" t="s">
        <v>99</v>
      </c>
      <c r="AC79" s="5"/>
      <c r="AD79" s="5" t="n">
        <v>1</v>
      </c>
      <c r="AE79" s="7" t="n">
        <f aca="false">IFERROR(IF(AB79="MSD",IF(COUNT(V79,W79,X79,Y79,Z79,AA79)&lt;6,"",(W79-Z79)/SQRT(((V79-1)*X79^2+(Y79-1)*AA79^2)/(V79+Y79-2))*AD79),IF(AB79="t",AC79*SQRT(1/V79+1/Y79)*AD79,IF(AB79="F",SQRT(AC79)*SQRT(1/V79+1/Y79)*AD79,IF(AB79="z",2*(AC79/SQRT(V79+Y79))/SQRT(1-(AC79/SQRT(V79+Y79))^2)*AD79,IF(AB79="t_paired",AC79/SQRT(V79)*AD79,""))))),"")</f>
        <v>-0.0984916697768411</v>
      </c>
      <c r="AF79" s="7" t="n">
        <f aca="false">IF(AE79="","",IF(AB79="t_paired",1-3/(4*(V79-1)-1),1-3/(4*(V79+Y79)-9)))</f>
        <v>0.990936555891239</v>
      </c>
      <c r="AG79" s="7" t="n">
        <f aca="false">IF(AE79="","",AE79*AF79)</f>
        <v>-0.0975989960326401</v>
      </c>
      <c r="AH79" s="7" t="n">
        <f aca="false">IF(AG79="","",IF(AB79="t_paired",1/V79+AG79^2/(2*V79),(V79+Y79)/(V79*Y79)+AG79^2/(2*(V79+Y79))))</f>
        <v>0.0471213704925803</v>
      </c>
      <c r="AI79" s="7" t="n">
        <f aca="false">IF(AH79="","",SQRT(AH79))</f>
        <v>0.217074573574567</v>
      </c>
      <c r="AJ79" s="7" t="n">
        <f aca="false">IF(AI79="","",AG79-1.96*AI79)</f>
        <v>-0.523065160238792</v>
      </c>
      <c r="AK79" s="7" t="n">
        <f aca="false">IF(AI79="","",AG79+1.96*AI79)</f>
        <v>0.327867168173512</v>
      </c>
      <c r="AL79" s="7" t="n">
        <f aca="false">IF(AI79="","",AG79/AI79)</f>
        <v>-0.44961044688688</v>
      </c>
      <c r="AM79" s="8" t="n">
        <f aca="false">IF(AL79="","",2*(1-NORMSDIST(ABS(AL79))))</f>
        <v>0.652991353991104</v>
      </c>
      <c r="AN79" s="9" t="n">
        <f aca="false">IF(COUNT(V79)=0,"",IF(AB79="t_paired",V79,V79+N(Y79)))</f>
        <v>85</v>
      </c>
      <c r="AO79" s="7" t="n">
        <f aca="false">IF(AH79="","",1/AH79)</f>
        <v>21.2217936266828</v>
      </c>
      <c r="AP79" s="5" t="s">
        <v>100</v>
      </c>
      <c r="AQ79" s="5" t="s">
        <v>167</v>
      </c>
      <c r="AR79" s="5"/>
      <c r="AS79" s="9" t="n">
        <f aca="false">IF(AND(AP79="Y",ISNUMBER(AO79)),AO79,0)</f>
        <v>0</v>
      </c>
      <c r="AT79" s="7" t="n">
        <f aca="false">IF(AS79&gt;0,AS79*AG79,0)</f>
        <v>0</v>
      </c>
      <c r="AU79" s="7" t="n">
        <f aca="false">IF(AS79&gt;0,AS79*AG79^2,0)</f>
        <v>0</v>
      </c>
      <c r="AV79" s="9" t="n">
        <f aca="false">IF(AS79&gt;0,AS79^2,0)</f>
        <v>0</v>
      </c>
      <c r="AW79" s="7" t="n">
        <f aca="false">IF(AS79&gt;0,AG79,0)</f>
        <v>0</v>
      </c>
      <c r="AX79" s="7" t="n">
        <f aca="false">IF(AS79&gt;0,AH79,1)</f>
        <v>1</v>
      </c>
    </row>
    <row r="80" customFormat="false" ht="15" hidden="false" customHeight="false" outlineLevel="0" collapsed="false">
      <c r="A80" s="5" t="s">
        <v>384</v>
      </c>
      <c r="B80" s="5" t="s">
        <v>378</v>
      </c>
      <c r="C80" s="5" t="s">
        <v>379</v>
      </c>
      <c r="D80" s="5" t="n">
        <v>2023</v>
      </c>
      <c r="E80" s="5" t="s">
        <v>221</v>
      </c>
      <c r="F80" s="5" t="s">
        <v>159</v>
      </c>
      <c r="G80" s="5" t="s">
        <v>160</v>
      </c>
      <c r="H80" s="5" t="s">
        <v>161</v>
      </c>
      <c r="I80" s="5" t="s">
        <v>161</v>
      </c>
      <c r="J80" s="5" t="s">
        <v>162</v>
      </c>
      <c r="K80" s="5" t="s">
        <v>163</v>
      </c>
      <c r="L80" s="5" t="s">
        <v>164</v>
      </c>
      <c r="M80" s="5" t="s">
        <v>380</v>
      </c>
      <c r="N80" s="5" t="n">
        <v>112</v>
      </c>
      <c r="O80" s="5" t="s">
        <v>381</v>
      </c>
      <c r="P80" s="6" t="s">
        <v>82</v>
      </c>
      <c r="Q80" s="6" t="s">
        <v>191</v>
      </c>
      <c r="R80" s="5"/>
      <c r="S80" s="6" t="s">
        <v>382</v>
      </c>
      <c r="T80" s="5" t="s">
        <v>383</v>
      </c>
      <c r="U80" s="6" t="s">
        <v>86</v>
      </c>
      <c r="V80" s="5" t="n">
        <v>43</v>
      </c>
      <c r="W80" s="5" t="n">
        <v>82.45</v>
      </c>
      <c r="X80" s="5" t="n">
        <v>7.92</v>
      </c>
      <c r="Y80" s="5" t="n">
        <v>42</v>
      </c>
      <c r="Z80" s="5" t="n">
        <v>71.62</v>
      </c>
      <c r="AA80" s="5" t="n">
        <v>7.03</v>
      </c>
      <c r="AB80" s="5" t="s">
        <v>99</v>
      </c>
      <c r="AC80" s="5"/>
      <c r="AD80" s="5" t="n">
        <v>1</v>
      </c>
      <c r="AE80" s="7" t="n">
        <f aca="false">IFERROR(IF(AB80="MSD",IF(COUNT(V80,W80,X80,Y80,Z80,AA80)&lt;6,"",(W80-Z80)/SQRT(((V80-1)*X80^2+(Y80-1)*AA80^2)/(V80+Y80-2))*AD80),IF(AB80="t",AC80*SQRT(1/V80+1/Y80)*AD80,IF(AB80="F",SQRT(AC80)*SQRT(1/V80+1/Y80)*AD80,IF(AB80="z",2*(AC80/SQRT(V80+Y80))/SQRT(1-(AC80/SQRT(V80+Y80))^2)*AD80,IF(AB80="t_paired",AC80/SQRT(V80)*AD80,""))))),"")</f>
        <v>1.44523632000393</v>
      </c>
      <c r="AF80" s="7" t="n">
        <f aca="false">IF(AE80="","",IF(AB80="t_paired",1-3/(4*(V80-1)-1),1-3/(4*(V80+Y80)-9)))</f>
        <v>0.990936555891239</v>
      </c>
      <c r="AG80" s="7" t="n">
        <f aca="false">IF(AE80="","",AE80*AF80)</f>
        <v>1.43213750139362</v>
      </c>
      <c r="AH80" s="7" t="n">
        <f aca="false">IF(AG80="","",IF(AB80="t_paired",1/V80+AG80^2/(2*V80),(V80+Y80)/(V80*Y80)+AG80^2/(2*(V80+Y80))))</f>
        <v>0.0591301484859414</v>
      </c>
      <c r="AI80" s="7" t="n">
        <f aca="false">IF(AH80="","",SQRT(AH80))</f>
        <v>0.243166914867013</v>
      </c>
      <c r="AJ80" s="7" t="n">
        <f aca="false">IF(AI80="","",AG80-1.96*AI80)</f>
        <v>0.955530348254273</v>
      </c>
      <c r="AK80" s="7" t="n">
        <f aca="false">IF(AI80="","",AG80+1.96*AI80)</f>
        <v>1.90874465453297</v>
      </c>
      <c r="AL80" s="7" t="n">
        <f aca="false">IF(AI80="","",AG80/AI80)</f>
        <v>5.88952449463303</v>
      </c>
      <c r="AM80" s="8" t="n">
        <f aca="false">IF(AL80="","",2*(1-NORMSDIST(ABS(AL80))))</f>
        <v>3.87308407567844E-009</v>
      </c>
      <c r="AN80" s="9" t="n">
        <f aca="false">IF(COUNT(V80)=0,"",IF(AB80="t_paired",V80,V80+N(Y80)))</f>
        <v>85</v>
      </c>
      <c r="AO80" s="7" t="n">
        <f aca="false">IF(AH80="","",1/AH80)</f>
        <v>16.9118465893546</v>
      </c>
      <c r="AP80" s="5" t="s">
        <v>88</v>
      </c>
      <c r="AQ80" s="5" t="s">
        <v>167</v>
      </c>
      <c r="AR80" s="5"/>
      <c r="AS80" s="7" t="n">
        <f aca="false">IF(AND(AP80="Y",ISNUMBER(AO80)),AO80,0)</f>
        <v>16.9118465893546</v>
      </c>
      <c r="AT80" s="7" t="n">
        <f aca="false">IF(AS80&gt;0,AS80*AG80,0)</f>
        <v>24.2200897184305</v>
      </c>
      <c r="AU80" s="7" t="n">
        <f aca="false">IF(AS80&gt;0,AS80*AG80^2,0)</f>
        <v>34.6864987728824</v>
      </c>
      <c r="AV80" s="9" t="n">
        <f aca="false">IF(AS80&gt;0,AS80^2,0)</f>
        <v>286.010555061866</v>
      </c>
      <c r="AW80" s="7" t="n">
        <f aca="false">IF(AS80&gt;0,AG80,0)</f>
        <v>1.43213750139362</v>
      </c>
      <c r="AX80" s="7" t="n">
        <f aca="false">IF(AS80&gt;0,AH80,1)</f>
        <v>0.0591301484859414</v>
      </c>
    </row>
    <row r="81" customFormat="false" ht="15" hidden="false" customHeight="false" outlineLevel="0" collapsed="false">
      <c r="A81" s="5" t="s">
        <v>385</v>
      </c>
      <c r="B81" s="5" t="s">
        <v>378</v>
      </c>
      <c r="C81" s="5" t="s">
        <v>379</v>
      </c>
      <c r="D81" s="5" t="n">
        <v>2023</v>
      </c>
      <c r="E81" s="5" t="s">
        <v>221</v>
      </c>
      <c r="F81" s="5" t="s">
        <v>159</v>
      </c>
      <c r="G81" s="5" t="s">
        <v>160</v>
      </c>
      <c r="H81" s="5" t="s">
        <v>161</v>
      </c>
      <c r="I81" s="5" t="s">
        <v>161</v>
      </c>
      <c r="J81" s="5" t="s">
        <v>162</v>
      </c>
      <c r="K81" s="5" t="s">
        <v>163</v>
      </c>
      <c r="L81" s="5" t="s">
        <v>164</v>
      </c>
      <c r="M81" s="5" t="s">
        <v>380</v>
      </c>
      <c r="N81" s="5" t="n">
        <v>112</v>
      </c>
      <c r="O81" s="5" t="s">
        <v>381</v>
      </c>
      <c r="P81" s="10" t="s">
        <v>82</v>
      </c>
      <c r="Q81" s="10" t="s">
        <v>191</v>
      </c>
      <c r="R81" s="5"/>
      <c r="S81" s="10" t="s">
        <v>386</v>
      </c>
      <c r="T81" s="5" t="s">
        <v>383</v>
      </c>
      <c r="U81" s="10" t="s">
        <v>98</v>
      </c>
      <c r="V81" s="5" t="n">
        <v>43</v>
      </c>
      <c r="W81" s="5" t="n">
        <v>32.56</v>
      </c>
      <c r="X81" s="5" t="n">
        <v>2.74</v>
      </c>
      <c r="Y81" s="5" t="n">
        <v>42</v>
      </c>
      <c r="Z81" s="5" t="n">
        <v>33.12</v>
      </c>
      <c r="AA81" s="5" t="n">
        <v>3.25</v>
      </c>
      <c r="AB81" s="5" t="s">
        <v>99</v>
      </c>
      <c r="AC81" s="5"/>
      <c r="AD81" s="5" t="n">
        <v>1</v>
      </c>
      <c r="AE81" s="7" t="n">
        <f aca="false">IFERROR(IF(AB81="MSD",IF(COUNT(V81,W81,X81,Y81,Z81,AA81)&lt;6,"",(W81-Z81)/SQRT(((V81-1)*X81^2+(Y81-1)*AA81^2)/(V81+Y81-2))*AD81),IF(AB81="t",AC81*SQRT(1/V81+1/Y81)*AD81,IF(AB81="F",SQRT(AC81)*SQRT(1/V81+1/Y81)*AD81,IF(AB81="z",2*(AC81/SQRT(V81+Y81))/SQRT(1-(AC81/SQRT(V81+Y81))^2)*AD81,IF(AB81="t_paired",AC81/SQRT(V81)*AD81,""))))),"")</f>
        <v>-0.186494270355834</v>
      </c>
      <c r="AF81" s="7" t="n">
        <f aca="false">IF(AE81="","",IF(AB81="t_paired",1-3/(4*(V81-1)-1),1-3/(4*(V81+Y81)-9)))</f>
        <v>0.990936555891239</v>
      </c>
      <c r="AG81" s="7" t="n">
        <f aca="false">IF(AE81="","",AE81*AF81)</f>
        <v>-0.184803989959859</v>
      </c>
      <c r="AH81" s="7" t="n">
        <f aca="false">IF(AG81="","",IF(AB81="t_paired",1/V81+AG81^2/(2*V81),(V81+Y81)/(V81*Y81)+AG81^2/(2*(V81+Y81))))</f>
        <v>0.0472662349083362</v>
      </c>
      <c r="AI81" s="7" t="n">
        <f aca="false">IF(AH81="","",SQRT(AH81))</f>
        <v>0.217407991822601</v>
      </c>
      <c r="AJ81" s="7" t="n">
        <f aca="false">IF(AI81="","",AG81-1.96*AI81)</f>
        <v>-0.610923653932157</v>
      </c>
      <c r="AK81" s="7" t="n">
        <f aca="false">IF(AI81="","",AG81+1.96*AI81)</f>
        <v>0.241315674012439</v>
      </c>
      <c r="AL81" s="7" t="n">
        <f aca="false">IF(AI81="","",AG81/AI81)</f>
        <v>-0.850033103247898</v>
      </c>
      <c r="AM81" s="8" t="n">
        <f aca="false">IF(AL81="","",2*(1-NORMSDIST(ABS(AL81))))</f>
        <v>0.39530668209912</v>
      </c>
      <c r="AN81" s="9" t="n">
        <f aca="false">IF(COUNT(V81)=0,"",IF(AB81="t_paired",V81,V81+N(Y81)))</f>
        <v>85</v>
      </c>
      <c r="AO81" s="7" t="n">
        <f aca="false">IF(AH81="","",1/AH81)</f>
        <v>21.1567517899259</v>
      </c>
      <c r="AP81" s="5" t="s">
        <v>100</v>
      </c>
      <c r="AQ81" s="5" t="s">
        <v>167</v>
      </c>
      <c r="AR81" s="5"/>
      <c r="AS81" s="9" t="n">
        <f aca="false">IF(AND(AP81="Y",ISNUMBER(AO81)),AO81,0)</f>
        <v>0</v>
      </c>
      <c r="AT81" s="7" t="n">
        <f aca="false">IF(AS81&gt;0,AS81*AG81,0)</f>
        <v>0</v>
      </c>
      <c r="AU81" s="7" t="n">
        <f aca="false">IF(AS81&gt;0,AS81*AG81^2,0)</f>
        <v>0</v>
      </c>
      <c r="AV81" s="9" t="n">
        <f aca="false">IF(AS81&gt;0,AS81^2,0)</f>
        <v>0</v>
      </c>
      <c r="AW81" s="7" t="n">
        <f aca="false">IF(AS81&gt;0,AG81,0)</f>
        <v>0</v>
      </c>
      <c r="AX81" s="7" t="n">
        <f aca="false">IF(AS81&gt;0,AH81,1)</f>
        <v>1</v>
      </c>
    </row>
    <row r="82" customFormat="false" ht="15" hidden="false" customHeight="false" outlineLevel="0" collapsed="false">
      <c r="A82" s="5" t="s">
        <v>387</v>
      </c>
      <c r="B82" s="5" t="s">
        <v>378</v>
      </c>
      <c r="C82" s="5" t="s">
        <v>379</v>
      </c>
      <c r="D82" s="5" t="n">
        <v>2023</v>
      </c>
      <c r="E82" s="5" t="s">
        <v>221</v>
      </c>
      <c r="F82" s="5" t="s">
        <v>159</v>
      </c>
      <c r="G82" s="5" t="s">
        <v>160</v>
      </c>
      <c r="H82" s="5" t="s">
        <v>161</v>
      </c>
      <c r="I82" s="5" t="s">
        <v>161</v>
      </c>
      <c r="J82" s="5" t="s">
        <v>162</v>
      </c>
      <c r="K82" s="5" t="s">
        <v>163</v>
      </c>
      <c r="L82" s="5" t="s">
        <v>164</v>
      </c>
      <c r="M82" s="5" t="s">
        <v>380</v>
      </c>
      <c r="N82" s="5" t="n">
        <v>112</v>
      </c>
      <c r="O82" s="5" t="s">
        <v>381</v>
      </c>
      <c r="P82" s="10" t="s">
        <v>82</v>
      </c>
      <c r="Q82" s="10" t="s">
        <v>191</v>
      </c>
      <c r="R82" s="5"/>
      <c r="S82" s="10" t="s">
        <v>388</v>
      </c>
      <c r="T82" s="5" t="s">
        <v>383</v>
      </c>
      <c r="U82" s="10" t="s">
        <v>98</v>
      </c>
      <c r="V82" s="5" t="n">
        <v>43</v>
      </c>
      <c r="W82" s="5" t="n">
        <v>23.62</v>
      </c>
      <c r="X82" s="5" t="n">
        <v>1.97</v>
      </c>
      <c r="Y82" s="5" t="n">
        <v>42</v>
      </c>
      <c r="Z82" s="5" t="n">
        <v>24.53</v>
      </c>
      <c r="AA82" s="5" t="n">
        <v>2.41</v>
      </c>
      <c r="AB82" s="5" t="s">
        <v>99</v>
      </c>
      <c r="AC82" s="5"/>
      <c r="AD82" s="5" t="n">
        <v>1</v>
      </c>
      <c r="AE82" s="7" t="n">
        <f aca="false">IFERROR(IF(AB82="MSD",IF(COUNT(V82,W82,X82,Y82,Z82,AA82)&lt;6,"",(W82-Z82)/SQRT(((V82-1)*X82^2+(Y82-1)*AA82^2)/(V82+Y82-2))*AD82),IF(AB82="t",AC82*SQRT(1/V82+1/Y82)*AD82,IF(AB82="F",SQRT(AC82)*SQRT(1/V82+1/Y82)*AD82,IF(AB82="z",2*(AC82/SQRT(V82+Y82))/SQRT(1-(AC82/SQRT(V82+Y82))^2)*AD82,IF(AB82="t_paired",AC82/SQRT(V82)*AD82,""))))),"")</f>
        <v>-0.413940500918893</v>
      </c>
      <c r="AF82" s="7" t="n">
        <f aca="false">IF(AE82="","",IF(AB82="t_paired",1-3/(4*(V82-1)-1),1-3/(4*(V82+Y82)-9)))</f>
        <v>0.990936555891239</v>
      </c>
      <c r="AG82" s="7" t="n">
        <f aca="false">IF(AE82="","",AE82*AF82)</f>
        <v>-0.410188774324462</v>
      </c>
      <c r="AH82" s="7" t="n">
        <f aca="false">IF(AG82="","",IF(AB82="t_paired",1/V82+AG82^2/(2*V82),(V82+Y82)/(V82*Y82)+AG82^2/(2*(V82+Y82))))</f>
        <v>0.0480550720605522</v>
      </c>
      <c r="AI82" s="7" t="n">
        <f aca="false">IF(AH82="","",SQRT(AH82))</f>
        <v>0.219214671179992</v>
      </c>
      <c r="AJ82" s="7" t="n">
        <f aca="false">IF(AI82="","",AG82-1.96*AI82)</f>
        <v>-0.839849529837248</v>
      </c>
      <c r="AK82" s="7" t="n">
        <f aca="false">IF(AI82="","",AG82+1.96*AI82)</f>
        <v>0.0194719811883229</v>
      </c>
      <c r="AL82" s="7" t="n">
        <f aca="false">IF(AI82="","",AG82/AI82)</f>
        <v>-1.87117391421154</v>
      </c>
      <c r="AM82" s="8" t="n">
        <f aca="false">IF(AL82="","",2*(1-NORMSDIST(ABS(AL82))))</f>
        <v>0.0613209791927092</v>
      </c>
      <c r="AN82" s="9" t="n">
        <f aca="false">IF(COUNT(V82)=0,"",IF(AB82="t_paired",V82,V82+N(Y82)))</f>
        <v>85</v>
      </c>
      <c r="AO82" s="7" t="n">
        <f aca="false">IF(AH82="","",1/AH82)</f>
        <v>20.8094579223592</v>
      </c>
      <c r="AP82" s="5" t="s">
        <v>100</v>
      </c>
      <c r="AQ82" s="5" t="s">
        <v>167</v>
      </c>
      <c r="AR82" s="5"/>
      <c r="AS82" s="9" t="n">
        <f aca="false">IF(AND(AP82="Y",ISNUMBER(AO82)),AO82,0)</f>
        <v>0</v>
      </c>
      <c r="AT82" s="7" t="n">
        <f aca="false">IF(AS82&gt;0,AS82*AG82,0)</f>
        <v>0</v>
      </c>
      <c r="AU82" s="7" t="n">
        <f aca="false">IF(AS82&gt;0,AS82*AG82^2,0)</f>
        <v>0</v>
      </c>
      <c r="AV82" s="9" t="n">
        <f aca="false">IF(AS82&gt;0,AS82^2,0)</f>
        <v>0</v>
      </c>
      <c r="AW82" s="7" t="n">
        <f aca="false">IF(AS82&gt;0,AG82,0)</f>
        <v>0</v>
      </c>
      <c r="AX82" s="7" t="n">
        <f aca="false">IF(AS82&gt;0,AH82,1)</f>
        <v>1</v>
      </c>
    </row>
    <row r="83" customFormat="false" ht="15" hidden="false" customHeight="false" outlineLevel="0" collapsed="false">
      <c r="A83" s="5" t="s">
        <v>389</v>
      </c>
      <c r="B83" s="5" t="s">
        <v>378</v>
      </c>
      <c r="C83" s="5" t="s">
        <v>379</v>
      </c>
      <c r="D83" s="5" t="n">
        <v>2023</v>
      </c>
      <c r="E83" s="5" t="s">
        <v>221</v>
      </c>
      <c r="F83" s="5" t="s">
        <v>159</v>
      </c>
      <c r="G83" s="5" t="s">
        <v>160</v>
      </c>
      <c r="H83" s="5" t="s">
        <v>161</v>
      </c>
      <c r="I83" s="5" t="s">
        <v>161</v>
      </c>
      <c r="J83" s="5" t="s">
        <v>162</v>
      </c>
      <c r="K83" s="5" t="s">
        <v>163</v>
      </c>
      <c r="L83" s="5" t="s">
        <v>164</v>
      </c>
      <c r="M83" s="5" t="s">
        <v>380</v>
      </c>
      <c r="N83" s="5" t="n">
        <v>112</v>
      </c>
      <c r="O83" s="5" t="s">
        <v>381</v>
      </c>
      <c r="P83" s="6" t="s">
        <v>82</v>
      </c>
      <c r="Q83" s="6" t="s">
        <v>191</v>
      </c>
      <c r="R83" s="5"/>
      <c r="S83" s="6" t="s">
        <v>388</v>
      </c>
      <c r="T83" s="5" t="s">
        <v>383</v>
      </c>
      <c r="U83" s="6" t="s">
        <v>86</v>
      </c>
      <c r="V83" s="5" t="n">
        <v>43</v>
      </c>
      <c r="W83" s="5" t="n">
        <v>63.67</v>
      </c>
      <c r="X83" s="5" t="n">
        <v>6.22</v>
      </c>
      <c r="Y83" s="5" t="n">
        <v>42</v>
      </c>
      <c r="Z83" s="5" t="n">
        <v>27.71</v>
      </c>
      <c r="AA83" s="5" t="n">
        <v>2.83</v>
      </c>
      <c r="AB83" s="5" t="s">
        <v>99</v>
      </c>
      <c r="AC83" s="5"/>
      <c r="AD83" s="5" t="n">
        <v>1</v>
      </c>
      <c r="AE83" s="7" t="n">
        <f aca="false">IFERROR(IF(AB83="MSD",IF(COUNT(V83,W83,X83,Y83,Z83,AA83)&lt;6,"",(W83-Z83)/SQRT(((V83-1)*X83^2+(Y83-1)*AA83^2)/(V83+Y83-2))*AD83),IF(AB83="t",AC83*SQRT(1/V83+1/Y83)*AD83,IF(AB83="F",SQRT(AC83)*SQRT(1/V83+1/Y83)*AD83,IF(AB83="z",2*(AC83/SQRT(V83+Y83))/SQRT(1-(AC83/SQRT(V83+Y83))^2)*AD83,IF(AB83="t_paired",AC83/SQRT(V83)*AD83,""))))),"")</f>
        <v>7.41270527752756</v>
      </c>
      <c r="AF83" s="7" t="n">
        <f aca="false">IF(AE83="","",IF(AB83="t_paired",1-3/(4*(V83-1)-1),1-3/(4*(V83+Y83)-9)))</f>
        <v>0.990936555891239</v>
      </c>
      <c r="AG83" s="7" t="n">
        <f aca="false">IF(AE83="","",AE83*AF83)</f>
        <v>7.34552063754997</v>
      </c>
      <c r="AH83" s="7" t="n">
        <f aca="false">IF(AG83="","",IF(AB83="t_paired",1/V83+AG83^2/(2*V83),(V83+Y83)/(V83*Y83)+AG83^2/(2*(V83+Y83))))</f>
        <v>0.364457534449321</v>
      </c>
      <c r="AI83" s="7" t="n">
        <f aca="false">IF(AH83="","",SQRT(AH83))</f>
        <v>0.603703184064256</v>
      </c>
      <c r="AJ83" s="7" t="n">
        <f aca="false">IF(AI83="","",AG83-1.96*AI83)</f>
        <v>6.16226239678403</v>
      </c>
      <c r="AK83" s="7" t="n">
        <f aca="false">IF(AI83="","",AG83+1.96*AI83)</f>
        <v>8.52877887831591</v>
      </c>
      <c r="AL83" s="7" t="n">
        <f aca="false">IF(AI83="","",AG83/AI83)</f>
        <v>12.1674372960871</v>
      </c>
      <c r="AM83" s="8" t="n">
        <f aca="false">IF(AL83="","",2*(1-NORMSDIST(ABS(AL83))))</f>
        <v>0</v>
      </c>
      <c r="AN83" s="9" t="n">
        <f aca="false">IF(COUNT(V83)=0,"",IF(AB83="t_paired",V83,V83+N(Y83)))</f>
        <v>85</v>
      </c>
      <c r="AO83" s="7" t="n">
        <f aca="false">IF(AH83="","",1/AH83)</f>
        <v>2.74380388790962</v>
      </c>
      <c r="AP83" s="5" t="s">
        <v>88</v>
      </c>
      <c r="AQ83" s="5" t="s">
        <v>167</v>
      </c>
      <c r="AR83" s="5"/>
      <c r="AS83" s="7" t="n">
        <f aca="false">IF(AND(AP83="Y",ISNUMBER(AO83)),AO83,0)</f>
        <v>2.74380388790962</v>
      </c>
      <c r="AT83" s="7" t="n">
        <f aca="false">IF(AS83&gt;0,AS83*AG83,0)</f>
        <v>20.1546680840299</v>
      </c>
      <c r="AU83" s="7" t="n">
        <f aca="false">IF(AS83&gt;0,AS83*AG83^2,0)</f>
        <v>148.046530354212</v>
      </c>
      <c r="AV83" s="9" t="n">
        <f aca="false">IF(AS83&gt;0,AS83^2,0)</f>
        <v>7.52845977530792</v>
      </c>
      <c r="AW83" s="7" t="n">
        <f aca="false">IF(AS83&gt;0,AG83,0)</f>
        <v>7.34552063754997</v>
      </c>
      <c r="AX83" s="7" t="n">
        <f aca="false">IF(AS83&gt;0,AH83,1)</f>
        <v>0.364457534449321</v>
      </c>
    </row>
    <row r="84" customFormat="false" ht="15" hidden="false" customHeight="false" outlineLevel="0" collapsed="false">
      <c r="A84" s="5" t="s">
        <v>390</v>
      </c>
      <c r="B84" s="5" t="s">
        <v>378</v>
      </c>
      <c r="C84" s="5" t="s">
        <v>379</v>
      </c>
      <c r="D84" s="5" t="n">
        <v>2023</v>
      </c>
      <c r="E84" s="5" t="s">
        <v>221</v>
      </c>
      <c r="F84" s="5" t="s">
        <v>159</v>
      </c>
      <c r="G84" s="5" t="s">
        <v>160</v>
      </c>
      <c r="H84" s="5" t="s">
        <v>161</v>
      </c>
      <c r="I84" s="5" t="s">
        <v>161</v>
      </c>
      <c r="J84" s="5" t="s">
        <v>162</v>
      </c>
      <c r="K84" s="5" t="s">
        <v>163</v>
      </c>
      <c r="L84" s="5" t="s">
        <v>164</v>
      </c>
      <c r="M84" s="5" t="s">
        <v>380</v>
      </c>
      <c r="N84" s="5" t="n">
        <v>112</v>
      </c>
      <c r="O84" s="5" t="s">
        <v>381</v>
      </c>
      <c r="P84" s="6" t="s">
        <v>82</v>
      </c>
      <c r="Q84" s="6" t="s">
        <v>191</v>
      </c>
      <c r="R84" s="5"/>
      <c r="S84" s="6" t="s">
        <v>391</v>
      </c>
      <c r="T84" s="5" t="s">
        <v>383</v>
      </c>
      <c r="U84" s="6" t="s">
        <v>86</v>
      </c>
      <c r="V84" s="5" t="n">
        <v>43</v>
      </c>
      <c r="W84" s="5" t="n">
        <v>77.08</v>
      </c>
      <c r="X84" s="5" t="n">
        <v>8.63</v>
      </c>
      <c r="Y84" s="5" t="n">
        <v>42</v>
      </c>
      <c r="Z84" s="5" t="n">
        <v>33.84</v>
      </c>
      <c r="AA84" s="5" t="n">
        <v>3.45</v>
      </c>
      <c r="AB84" s="5" t="s">
        <v>99</v>
      </c>
      <c r="AC84" s="5"/>
      <c r="AD84" s="5" t="n">
        <v>1</v>
      </c>
      <c r="AE84" s="7" t="n">
        <f aca="false">IFERROR(IF(AB84="MSD",IF(COUNT(V84,W84,X84,Y84,Z84,AA84)&lt;6,"",(W84-Z84)/SQRT(((V84-1)*X84^2+(Y84-1)*AA84^2)/(V84+Y84-2))*AD84),IF(AB84="t",AC84*SQRT(1/V84+1/Y84)*AD84,IF(AB84="F",SQRT(AC84)*SQRT(1/V84+1/Y84)*AD84,IF(AB84="z",2*(AC84/SQRT(V84+Y84))/SQRT(1-(AC84/SQRT(V84+Y84))^2)*AD84,IF(AB84="t_paired",AC84/SQRT(V84)*AD84,""))))),"")</f>
        <v>6.5510148047685</v>
      </c>
      <c r="AF84" s="7" t="n">
        <f aca="false">IF(AE84="","",IF(AB84="t_paired",1-3/(4*(V84-1)-1),1-3/(4*(V84+Y84)-9)))</f>
        <v>0.990936555891239</v>
      </c>
      <c r="AG84" s="7" t="n">
        <f aca="false">IF(AE84="","",AE84*AF84)</f>
        <v>6.49164004822981</v>
      </c>
      <c r="AH84" s="7" t="n">
        <f aca="false">IF(AG84="","",IF(AB84="t_paired",1/V84+AG84^2/(2*V84),(V84+Y84)/(V84*Y84)+AG84^2/(2*(V84+Y84))))</f>
        <v>0.294955870208783</v>
      </c>
      <c r="AI84" s="7" t="n">
        <f aca="false">IF(AH84="","",SQRT(AH84))</f>
        <v>0.54309839827492</v>
      </c>
      <c r="AJ84" s="7" t="n">
        <f aca="false">IF(AI84="","",AG84-1.96*AI84)</f>
        <v>5.42716718761097</v>
      </c>
      <c r="AK84" s="7" t="n">
        <f aca="false">IF(AI84="","",AG84+1.96*AI84)</f>
        <v>7.55611290884865</v>
      </c>
      <c r="AL84" s="7" t="n">
        <f aca="false">IF(AI84="","",AG84/AI84)</f>
        <v>11.9529721848741</v>
      </c>
      <c r="AM84" s="8" t="n">
        <f aca="false">IF(AL84="","",2*(1-NORMSDIST(ABS(AL84))))</f>
        <v>0</v>
      </c>
      <c r="AN84" s="9" t="n">
        <f aca="false">IF(COUNT(V84)=0,"",IF(AB84="t_paired",V84,V84+N(Y84)))</f>
        <v>85</v>
      </c>
      <c r="AO84" s="7" t="n">
        <f aca="false">IF(AH84="","",1/AH84)</f>
        <v>3.39033767760633</v>
      </c>
      <c r="AP84" s="5" t="s">
        <v>88</v>
      </c>
      <c r="AQ84" s="5" t="s">
        <v>167</v>
      </c>
      <c r="AR84" s="5"/>
      <c r="AS84" s="7" t="n">
        <f aca="false">IF(AND(AP84="Y",ISNUMBER(AO84)),AO84,0)</f>
        <v>3.39033767760633</v>
      </c>
      <c r="AT84" s="7" t="n">
        <f aca="false">IF(AS84&gt;0,AS84*AG84,0)</f>
        <v>22.0088518449717</v>
      </c>
      <c r="AU84" s="7" t="n">
        <f aca="false">IF(AS84&gt;0,AS84*AG84^2,0)</f>
        <v>142.873544052375</v>
      </c>
      <c r="AV84" s="9" t="n">
        <f aca="false">IF(AS84&gt;0,AS84^2,0)</f>
        <v>11.4943895681971</v>
      </c>
      <c r="AW84" s="7" t="n">
        <f aca="false">IF(AS84&gt;0,AG84,0)</f>
        <v>6.49164004822981</v>
      </c>
      <c r="AX84" s="7" t="n">
        <f aca="false">IF(AS84&gt;0,AH84,1)</f>
        <v>0.294955870208783</v>
      </c>
    </row>
    <row r="85" customFormat="false" ht="15" hidden="false" customHeight="false" outlineLevel="0" collapsed="false">
      <c r="A85" s="5" t="s">
        <v>392</v>
      </c>
      <c r="B85" s="5" t="s">
        <v>393</v>
      </c>
      <c r="C85" s="5" t="s">
        <v>394</v>
      </c>
      <c r="D85" s="5" t="n">
        <v>2025</v>
      </c>
      <c r="E85" s="5" t="s">
        <v>221</v>
      </c>
      <c r="F85" s="5" t="s">
        <v>72</v>
      </c>
      <c r="G85" s="5" t="s">
        <v>395</v>
      </c>
      <c r="H85" s="5" t="s">
        <v>174</v>
      </c>
      <c r="I85" s="5" t="s">
        <v>396</v>
      </c>
      <c r="J85" s="5" t="s">
        <v>189</v>
      </c>
      <c r="K85" s="5" t="s">
        <v>163</v>
      </c>
      <c r="L85" s="5" t="s">
        <v>164</v>
      </c>
      <c r="M85" s="5"/>
      <c r="N85" s="5"/>
      <c r="O85" s="5" t="s">
        <v>81</v>
      </c>
      <c r="P85" s="11" t="s">
        <v>113</v>
      </c>
      <c r="Q85" s="11" t="s">
        <v>114</v>
      </c>
      <c r="R85" s="5" t="s">
        <v>115</v>
      </c>
      <c r="S85" s="11" t="s">
        <v>397</v>
      </c>
      <c r="T85" s="5"/>
      <c r="U85" s="11" t="s">
        <v>86</v>
      </c>
      <c r="V85" s="5" t="n">
        <v>32</v>
      </c>
      <c r="W85" s="5" t="n">
        <v>8.385</v>
      </c>
      <c r="X85" s="5" t="n">
        <v>1.577</v>
      </c>
      <c r="Y85" s="5" t="n">
        <v>30</v>
      </c>
      <c r="Z85" s="5" t="n">
        <v>8.5</v>
      </c>
      <c r="AA85" s="5" t="n">
        <v>1.331</v>
      </c>
      <c r="AB85" s="5" t="s">
        <v>99</v>
      </c>
      <c r="AC85" s="5"/>
      <c r="AD85" s="5" t="n">
        <v>1</v>
      </c>
      <c r="AE85" s="7" t="n">
        <f aca="false">IFERROR(IF(AB85="MSD",IF(COUNT(V85,W85,X85,Y85,Z85,AA85)&lt;6,"",(W85-Z85)/SQRT(((V85-1)*X85^2+(Y85-1)*AA85^2)/(V85+Y85-2))*AD85),IF(AB85="t",AC85*SQRT(1/V85+1/Y85)*AD85,IF(AB85="F",SQRT(AC85)*SQRT(1/V85+1/Y85)*AD85,IF(AB85="z",2*(AC85/SQRT(V85+Y85))/SQRT(1-(AC85/SQRT(V85+Y85))^2)*AD85,IF(AB85="t_paired",AC85/SQRT(V85)*AD85,""))))),"")</f>
        <v>-0.0785909409575182</v>
      </c>
      <c r="AF85" s="7" t="n">
        <f aca="false">IF(AE85="","",IF(AB85="t_paired",1-3/(4*(V85-1)-1),1-3/(4*(V85+Y85)-9)))</f>
        <v>0.98744769874477</v>
      </c>
      <c r="AG85" s="7" t="n">
        <f aca="false">IF(AE85="","",AE85*AF85)</f>
        <v>-0.0776044437906874</v>
      </c>
      <c r="AH85" s="7" t="n">
        <f aca="false">IF(AG85="","",IF(AB85="t_paired",1/V85+AG85^2/(2*V85),(V85+Y85)/(V85*Y85)+AG85^2/(2*(V85+Y85))))</f>
        <v>0.0646319014760435</v>
      </c>
      <c r="AI85" s="7" t="n">
        <f aca="false">IF(AH85="","",SQRT(AH85))</f>
        <v>0.254228050136179</v>
      </c>
      <c r="AJ85" s="7" t="n">
        <f aca="false">IF(AI85="","",AG85-1.96*AI85)</f>
        <v>-0.575891422057598</v>
      </c>
      <c r="AK85" s="7" t="n">
        <f aca="false">IF(AI85="","",AG85+1.96*AI85)</f>
        <v>0.420682534476223</v>
      </c>
      <c r="AL85" s="7" t="n">
        <f aca="false">IF(AI85="","",AG85/AI85)</f>
        <v>-0.305255237371007</v>
      </c>
      <c r="AM85" s="8" t="n">
        <f aca="false">IF(AL85="","",2*(1-NORMSDIST(ABS(AL85))))</f>
        <v>0.760171765285739</v>
      </c>
      <c r="AN85" s="9" t="n">
        <f aca="false">IF(COUNT(V85)=0,"",IF(AB85="t_paired",V85,V85+N(Y85)))</f>
        <v>62</v>
      </c>
      <c r="AO85" s="7" t="n">
        <f aca="false">IF(AH85="","",1/AH85)</f>
        <v>15.4722354930353</v>
      </c>
      <c r="AP85" s="5" t="s">
        <v>88</v>
      </c>
      <c r="AQ85" s="5" t="s">
        <v>227</v>
      </c>
      <c r="AR85" s="5"/>
      <c r="AS85" s="7" t="n">
        <f aca="false">IF(AND(AP85="Y",ISNUMBER(AO85)),AO85,0)</f>
        <v>15.4722354930353</v>
      </c>
      <c r="AT85" s="7" t="n">
        <f aca="false">IF(AS85&gt;0,AS85*AG85,0)</f>
        <v>-1.20071422963554</v>
      </c>
      <c r="AU85" s="7" t="n">
        <f aca="false">IF(AS85&gt;0,AS85*AG85^2,0)</f>
        <v>0.0931807599424295</v>
      </c>
      <c r="AV85" s="9" t="n">
        <f aca="false">IF(AS85&gt;0,AS85^2,0)</f>
        <v>239.390071151941</v>
      </c>
      <c r="AW85" s="7" t="n">
        <f aca="false">IF(AS85&gt;0,AG85,0)</f>
        <v>-0.0776044437906874</v>
      </c>
      <c r="AX85" s="7" t="n">
        <f aca="false">IF(AS85&gt;0,AH85,1)</f>
        <v>0.0646319014760435</v>
      </c>
    </row>
    <row r="86" customFormat="false" ht="15" hidden="false" customHeight="false" outlineLevel="0" collapsed="false">
      <c r="A86" s="5" t="s">
        <v>398</v>
      </c>
      <c r="B86" s="5" t="s">
        <v>393</v>
      </c>
      <c r="C86" s="5" t="s">
        <v>394</v>
      </c>
      <c r="D86" s="5" t="n">
        <v>2025</v>
      </c>
      <c r="E86" s="5" t="s">
        <v>221</v>
      </c>
      <c r="F86" s="5" t="s">
        <v>72</v>
      </c>
      <c r="G86" s="5" t="s">
        <v>395</v>
      </c>
      <c r="H86" s="5" t="s">
        <v>174</v>
      </c>
      <c r="I86" s="5" t="s">
        <v>396</v>
      </c>
      <c r="J86" s="5" t="s">
        <v>189</v>
      </c>
      <c r="K86" s="5" t="s">
        <v>163</v>
      </c>
      <c r="L86" s="5" t="s">
        <v>164</v>
      </c>
      <c r="M86" s="5"/>
      <c r="N86" s="5"/>
      <c r="O86" s="5" t="s">
        <v>81</v>
      </c>
      <c r="P86" s="11" t="s">
        <v>113</v>
      </c>
      <c r="Q86" s="11" t="s">
        <v>114</v>
      </c>
      <c r="R86" s="5" t="s">
        <v>125</v>
      </c>
      <c r="S86" s="11" t="s">
        <v>235</v>
      </c>
      <c r="T86" s="5"/>
      <c r="U86" s="11" t="s">
        <v>86</v>
      </c>
      <c r="V86" s="5" t="n">
        <v>32</v>
      </c>
      <c r="W86" s="5" t="n">
        <v>4.4</v>
      </c>
      <c r="X86" s="5" t="n">
        <v>1.003</v>
      </c>
      <c r="Y86" s="5" t="n">
        <v>30</v>
      </c>
      <c r="Z86" s="5" t="n">
        <v>3.773</v>
      </c>
      <c r="AA86" s="5" t="n">
        <v>1.02</v>
      </c>
      <c r="AB86" s="5" t="s">
        <v>99</v>
      </c>
      <c r="AC86" s="5"/>
      <c r="AD86" s="5" t="n">
        <v>1</v>
      </c>
      <c r="AE86" s="7" t="n">
        <f aca="false">IFERROR(IF(AB86="MSD",IF(COUNT(V86,W86,X86,Y86,Z86,AA86)&lt;6,"",(W86-Z86)/SQRT(((V86-1)*X86^2+(Y86-1)*AA86^2)/(V86+Y86-2))*AD86),IF(AB86="t",AC86*SQRT(1/V86+1/Y86)*AD86,IF(AB86="F",SQRT(AC86)*SQRT(1/V86+1/Y86)*AD86,IF(AB86="z",2*(AC86/SQRT(V86+Y86))/SQRT(1-(AC86/SQRT(V86+Y86))^2)*AD86,IF(AB86="t_paired",AC86/SQRT(V86)*AD86,""))))),"")</f>
        <v>0.620023280643765</v>
      </c>
      <c r="AF86" s="7" t="n">
        <f aca="false">IF(AE86="","",IF(AB86="t_paired",1-3/(4*(V86-1)-1),1-3/(4*(V86+Y86)-9)))</f>
        <v>0.98744769874477</v>
      </c>
      <c r="AG86" s="7" t="n">
        <f aca="false">IF(AE86="","",AE86*AF86)</f>
        <v>0.612240561639869</v>
      </c>
      <c r="AH86" s="7" t="n">
        <f aca="false">IF(AG86="","",IF(AB86="t_paired",1/V86+AG86^2/(2*V86),(V86+Y86)/(V86*Y86)+AG86^2/(2*(V86+Y86))))</f>
        <v>0.0676062245052455</v>
      </c>
      <c r="AI86" s="7" t="n">
        <f aca="false">IF(AH86="","",SQRT(AH86))</f>
        <v>0.260011969926858</v>
      </c>
      <c r="AJ86" s="7" t="n">
        <f aca="false">IF(AI86="","",AG86-1.96*AI86)</f>
        <v>0.102617100583227</v>
      </c>
      <c r="AK86" s="7" t="n">
        <f aca="false">IF(AI86="","",AG86+1.96*AI86)</f>
        <v>1.12186402269651</v>
      </c>
      <c r="AL86" s="7" t="n">
        <f aca="false">IF(AI86="","",AG86/AI86)</f>
        <v>2.35466298652363</v>
      </c>
      <c r="AM86" s="8" t="n">
        <f aca="false">IF(AL86="","",2*(1-NORMSDIST(ABS(AL86))))</f>
        <v>0.0185395113595694</v>
      </c>
      <c r="AN86" s="9" t="n">
        <f aca="false">IF(COUNT(V86)=0,"",IF(AB86="t_paired",V86,V86+N(Y86)))</f>
        <v>62</v>
      </c>
      <c r="AO86" s="7" t="n">
        <f aca="false">IF(AH86="","",1/AH86)</f>
        <v>14.7915374260015</v>
      </c>
      <c r="AP86" s="5" t="s">
        <v>88</v>
      </c>
      <c r="AQ86" s="5" t="s">
        <v>227</v>
      </c>
      <c r="AR86" s="5"/>
      <c r="AS86" s="7" t="n">
        <f aca="false">IF(AND(AP86="Y",ISNUMBER(AO86)),AO86,0)</f>
        <v>14.7915374260015</v>
      </c>
      <c r="AT86" s="7" t="n">
        <f aca="false">IF(AS86&gt;0,AS86*AG86,0)</f>
        <v>9.05597918121232</v>
      </c>
      <c r="AU86" s="7" t="n">
        <f aca="false">IF(AS86&gt;0,AS86*AG86^2,0)</f>
        <v>5.54443778010439</v>
      </c>
      <c r="AV86" s="9" t="n">
        <f aca="false">IF(AS86&gt;0,AS86^2,0)</f>
        <v>218.789579424804</v>
      </c>
      <c r="AW86" s="7" t="n">
        <f aca="false">IF(AS86&gt;0,AG86,0)</f>
        <v>0.612240561639869</v>
      </c>
      <c r="AX86" s="7" t="n">
        <f aca="false">IF(AS86&gt;0,AH86,1)</f>
        <v>0.0676062245052455</v>
      </c>
    </row>
    <row r="87" customFormat="false" ht="15" hidden="false" customHeight="false" outlineLevel="0" collapsed="false">
      <c r="A87" s="5" t="s">
        <v>399</v>
      </c>
      <c r="B87" s="5" t="s">
        <v>400</v>
      </c>
      <c r="C87" s="5" t="s">
        <v>401</v>
      </c>
      <c r="D87" s="5" t="n">
        <v>2022</v>
      </c>
      <c r="E87" s="5" t="s">
        <v>402</v>
      </c>
      <c r="F87" s="5" t="s">
        <v>173</v>
      </c>
      <c r="G87" s="5" t="s">
        <v>403</v>
      </c>
      <c r="H87" s="5" t="s">
        <v>74</v>
      </c>
      <c r="I87" s="5" t="s">
        <v>404</v>
      </c>
      <c r="J87" s="5" t="s">
        <v>76</v>
      </c>
      <c r="K87" s="5" t="s">
        <v>405</v>
      </c>
      <c r="L87" s="5" t="s">
        <v>406</v>
      </c>
      <c r="M87" s="5" t="s">
        <v>407</v>
      </c>
      <c r="N87" s="5" t="s">
        <v>408</v>
      </c>
      <c r="O87" s="5" t="s">
        <v>190</v>
      </c>
      <c r="P87" s="10" t="s">
        <v>82</v>
      </c>
      <c r="Q87" s="10" t="s">
        <v>83</v>
      </c>
      <c r="R87" s="5"/>
      <c r="S87" s="10" t="s">
        <v>409</v>
      </c>
      <c r="T87" s="5" t="s">
        <v>410</v>
      </c>
      <c r="U87" s="10" t="s">
        <v>98</v>
      </c>
      <c r="V87" s="5" t="n">
        <v>30</v>
      </c>
      <c r="W87" s="5" t="n">
        <v>48.8</v>
      </c>
      <c r="X87" s="5" t="n">
        <v>8.5</v>
      </c>
      <c r="Y87" s="5" t="n">
        <v>31</v>
      </c>
      <c r="Z87" s="5" t="n">
        <v>48.42</v>
      </c>
      <c r="AA87" s="5" t="n">
        <v>9.25</v>
      </c>
      <c r="AB87" s="5" t="s">
        <v>99</v>
      </c>
      <c r="AC87" s="5"/>
      <c r="AD87" s="5" t="n">
        <v>1</v>
      </c>
      <c r="AE87" s="7" t="n">
        <f aca="false">IFERROR(IF(AB87="MSD",IF(COUNT(V87,W87,X87,Y87,Z87,AA87)&lt;6,"",(W87-Z87)/SQRT(((V87-1)*X87^2+(Y87-1)*AA87^2)/(V87+Y87-2))*AD87),IF(AB87="t",AC87*SQRT(1/V87+1/Y87)*AD87,IF(AB87="F",SQRT(AC87)*SQRT(1/V87+1/Y87)*AD87,IF(AB87="z",2*(AC87/SQRT(V87+Y87))/SQRT(1-(AC87/SQRT(V87+Y87))^2)*AD87,IF(AB87="t_paired",AC87/SQRT(V87)*AD87,""))))),"")</f>
        <v>0.0427481815994083</v>
      </c>
      <c r="AF87" s="7" t="n">
        <f aca="false">IF(AE87="","",IF(AB87="t_paired",1-3/(4*(V87-1)-1),1-3/(4*(V87+Y87)-9)))</f>
        <v>0.987234042553192</v>
      </c>
      <c r="AG87" s="7" t="n">
        <f aca="false">IF(AE87="","",AE87*AF87)</f>
        <v>0.0422024601321818</v>
      </c>
      <c r="AH87" s="7" t="n">
        <f aca="false">IF(AG87="","",IF(AB87="t_paired",1/V87+AG87^2/(2*V87),(V87+Y87)/(V87*Y87)+AG87^2/(2*(V87+Y87))))</f>
        <v>0.0656059966006198</v>
      </c>
      <c r="AI87" s="7" t="n">
        <f aca="false">IF(AH87="","",SQRT(AH87))</f>
        <v>0.256136675625768</v>
      </c>
      <c r="AJ87" s="7" t="n">
        <f aca="false">IF(AI87="","",AG87-1.96*AI87)</f>
        <v>-0.459825424094323</v>
      </c>
      <c r="AK87" s="7" t="n">
        <f aca="false">IF(AI87="","",AG87+1.96*AI87)</f>
        <v>0.544230344358687</v>
      </c>
      <c r="AL87" s="7" t="n">
        <f aca="false">IF(AI87="","",AG87/AI87)</f>
        <v>0.164765393433318</v>
      </c>
      <c r="AM87" s="8" t="n">
        <f aca="false">IF(AL87="","",2*(1-NORMSDIST(ABS(AL87))))</f>
        <v>0.869128643740927</v>
      </c>
      <c r="AN87" s="9" t="n">
        <f aca="false">IF(COUNT(V87)=0,"",IF(AB87="t_paired",V87,V87+N(Y87)))</f>
        <v>61</v>
      </c>
      <c r="AO87" s="7" t="n">
        <f aca="false">IF(AH87="","",1/AH87)</f>
        <v>15.2425090969589</v>
      </c>
      <c r="AP87" s="5" t="s">
        <v>100</v>
      </c>
      <c r="AQ87" s="5" t="s">
        <v>89</v>
      </c>
      <c r="AR87" s="5" t="s">
        <v>298</v>
      </c>
      <c r="AS87" s="9" t="n">
        <f aca="false">IF(AND(AP87="Y",ISNUMBER(AO87)),AO87,0)</f>
        <v>0</v>
      </c>
      <c r="AT87" s="7" t="n">
        <f aca="false">IF(AS87&gt;0,AS87*AG87,0)</f>
        <v>0</v>
      </c>
      <c r="AU87" s="7" t="n">
        <f aca="false">IF(AS87&gt;0,AS87*AG87^2,0)</f>
        <v>0</v>
      </c>
      <c r="AV87" s="9" t="n">
        <f aca="false">IF(AS87&gt;0,AS87^2,0)</f>
        <v>0</v>
      </c>
      <c r="AW87" s="7" t="n">
        <f aca="false">IF(AS87&gt;0,AG87,0)</f>
        <v>0</v>
      </c>
      <c r="AX87" s="7" t="n">
        <f aca="false">IF(AS87&gt;0,AH87,1)</f>
        <v>1</v>
      </c>
    </row>
    <row r="88" customFormat="false" ht="15" hidden="false" customHeight="false" outlineLevel="0" collapsed="false">
      <c r="A88" s="5" t="s">
        <v>411</v>
      </c>
      <c r="B88" s="5" t="s">
        <v>400</v>
      </c>
      <c r="C88" s="5" t="s">
        <v>401</v>
      </c>
      <c r="D88" s="5" t="n">
        <v>2022</v>
      </c>
      <c r="E88" s="5" t="s">
        <v>402</v>
      </c>
      <c r="F88" s="5" t="s">
        <v>173</v>
      </c>
      <c r="G88" s="5" t="s">
        <v>403</v>
      </c>
      <c r="H88" s="5" t="s">
        <v>74</v>
      </c>
      <c r="I88" s="5" t="s">
        <v>404</v>
      </c>
      <c r="J88" s="5" t="s">
        <v>76</v>
      </c>
      <c r="K88" s="5" t="s">
        <v>405</v>
      </c>
      <c r="L88" s="5" t="s">
        <v>406</v>
      </c>
      <c r="M88" s="5" t="s">
        <v>407</v>
      </c>
      <c r="N88" s="5" t="s">
        <v>408</v>
      </c>
      <c r="O88" s="5" t="s">
        <v>190</v>
      </c>
      <c r="P88" s="6" t="s">
        <v>82</v>
      </c>
      <c r="Q88" s="6" t="s">
        <v>83</v>
      </c>
      <c r="R88" s="5"/>
      <c r="S88" s="6" t="s">
        <v>409</v>
      </c>
      <c r="T88" s="5" t="s">
        <v>410</v>
      </c>
      <c r="U88" s="6" t="s">
        <v>86</v>
      </c>
      <c r="V88" s="5" t="n">
        <v>30</v>
      </c>
      <c r="W88" s="5" t="n">
        <v>60.7</v>
      </c>
      <c r="X88" s="5" t="n">
        <v>7.14</v>
      </c>
      <c r="Y88" s="5" t="n">
        <v>31</v>
      </c>
      <c r="Z88" s="5" t="n">
        <v>58.97</v>
      </c>
      <c r="AA88" s="5" t="n">
        <v>8.74</v>
      </c>
      <c r="AB88" s="5" t="s">
        <v>99</v>
      </c>
      <c r="AC88" s="5"/>
      <c r="AD88" s="5" t="n">
        <v>1</v>
      </c>
      <c r="AE88" s="7" t="n">
        <f aca="false">IFERROR(IF(AB88="MSD",IF(COUNT(V88,W88,X88,Y88,Z88,AA88)&lt;6,"",(W88-Z88)/SQRT(((V88-1)*X88^2+(Y88-1)*AA88^2)/(V88+Y88-2))*AD88),IF(AB88="t",AC88*SQRT(1/V88+1/Y88)*AD88,IF(AB88="F",SQRT(AC88)*SQRT(1/V88+1/Y88)*AD88,IF(AB88="z",2*(AC88/SQRT(V88+Y88))/SQRT(1-(AC88/SQRT(V88+Y88))^2)*AD88,IF(AB88="t_paired",AC88/SQRT(V88)*AD88,""))))),"")</f>
        <v>0.216420969026454</v>
      </c>
      <c r="AF88" s="7" t="n">
        <f aca="false">IF(AE88="","",IF(AB88="t_paired",1-3/(4*(V88-1)-1),1-3/(4*(V88+Y88)-9)))</f>
        <v>0.987234042553192</v>
      </c>
      <c r="AG88" s="7" t="n">
        <f aca="false">IF(AE88="","",AE88*AF88)</f>
        <v>0.213658148145265</v>
      </c>
      <c r="AH88" s="7" t="n">
        <f aca="false">IF(AG88="","",IF(AB88="t_paired",1/V88+AG88^2/(2*V88),(V88+Y88)/(V88*Y88)+AG88^2/(2*(V88+Y88))))</f>
        <v>0.0659655765729777</v>
      </c>
      <c r="AI88" s="7" t="n">
        <f aca="false">IF(AH88="","",SQRT(AH88))</f>
        <v>0.256837646331253</v>
      </c>
      <c r="AJ88" s="7" t="n">
        <f aca="false">IF(AI88="","",AG88-1.96*AI88)</f>
        <v>-0.28974363866399</v>
      </c>
      <c r="AK88" s="7" t="n">
        <f aca="false">IF(AI88="","",AG88+1.96*AI88)</f>
        <v>0.71705993495452</v>
      </c>
      <c r="AL88" s="7" t="n">
        <f aca="false">IF(AI88="","",AG88/AI88)</f>
        <v>0.831880182664898</v>
      </c>
      <c r="AM88" s="8" t="n">
        <f aca="false">IF(AL88="","",2*(1-NORMSDIST(ABS(AL88))))</f>
        <v>0.405476578781302</v>
      </c>
      <c r="AN88" s="9" t="n">
        <f aca="false">IF(COUNT(V88)=0,"",IF(AB88="t_paired",V88,V88+N(Y88)))</f>
        <v>61</v>
      </c>
      <c r="AO88" s="7" t="n">
        <f aca="false">IF(AH88="","",1/AH88)</f>
        <v>15.1594218068222</v>
      </c>
      <c r="AP88" s="5" t="s">
        <v>88</v>
      </c>
      <c r="AQ88" s="5" t="s">
        <v>89</v>
      </c>
      <c r="AR88" s="5" t="s">
        <v>298</v>
      </c>
      <c r="AS88" s="7" t="n">
        <f aca="false">IF(AND(AP88="Y",ISNUMBER(AO88)),AO88,0)</f>
        <v>15.1594218068222</v>
      </c>
      <c r="AT88" s="7" t="n">
        <f aca="false">IF(AS88&gt;0,AS88*AG88,0)</f>
        <v>3.23893399019859</v>
      </c>
      <c r="AU88" s="7" t="n">
        <f aca="false">IF(AS88&gt;0,AS88*AG88^2,0)</f>
        <v>0.692024638310583</v>
      </c>
      <c r="AV88" s="9" t="n">
        <f aca="false">IF(AS88&gt;0,AS88^2,0)</f>
        <v>229.808069517158</v>
      </c>
      <c r="AW88" s="7" t="n">
        <f aca="false">IF(AS88&gt;0,AG88,0)</f>
        <v>0.213658148145265</v>
      </c>
      <c r="AX88" s="7" t="n">
        <f aca="false">IF(AS88&gt;0,AH88,1)</f>
        <v>0.0659655765729777</v>
      </c>
    </row>
    <row r="89" customFormat="false" ht="15" hidden="false" customHeight="false" outlineLevel="0" collapsed="false">
      <c r="A89" s="5" t="s">
        <v>412</v>
      </c>
      <c r="B89" s="5" t="s">
        <v>400</v>
      </c>
      <c r="C89" s="5" t="s">
        <v>401</v>
      </c>
      <c r="D89" s="5" t="n">
        <v>2022</v>
      </c>
      <c r="E89" s="5" t="s">
        <v>402</v>
      </c>
      <c r="F89" s="5" t="s">
        <v>173</v>
      </c>
      <c r="G89" s="5" t="s">
        <v>403</v>
      </c>
      <c r="H89" s="5" t="s">
        <v>74</v>
      </c>
      <c r="I89" s="5" t="s">
        <v>404</v>
      </c>
      <c r="J89" s="5" t="s">
        <v>76</v>
      </c>
      <c r="K89" s="5" t="s">
        <v>405</v>
      </c>
      <c r="L89" s="5" t="s">
        <v>406</v>
      </c>
      <c r="M89" s="5" t="s">
        <v>407</v>
      </c>
      <c r="N89" s="5" t="s">
        <v>408</v>
      </c>
      <c r="O89" s="5" t="s">
        <v>190</v>
      </c>
      <c r="P89" s="10" t="s">
        <v>82</v>
      </c>
      <c r="Q89" s="10" t="s">
        <v>103</v>
      </c>
      <c r="R89" s="5"/>
      <c r="S89" s="10" t="s">
        <v>413</v>
      </c>
      <c r="T89" s="5" t="s">
        <v>414</v>
      </c>
      <c r="U89" s="10" t="s">
        <v>98</v>
      </c>
      <c r="V89" s="5" t="n">
        <v>30</v>
      </c>
      <c r="W89" s="5" t="n">
        <v>5.7</v>
      </c>
      <c r="X89" s="5" t="n">
        <v>2.77</v>
      </c>
      <c r="Y89" s="5" t="n">
        <v>31</v>
      </c>
      <c r="Z89" s="5" t="n">
        <v>6</v>
      </c>
      <c r="AA89" s="5" t="n">
        <v>1.95</v>
      </c>
      <c r="AB89" s="5" t="s">
        <v>99</v>
      </c>
      <c r="AC89" s="5"/>
      <c r="AD89" s="5" t="n">
        <v>1</v>
      </c>
      <c r="AE89" s="7" t="n">
        <f aca="false">IFERROR(IF(AB89="MSD",IF(COUNT(V89,W89,X89,Y89,Z89,AA89)&lt;6,"",(W89-Z89)/SQRT(((V89-1)*X89^2+(Y89-1)*AA89^2)/(V89+Y89-2))*AD89),IF(AB89="t",AC89*SQRT(1/V89+1/Y89)*AD89,IF(AB89="F",SQRT(AC89)*SQRT(1/V89+1/Y89)*AD89,IF(AB89="z",2*(AC89/SQRT(V89+Y89))/SQRT(1-(AC89/SQRT(V89+Y89))^2)*AD89,IF(AB89="t_paired",AC89/SQRT(V89)*AD89,""))))),"")</f>
        <v>-0.125602197175662</v>
      </c>
      <c r="AF89" s="7" t="n">
        <f aca="false">IF(AE89="","",IF(AB89="t_paired",1-3/(4*(V89-1)-1),1-3/(4*(V89+Y89)-9)))</f>
        <v>0.987234042553192</v>
      </c>
      <c r="AG89" s="7" t="n">
        <f aca="false">IF(AE89="","",AE89*AF89)</f>
        <v>-0.123998764871292</v>
      </c>
      <c r="AH89" s="7" t="n">
        <f aca="false">IF(AG89="","",IF(AB89="t_paired",1/V89+AG89^2/(2*V89),(V89+Y89)/(V89*Y89)+AG89^2/(2*(V89+Y89))))</f>
        <v>0.0657174281256067</v>
      </c>
      <c r="AI89" s="7" t="n">
        <f aca="false">IF(AH89="","",SQRT(AH89))</f>
        <v>0.256354106902165</v>
      </c>
      <c r="AJ89" s="7" t="n">
        <f aca="false">IF(AI89="","",AG89-1.96*AI89)</f>
        <v>-0.626452814399535</v>
      </c>
      <c r="AK89" s="7" t="n">
        <f aca="false">IF(AI89="","",AG89+1.96*AI89)</f>
        <v>0.378455284656952</v>
      </c>
      <c r="AL89" s="7" t="n">
        <f aca="false">IF(AI89="","",AG89/AI89)</f>
        <v>-0.48370110535664</v>
      </c>
      <c r="AM89" s="8" t="n">
        <f aca="false">IF(AL89="","",2*(1-NORMSDIST(ABS(AL89))))</f>
        <v>0.628598008629079</v>
      </c>
      <c r="AN89" s="9" t="n">
        <f aca="false">IF(COUNT(V89)=0,"",IF(AB89="t_paired",V89,V89+N(Y89)))</f>
        <v>61</v>
      </c>
      <c r="AO89" s="7" t="n">
        <f aca="false">IF(AH89="","",1/AH89)</f>
        <v>15.2166636541023</v>
      </c>
      <c r="AP89" s="5" t="s">
        <v>100</v>
      </c>
      <c r="AQ89" s="5" t="s">
        <v>89</v>
      </c>
      <c r="AR89" s="5" t="s">
        <v>298</v>
      </c>
      <c r="AS89" s="9" t="n">
        <f aca="false">IF(AND(AP89="Y",ISNUMBER(AO89)),AO89,0)</f>
        <v>0</v>
      </c>
      <c r="AT89" s="7" t="n">
        <f aca="false">IF(AS89&gt;0,AS89*AG89,0)</f>
        <v>0</v>
      </c>
      <c r="AU89" s="7" t="n">
        <f aca="false">IF(AS89&gt;0,AS89*AG89^2,0)</f>
        <v>0</v>
      </c>
      <c r="AV89" s="9" t="n">
        <f aca="false">IF(AS89&gt;0,AS89^2,0)</f>
        <v>0</v>
      </c>
      <c r="AW89" s="7" t="n">
        <f aca="false">IF(AS89&gt;0,AG89,0)</f>
        <v>0</v>
      </c>
      <c r="AX89" s="7" t="n">
        <f aca="false">IF(AS89&gt;0,AH89,1)</f>
        <v>1</v>
      </c>
    </row>
    <row r="90" customFormat="false" ht="15" hidden="false" customHeight="false" outlineLevel="0" collapsed="false">
      <c r="A90" s="5" t="s">
        <v>415</v>
      </c>
      <c r="B90" s="5" t="s">
        <v>400</v>
      </c>
      <c r="C90" s="5" t="s">
        <v>401</v>
      </c>
      <c r="D90" s="5" t="n">
        <v>2022</v>
      </c>
      <c r="E90" s="5" t="s">
        <v>402</v>
      </c>
      <c r="F90" s="5" t="s">
        <v>173</v>
      </c>
      <c r="G90" s="5" t="s">
        <v>403</v>
      </c>
      <c r="H90" s="5" t="s">
        <v>74</v>
      </c>
      <c r="I90" s="5" t="s">
        <v>404</v>
      </c>
      <c r="J90" s="5" t="s">
        <v>76</v>
      </c>
      <c r="K90" s="5" t="s">
        <v>405</v>
      </c>
      <c r="L90" s="5" t="s">
        <v>406</v>
      </c>
      <c r="M90" s="5" t="s">
        <v>407</v>
      </c>
      <c r="N90" s="5" t="s">
        <v>408</v>
      </c>
      <c r="O90" s="5" t="s">
        <v>190</v>
      </c>
      <c r="P90" s="6" t="s">
        <v>82</v>
      </c>
      <c r="Q90" s="6" t="s">
        <v>103</v>
      </c>
      <c r="R90" s="5"/>
      <c r="S90" s="6" t="s">
        <v>413</v>
      </c>
      <c r="T90" s="5" t="s">
        <v>414</v>
      </c>
      <c r="U90" s="6" t="s">
        <v>86</v>
      </c>
      <c r="V90" s="5" t="n">
        <v>30</v>
      </c>
      <c r="W90" s="5" t="n">
        <v>10.07</v>
      </c>
      <c r="X90" s="5" t="n">
        <v>2.24</v>
      </c>
      <c r="Y90" s="5" t="n">
        <v>31</v>
      </c>
      <c r="Z90" s="5" t="n">
        <v>10.77</v>
      </c>
      <c r="AA90" s="5" t="n">
        <v>1.7</v>
      </c>
      <c r="AB90" s="5" t="s">
        <v>99</v>
      </c>
      <c r="AC90" s="5"/>
      <c r="AD90" s="5" t="n">
        <v>1</v>
      </c>
      <c r="AE90" s="7" t="n">
        <f aca="false">IFERROR(IF(AB90="MSD",IF(COUNT(V90,W90,X90,Y90,Z90,AA90)&lt;6,"",(W90-Z90)/SQRT(((V90-1)*X90^2+(Y90-1)*AA90^2)/(V90+Y90-2))*AD90),IF(AB90="t",AC90*SQRT(1/V90+1/Y90)*AD90,IF(AB90="F",SQRT(AC90)*SQRT(1/V90+1/Y90)*AD90,IF(AB90="z",2*(AC90/SQRT(V90+Y90))/SQRT(1-(AC90/SQRT(V90+Y90))^2)*AD90,IF(AB90="t_paired",AC90/SQRT(V90)*AD90,""))))),"")</f>
        <v>-0.352844386529838</v>
      </c>
      <c r="AF90" s="7" t="n">
        <f aca="false">IF(AE90="","",IF(AB90="t_paired",1-3/(4*(V90-1)-1),1-3/(4*(V90+Y90)-9)))</f>
        <v>0.987234042553192</v>
      </c>
      <c r="AG90" s="7" t="n">
        <f aca="false">IF(AE90="","",AE90*AF90)</f>
        <v>-0.348339990106053</v>
      </c>
      <c r="AH90" s="7" t="n">
        <f aca="false">IF(AG90="","",IF(AB90="t_paired",1/V90+AG90^2/(2*V90),(V90+Y90)/(V90*Y90)+AG90^2/(2*(V90+Y90))))</f>
        <v>0.0665859941503401</v>
      </c>
      <c r="AI90" s="7" t="n">
        <f aca="false">IF(AH90="","",SQRT(AH90))</f>
        <v>0.258042620801952</v>
      </c>
      <c r="AJ90" s="7" t="n">
        <f aca="false">IF(AI90="","",AG90-1.96*AI90)</f>
        <v>-0.854103526877879</v>
      </c>
      <c r="AK90" s="7" t="n">
        <f aca="false">IF(AI90="","",AG90+1.96*AI90)</f>
        <v>0.157423546665774</v>
      </c>
      <c r="AL90" s="7" t="n">
        <f aca="false">IF(AI90="","",AG90/AI90)</f>
        <v>-1.34993199582097</v>
      </c>
      <c r="AM90" s="8" t="n">
        <f aca="false">IF(AL90="","",2*(1-NORMSDIST(ABS(AL90))))</f>
        <v>0.17703779734913</v>
      </c>
      <c r="AN90" s="9" t="n">
        <f aca="false">IF(COUNT(V90)=0,"",IF(AB90="t_paired",V90,V90+N(Y90)))</f>
        <v>61</v>
      </c>
      <c r="AO90" s="7" t="n">
        <f aca="false">IF(AH90="","",1/AH90)</f>
        <v>15.0181733074701</v>
      </c>
      <c r="AP90" s="5" t="s">
        <v>88</v>
      </c>
      <c r="AQ90" s="5" t="s">
        <v>89</v>
      </c>
      <c r="AR90" s="5" t="s">
        <v>298</v>
      </c>
      <c r="AS90" s="7" t="n">
        <f aca="false">IF(AND(AP90="Y",ISNUMBER(AO90)),AO90,0)</f>
        <v>15.0181733074701</v>
      </c>
      <c r="AT90" s="7" t="n">
        <f aca="false">IF(AS90&gt;0,AS90*AG90,0)</f>
        <v>-5.23143034133513</v>
      </c>
      <c r="AU90" s="7" t="n">
        <f aca="false">IF(AS90&gt;0,AS90*AG90^2,0)</f>
        <v>1.82231639334118</v>
      </c>
      <c r="AV90" s="9" t="n">
        <f aca="false">IF(AS90&gt;0,AS90^2,0)</f>
        <v>225.545529493208</v>
      </c>
      <c r="AW90" s="7" t="n">
        <f aca="false">IF(AS90&gt;0,AG90,0)</f>
        <v>-0.348339990106053</v>
      </c>
      <c r="AX90" s="7" t="n">
        <f aca="false">IF(AS90&gt;0,AH90,1)</f>
        <v>0.0665859941503401</v>
      </c>
    </row>
    <row r="91" customFormat="false" ht="15" hidden="false" customHeight="false" outlineLevel="0" collapsed="false">
      <c r="A91" s="5" t="s">
        <v>416</v>
      </c>
      <c r="B91" s="5" t="s">
        <v>400</v>
      </c>
      <c r="C91" s="5" t="s">
        <v>401</v>
      </c>
      <c r="D91" s="5" t="n">
        <v>2022</v>
      </c>
      <c r="E91" s="5" t="s">
        <v>402</v>
      </c>
      <c r="F91" s="5" t="s">
        <v>173</v>
      </c>
      <c r="G91" s="5" t="s">
        <v>403</v>
      </c>
      <c r="H91" s="5" t="s">
        <v>74</v>
      </c>
      <c r="I91" s="5" t="s">
        <v>404</v>
      </c>
      <c r="J91" s="5" t="s">
        <v>76</v>
      </c>
      <c r="K91" s="5" t="s">
        <v>405</v>
      </c>
      <c r="L91" s="5" t="s">
        <v>406</v>
      </c>
      <c r="M91" s="5" t="s">
        <v>407</v>
      </c>
      <c r="N91" s="5" t="s">
        <v>408</v>
      </c>
      <c r="O91" s="5" t="s">
        <v>190</v>
      </c>
      <c r="P91" s="10" t="s">
        <v>113</v>
      </c>
      <c r="Q91" s="10" t="s">
        <v>114</v>
      </c>
      <c r="R91" s="5" t="s">
        <v>125</v>
      </c>
      <c r="S91" s="10" t="s">
        <v>417</v>
      </c>
      <c r="T91" s="5" t="s">
        <v>418</v>
      </c>
      <c r="U91" s="10" t="s">
        <v>98</v>
      </c>
      <c r="V91" s="5" t="n">
        <v>30</v>
      </c>
      <c r="W91" s="5" t="n">
        <v>6.07</v>
      </c>
      <c r="X91" s="5" t="n">
        <v>2.23</v>
      </c>
      <c r="Y91" s="5" t="n">
        <v>31</v>
      </c>
      <c r="Z91" s="5" t="n">
        <v>6.87</v>
      </c>
      <c r="AA91" s="5" t="n">
        <v>2.08</v>
      </c>
      <c r="AB91" s="5" t="s">
        <v>99</v>
      </c>
      <c r="AC91" s="5"/>
      <c r="AD91" s="5" t="n">
        <v>1</v>
      </c>
      <c r="AE91" s="7" t="n">
        <f aca="false">IFERROR(IF(AB91="MSD",IF(COUNT(V91,W91,X91,Y91,Z91,AA91)&lt;6,"",(W91-Z91)/SQRT(((V91-1)*X91^2+(Y91-1)*AA91^2)/(V91+Y91-2))*AD91),IF(AB91="t",AC91*SQRT(1/V91+1/Y91)*AD91,IF(AB91="F",SQRT(AC91)*SQRT(1/V91+1/Y91)*AD91,IF(AB91="z",2*(AC91/SQRT(V91+Y91))/SQRT(1-(AC91/SQRT(V91+Y91))^2)*AD91,IF(AB91="t_paired",AC91/SQRT(V91)*AD91,""))))),"")</f>
        <v>-0.371223855656775</v>
      </c>
      <c r="AF91" s="7" t="n">
        <f aca="false">IF(AE91="","",IF(AB91="t_paired",1-3/(4*(V91-1)-1),1-3/(4*(V91+Y91)-9)))</f>
        <v>0.987234042553192</v>
      </c>
      <c r="AG91" s="7" t="n">
        <f aca="false">IF(AE91="","",AE91*AF91)</f>
        <v>-0.36648482771222</v>
      </c>
      <c r="AH91" s="7" t="n">
        <f aca="false">IF(AG91="","",IF(AB91="t_paired",1/V91+AG91^2/(2*V91),(V91+Y91)/(V91*Y91)+AG91^2/(2*(V91+Y91))))</f>
        <v>0.0666923087424399</v>
      </c>
      <c r="AI91" s="7" t="n">
        <f aca="false">IF(AH91="","",SQRT(AH91))</f>
        <v>0.258248540639516</v>
      </c>
      <c r="AJ91" s="7" t="n">
        <f aca="false">IF(AI91="","",AG91-1.96*AI91)</f>
        <v>-0.872651967365672</v>
      </c>
      <c r="AK91" s="7" t="n">
        <f aca="false">IF(AI91="","",AG91+1.96*AI91)</f>
        <v>0.139682311941232</v>
      </c>
      <c r="AL91" s="7" t="n">
        <f aca="false">IF(AI91="","",AG91/AI91)</f>
        <v>-1.4191167423625</v>
      </c>
      <c r="AM91" s="8" t="n">
        <f aca="false">IF(AL91="","",2*(1-NORMSDIST(ABS(AL91))))</f>
        <v>0.155864983602875</v>
      </c>
      <c r="AN91" s="9" t="n">
        <f aca="false">IF(COUNT(V91)=0,"",IF(AB91="t_paired",V91,V91+N(Y91)))</f>
        <v>61</v>
      </c>
      <c r="AO91" s="7" t="n">
        <f aca="false">IF(AH91="","",1/AH91)</f>
        <v>14.9942327512145</v>
      </c>
      <c r="AP91" s="5" t="s">
        <v>100</v>
      </c>
      <c r="AQ91" s="5" t="s">
        <v>89</v>
      </c>
      <c r="AR91" s="5" t="s">
        <v>419</v>
      </c>
      <c r="AS91" s="9" t="n">
        <f aca="false">IF(AND(AP91="Y",ISNUMBER(AO91)),AO91,0)</f>
        <v>0</v>
      </c>
      <c r="AT91" s="7" t="n">
        <f aca="false">IF(AS91&gt;0,AS91*AG91,0)</f>
        <v>0</v>
      </c>
      <c r="AU91" s="7" t="n">
        <f aca="false">IF(AS91&gt;0,AS91*AG91^2,0)</f>
        <v>0</v>
      </c>
      <c r="AV91" s="9" t="n">
        <f aca="false">IF(AS91&gt;0,AS91^2,0)</f>
        <v>0</v>
      </c>
      <c r="AW91" s="7" t="n">
        <f aca="false">IF(AS91&gt;0,AG91,0)</f>
        <v>0</v>
      </c>
      <c r="AX91" s="7" t="n">
        <f aca="false">IF(AS91&gt;0,AH91,1)</f>
        <v>1</v>
      </c>
    </row>
    <row r="92" customFormat="false" ht="15" hidden="false" customHeight="false" outlineLevel="0" collapsed="false">
      <c r="A92" s="5" t="s">
        <v>420</v>
      </c>
      <c r="B92" s="5" t="s">
        <v>400</v>
      </c>
      <c r="C92" s="5" t="s">
        <v>401</v>
      </c>
      <c r="D92" s="5" t="n">
        <v>2022</v>
      </c>
      <c r="E92" s="5" t="s">
        <v>402</v>
      </c>
      <c r="F92" s="5" t="s">
        <v>173</v>
      </c>
      <c r="G92" s="5" t="s">
        <v>403</v>
      </c>
      <c r="H92" s="5" t="s">
        <v>74</v>
      </c>
      <c r="I92" s="5" t="s">
        <v>404</v>
      </c>
      <c r="J92" s="5" t="s">
        <v>76</v>
      </c>
      <c r="K92" s="5" t="s">
        <v>405</v>
      </c>
      <c r="L92" s="5" t="s">
        <v>406</v>
      </c>
      <c r="M92" s="5" t="s">
        <v>407</v>
      </c>
      <c r="N92" s="5" t="s">
        <v>408</v>
      </c>
      <c r="O92" s="5" t="s">
        <v>190</v>
      </c>
      <c r="P92" s="11" t="s">
        <v>113</v>
      </c>
      <c r="Q92" s="11" t="s">
        <v>114</v>
      </c>
      <c r="R92" s="5" t="s">
        <v>125</v>
      </c>
      <c r="S92" s="11" t="s">
        <v>417</v>
      </c>
      <c r="T92" s="5" t="s">
        <v>418</v>
      </c>
      <c r="U92" s="11" t="s">
        <v>86</v>
      </c>
      <c r="V92" s="5" t="n">
        <v>30</v>
      </c>
      <c r="W92" s="5" t="n">
        <v>8.4</v>
      </c>
      <c r="X92" s="5" t="n">
        <v>1.43</v>
      </c>
      <c r="Y92" s="5" t="n">
        <v>31</v>
      </c>
      <c r="Z92" s="5" t="n">
        <v>7.77</v>
      </c>
      <c r="AA92" s="5" t="n">
        <v>1.77</v>
      </c>
      <c r="AB92" s="5" t="s">
        <v>99</v>
      </c>
      <c r="AC92" s="5"/>
      <c r="AD92" s="5" t="n">
        <v>1</v>
      </c>
      <c r="AE92" s="7" t="n">
        <f aca="false">IFERROR(IF(AB92="MSD",IF(COUNT(V92,W92,X92,Y92,Z92,AA92)&lt;6,"",(W92-Z92)/SQRT(((V92-1)*X92^2+(Y92-1)*AA92^2)/(V92+Y92-2))*AD92),IF(AB92="t",AC92*SQRT(1/V92+1/Y92)*AD92,IF(AB92="F",SQRT(AC92)*SQRT(1/V92+1/Y92)*AD92,IF(AB92="z",2*(AC92/SQRT(V92+Y92))/SQRT(1-(AC92/SQRT(V92+Y92))^2)*AD92,IF(AB92="t_paired",AC92/SQRT(V92)*AD92,""))))),"")</f>
        <v>0.390850721589479</v>
      </c>
      <c r="AF92" s="7" t="n">
        <f aca="false">IF(AE92="","",IF(AB92="t_paired",1-3/(4*(V92-1)-1),1-3/(4*(V92+Y92)-9)))</f>
        <v>0.987234042553192</v>
      </c>
      <c r="AG92" s="7" t="n">
        <f aca="false">IF(AE92="","",AE92*AF92)</f>
        <v>0.385861137909614</v>
      </c>
      <c r="AH92" s="7" t="n">
        <f aca="false">IF(AG92="","",IF(AB92="t_paired",1/V92+AG92^2/(2*V92),(V92+Y92)/(V92*Y92)+AG92^2/(2*(V92+Y92))))</f>
        <v>0.0668117979949452</v>
      </c>
      <c r="AI92" s="7" t="n">
        <f aca="false">IF(AH92="","",SQRT(AH92))</f>
        <v>0.258479782565185</v>
      </c>
      <c r="AJ92" s="7" t="n">
        <f aca="false">IF(AI92="","",AG92-1.96*AI92)</f>
        <v>-0.120759235918149</v>
      </c>
      <c r="AK92" s="7" t="n">
        <f aca="false">IF(AI92="","",AG92+1.96*AI92)</f>
        <v>0.892481511737376</v>
      </c>
      <c r="AL92" s="7" t="n">
        <f aca="false">IF(AI92="","",AG92/AI92)</f>
        <v>1.49280974349437</v>
      </c>
      <c r="AM92" s="8" t="n">
        <f aca="false">IF(AL92="","",2*(1-NORMSDIST(ABS(AL92))))</f>
        <v>0.135486996084086</v>
      </c>
      <c r="AN92" s="9" t="n">
        <f aca="false">IF(COUNT(V92)=0,"",IF(AB92="t_paired",V92,V92+N(Y92)))</f>
        <v>61</v>
      </c>
      <c r="AO92" s="7" t="n">
        <f aca="false">IF(AH92="","",1/AH92)</f>
        <v>14.9674163846879</v>
      </c>
      <c r="AP92" s="5" t="s">
        <v>88</v>
      </c>
      <c r="AQ92" s="5" t="s">
        <v>89</v>
      </c>
      <c r="AR92" s="5" t="s">
        <v>298</v>
      </c>
      <c r="AS92" s="7" t="n">
        <f aca="false">IF(AND(AP92="Y",ISNUMBER(AO92)),AO92,0)</f>
        <v>14.9674163846879</v>
      </c>
      <c r="AT92" s="7" t="n">
        <f aca="false">IF(AS92&gt;0,AS92*AG92,0)</f>
        <v>5.77534431776266</v>
      </c>
      <c r="AU92" s="7" t="n">
        <f aca="false">IF(AS92&gt;0,AS92*AG92^2,0)</f>
        <v>2.22848093027172</v>
      </c>
      <c r="AV92" s="9" t="n">
        <f aca="false">IF(AS92&gt;0,AS92^2,0)</f>
        <v>224.023553232624</v>
      </c>
      <c r="AW92" s="7" t="n">
        <f aca="false">IF(AS92&gt;0,AG92,0)</f>
        <v>0.385861137909614</v>
      </c>
      <c r="AX92" s="7" t="n">
        <f aca="false">IF(AS92&gt;0,AH92,1)</f>
        <v>0.0668117979949452</v>
      </c>
    </row>
    <row r="93" customFormat="false" ht="15" hidden="false" customHeight="false" outlineLevel="0" collapsed="false">
      <c r="A93" s="5" t="s">
        <v>421</v>
      </c>
      <c r="B93" s="5" t="s">
        <v>400</v>
      </c>
      <c r="C93" s="5" t="s">
        <v>401</v>
      </c>
      <c r="D93" s="5" t="n">
        <v>2022</v>
      </c>
      <c r="E93" s="5" t="s">
        <v>402</v>
      </c>
      <c r="F93" s="5" t="s">
        <v>173</v>
      </c>
      <c r="G93" s="5" t="s">
        <v>403</v>
      </c>
      <c r="H93" s="5" t="s">
        <v>74</v>
      </c>
      <c r="I93" s="5" t="s">
        <v>404</v>
      </c>
      <c r="J93" s="5" t="s">
        <v>76</v>
      </c>
      <c r="K93" s="5" t="s">
        <v>405</v>
      </c>
      <c r="L93" s="5" t="s">
        <v>406</v>
      </c>
      <c r="M93" s="5" t="s">
        <v>407</v>
      </c>
      <c r="N93" s="5" t="s">
        <v>408</v>
      </c>
      <c r="O93" s="5" t="s">
        <v>190</v>
      </c>
      <c r="P93" s="11" t="s">
        <v>113</v>
      </c>
      <c r="Q93" s="11" t="s">
        <v>422</v>
      </c>
      <c r="R93" s="5"/>
      <c r="S93" s="11" t="s">
        <v>423</v>
      </c>
      <c r="T93" s="5" t="s">
        <v>418</v>
      </c>
      <c r="U93" s="11" t="s">
        <v>86</v>
      </c>
      <c r="V93" s="5" t="n">
        <v>30</v>
      </c>
      <c r="W93" s="5" t="n">
        <v>8.67</v>
      </c>
      <c r="X93" s="5" t="n">
        <v>1.24</v>
      </c>
      <c r="Y93" s="5" t="n">
        <v>31</v>
      </c>
      <c r="Z93" s="5" t="n">
        <v>8.03</v>
      </c>
      <c r="AA93" s="5" t="n">
        <v>1.68</v>
      </c>
      <c r="AB93" s="5" t="s">
        <v>99</v>
      </c>
      <c r="AC93" s="5"/>
      <c r="AD93" s="5" t="n">
        <v>1</v>
      </c>
      <c r="AE93" s="7" t="n">
        <f aca="false">IFERROR(IF(AB93="MSD",IF(COUNT(V93,W93,X93,Y93,Z93,AA93)&lt;6,"",(W93-Z93)/SQRT(((V93-1)*X93^2+(Y93-1)*AA93^2)/(V93+Y93-2))*AD93),IF(AB93="t",AC93*SQRT(1/V93+1/Y93)*AD93,IF(AB93="F",SQRT(AC93)*SQRT(1/V93+1/Y93)*AD93,IF(AB93="z",2*(AC93/SQRT(V93+Y93))/SQRT(1-(AC93/SQRT(V93+Y93))^2)*AD93,IF(AB93="t_paired",AC93/SQRT(V93)*AD93,""))))),"")</f>
        <v>0.432384256211698</v>
      </c>
      <c r="AF93" s="7" t="n">
        <f aca="false">IF(AE93="","",IF(AB93="t_paired",1-3/(4*(V93-1)-1),1-3/(4*(V93+Y93)-9)))</f>
        <v>0.987234042553192</v>
      </c>
      <c r="AG93" s="7" t="n">
        <f aca="false">IF(AE93="","",AE93*AF93)</f>
        <v>0.426864457196229</v>
      </c>
      <c r="AH93" s="7" t="n">
        <f aca="false">IF(AG93="","",IF(AB93="t_paired",1/V93+AG93^2/(2*V93),(V93+Y93)/(V93*Y93)+AG93^2/(2*(V93+Y93))))</f>
        <v>0.0670849492004249</v>
      </c>
      <c r="AI93" s="7" t="n">
        <f aca="false">IF(AH93="","",SQRT(AH93))</f>
        <v>0.259007623826838</v>
      </c>
      <c r="AJ93" s="7" t="n">
        <f aca="false">IF(AI93="","",AG93-1.96*AI93)</f>
        <v>-0.0807904855043736</v>
      </c>
      <c r="AK93" s="7" t="n">
        <f aca="false">IF(AI93="","",AG93+1.96*AI93)</f>
        <v>0.934519399896832</v>
      </c>
      <c r="AL93" s="7" t="n">
        <f aca="false">IF(AI93="","",AG93/AI93)</f>
        <v>1.64807680518938</v>
      </c>
      <c r="AM93" s="8" t="n">
        <f aca="false">IF(AL93="","",2*(1-NORMSDIST(ABS(AL93))))</f>
        <v>0.0993369113337139</v>
      </c>
      <c r="AN93" s="9" t="n">
        <f aca="false">IF(COUNT(V93)=0,"",IF(AB93="t_paired",V93,V93+N(Y93)))</f>
        <v>61</v>
      </c>
      <c r="AO93" s="7" t="n">
        <f aca="false">IF(AH93="","",1/AH93)</f>
        <v>14.9064732390625</v>
      </c>
      <c r="AP93" s="5" t="s">
        <v>88</v>
      </c>
      <c r="AQ93" s="5" t="s">
        <v>89</v>
      </c>
      <c r="AR93" s="5" t="s">
        <v>298</v>
      </c>
      <c r="AS93" s="7" t="n">
        <f aca="false">IF(AND(AP93="Y",ISNUMBER(AO93)),AO93,0)</f>
        <v>14.9064732390625</v>
      </c>
      <c r="AT93" s="7" t="n">
        <f aca="false">IF(AS93&gt;0,AS93*AG93,0)</f>
        <v>6.36304360790252</v>
      </c>
      <c r="AU93" s="7" t="n">
        <f aca="false">IF(AS93&gt;0,AS93*AG93^2,0)</f>
        <v>2.71615715580325</v>
      </c>
      <c r="AV93" s="9" t="n">
        <f aca="false">IF(AS93&gt;0,AS93^2,0)</f>
        <v>222.202944426886</v>
      </c>
      <c r="AW93" s="7" t="n">
        <f aca="false">IF(AS93&gt;0,AG93,0)</f>
        <v>0.426864457196229</v>
      </c>
      <c r="AX93" s="7" t="n">
        <f aca="false">IF(AS93&gt;0,AH93,1)</f>
        <v>0.0670849492004249</v>
      </c>
    </row>
    <row r="94" customFormat="false" ht="15" hidden="false" customHeight="false" outlineLevel="0" collapsed="false">
      <c r="A94" s="5" t="s">
        <v>424</v>
      </c>
      <c r="B94" s="5" t="s">
        <v>400</v>
      </c>
      <c r="C94" s="5" t="s">
        <v>401</v>
      </c>
      <c r="D94" s="5" t="n">
        <v>2022</v>
      </c>
      <c r="E94" s="5" t="s">
        <v>402</v>
      </c>
      <c r="F94" s="5" t="s">
        <v>173</v>
      </c>
      <c r="G94" s="5" t="s">
        <v>403</v>
      </c>
      <c r="H94" s="5" t="s">
        <v>74</v>
      </c>
      <c r="I94" s="5" t="s">
        <v>404</v>
      </c>
      <c r="J94" s="5" t="s">
        <v>76</v>
      </c>
      <c r="K94" s="5" t="s">
        <v>405</v>
      </c>
      <c r="L94" s="5" t="s">
        <v>406</v>
      </c>
      <c r="M94" s="5" t="s">
        <v>407</v>
      </c>
      <c r="N94" s="5" t="s">
        <v>408</v>
      </c>
      <c r="O94" s="5" t="s">
        <v>190</v>
      </c>
      <c r="P94" s="10" t="s">
        <v>113</v>
      </c>
      <c r="Q94" s="10" t="s">
        <v>425</v>
      </c>
      <c r="R94" s="5"/>
      <c r="S94" s="10" t="s">
        <v>426</v>
      </c>
      <c r="T94" s="5" t="s">
        <v>427</v>
      </c>
      <c r="U94" s="10" t="s">
        <v>98</v>
      </c>
      <c r="V94" s="5" t="n">
        <v>30</v>
      </c>
      <c r="W94" s="5" t="n">
        <v>16.2</v>
      </c>
      <c r="X94" s="5" t="n">
        <v>5.26</v>
      </c>
      <c r="Y94" s="5" t="n">
        <v>31</v>
      </c>
      <c r="Z94" s="5" t="n">
        <v>16.65</v>
      </c>
      <c r="AA94" s="5" t="n">
        <v>5.57</v>
      </c>
      <c r="AB94" s="5" t="s">
        <v>99</v>
      </c>
      <c r="AC94" s="5"/>
      <c r="AD94" s="5" t="n">
        <v>1</v>
      </c>
      <c r="AE94" s="7" t="n">
        <f aca="false">IFERROR(IF(AB94="MSD",IF(COUNT(V94,W94,X94,Y94,Z94,AA94)&lt;6,"",(W94-Z94)/SQRT(((V94-1)*X94^2+(Y94-1)*AA94^2)/(V94+Y94-2))*AD94),IF(AB94="t",AC94*SQRT(1/V94+1/Y94)*AD94,IF(AB94="F",SQRT(AC94)*SQRT(1/V94+1/Y94)*AD94,IF(AB94="z",2*(AC94/SQRT(V94+Y94))/SQRT(1-(AC94/SQRT(V94+Y94))^2)*AD94,IF(AB94="t_paired",AC94/SQRT(V94)*AD94,""))))),"")</f>
        <v>-0.0830282303022788</v>
      </c>
      <c r="AF94" s="7" t="n">
        <f aca="false">IF(AE94="","",IF(AB94="t_paired",1-3/(4*(V94-1)-1),1-3/(4*(V94+Y94)-9)))</f>
        <v>0.987234042553192</v>
      </c>
      <c r="AG94" s="7" t="n">
        <f aca="false">IF(AE94="","",AE94*AF94)</f>
        <v>-0.0819682954473561</v>
      </c>
      <c r="AH94" s="7" t="n">
        <f aca="false">IF(AG94="","",IF(AB94="t_paired",1/V94+AG94^2/(2*V94),(V94+Y94)/(V94*Y94)+AG94^2/(2*(V94+Y94))))</f>
        <v>0.0656464699925652</v>
      </c>
      <c r="AI94" s="7" t="n">
        <f aca="false">IF(AH94="","",SQRT(AH94))</f>
        <v>0.256215670856732</v>
      </c>
      <c r="AJ94" s="7" t="n">
        <f aca="false">IF(AI94="","",AG94-1.96*AI94)</f>
        <v>-0.584151010326551</v>
      </c>
      <c r="AK94" s="7" t="n">
        <f aca="false">IF(AI94="","",AG94+1.96*AI94)</f>
        <v>0.420214419431838</v>
      </c>
      <c r="AL94" s="7" t="n">
        <f aca="false">IF(AI94="","",AG94/AI94)</f>
        <v>-0.319919133647334</v>
      </c>
      <c r="AM94" s="8" t="n">
        <f aca="false">IF(AL94="","",2*(1-NORMSDIST(ABS(AL94))))</f>
        <v>0.749029632978857</v>
      </c>
      <c r="AN94" s="9" t="n">
        <f aca="false">IF(COUNT(V94)=0,"",IF(AB94="t_paired",V94,V94+N(Y94)))</f>
        <v>61</v>
      </c>
      <c r="AO94" s="7" t="n">
        <f aca="false">IF(AH94="","",1/AH94)</f>
        <v>15.2331115460322</v>
      </c>
      <c r="AP94" s="5" t="s">
        <v>100</v>
      </c>
      <c r="AQ94" s="5" t="s">
        <v>89</v>
      </c>
      <c r="AR94" s="5" t="s">
        <v>298</v>
      </c>
      <c r="AS94" s="9" t="n">
        <f aca="false">IF(AND(AP94="Y",ISNUMBER(AO94)),AO94,0)</f>
        <v>0</v>
      </c>
      <c r="AT94" s="7" t="n">
        <f aca="false">IF(AS94&gt;0,AS94*AG94,0)</f>
        <v>0</v>
      </c>
      <c r="AU94" s="7" t="n">
        <f aca="false">IF(AS94&gt;0,AS94*AG94^2,0)</f>
        <v>0</v>
      </c>
      <c r="AV94" s="9" t="n">
        <f aca="false">IF(AS94&gt;0,AS94^2,0)</f>
        <v>0</v>
      </c>
      <c r="AW94" s="7" t="n">
        <f aca="false">IF(AS94&gt;0,AG94,0)</f>
        <v>0</v>
      </c>
      <c r="AX94" s="7" t="n">
        <f aca="false">IF(AS94&gt;0,AH94,1)</f>
        <v>1</v>
      </c>
    </row>
    <row r="95" customFormat="false" ht="15" hidden="false" customHeight="false" outlineLevel="0" collapsed="false">
      <c r="A95" s="5" t="s">
        <v>428</v>
      </c>
      <c r="B95" s="5" t="s">
        <v>400</v>
      </c>
      <c r="C95" s="5" t="s">
        <v>401</v>
      </c>
      <c r="D95" s="5" t="n">
        <v>2022</v>
      </c>
      <c r="E95" s="5" t="s">
        <v>402</v>
      </c>
      <c r="F95" s="5" t="s">
        <v>173</v>
      </c>
      <c r="G95" s="5" t="s">
        <v>403</v>
      </c>
      <c r="H95" s="5" t="s">
        <v>74</v>
      </c>
      <c r="I95" s="5" t="s">
        <v>404</v>
      </c>
      <c r="J95" s="5" t="s">
        <v>76</v>
      </c>
      <c r="K95" s="5" t="s">
        <v>405</v>
      </c>
      <c r="L95" s="5" t="s">
        <v>406</v>
      </c>
      <c r="M95" s="5" t="s">
        <v>407</v>
      </c>
      <c r="N95" s="5" t="s">
        <v>408</v>
      </c>
      <c r="O95" s="5" t="s">
        <v>190</v>
      </c>
      <c r="P95" s="11" t="s">
        <v>113</v>
      </c>
      <c r="Q95" s="11" t="s">
        <v>425</v>
      </c>
      <c r="R95" s="5"/>
      <c r="S95" s="11" t="s">
        <v>426</v>
      </c>
      <c r="T95" s="5" t="s">
        <v>427</v>
      </c>
      <c r="U95" s="11" t="s">
        <v>86</v>
      </c>
      <c r="V95" s="5" t="n">
        <v>30</v>
      </c>
      <c r="W95" s="5" t="n">
        <v>23.1</v>
      </c>
      <c r="X95" s="5" t="n">
        <v>3.82</v>
      </c>
      <c r="Y95" s="5" t="n">
        <v>31</v>
      </c>
      <c r="Z95" s="5" t="n">
        <v>21.9</v>
      </c>
      <c r="AA95" s="5" t="n">
        <v>4.7</v>
      </c>
      <c r="AB95" s="5" t="s">
        <v>99</v>
      </c>
      <c r="AC95" s="5"/>
      <c r="AD95" s="5" t="n">
        <v>1</v>
      </c>
      <c r="AE95" s="7" t="n">
        <f aca="false">IFERROR(IF(AB95="MSD",IF(COUNT(V95,W95,X95,Y95,Z95,AA95)&lt;6,"",(W95-Z95)/SQRT(((V95-1)*X95^2+(Y95-1)*AA95^2)/(V95+Y95-2))*AD95),IF(AB95="t",AC95*SQRT(1/V95+1/Y95)*AD95,IF(AB95="F",SQRT(AC95)*SQRT(1/V95+1/Y95)*AD95,IF(AB95="z",2*(AC95/SQRT(V95+Y95))/SQRT(1-(AC95/SQRT(V95+Y95))^2)*AD95,IF(AB95="t_paired",AC95/SQRT(V95)*AD95,""))))),"")</f>
        <v>0.279715423958151</v>
      </c>
      <c r="AF95" s="7" t="n">
        <f aca="false">IF(AE95="","",IF(AB95="t_paired",1-3/(4*(V95-1)-1),1-3/(4*(V95+Y95)-9)))</f>
        <v>0.987234042553192</v>
      </c>
      <c r="AG95" s="7" t="n">
        <f aca="false">IF(AE95="","",AE95*AF95)</f>
        <v>0.276144588758685</v>
      </c>
      <c r="AH95" s="7" t="n">
        <f aca="false">IF(AG95="","",IF(AB95="t_paired",1/V95+AG95^2/(2*V95),(V95+Y95)/(V95*Y95)+AG95^2/(2*(V95+Y95))))</f>
        <v>0.0662164456683206</v>
      </c>
      <c r="AI95" s="7" t="n">
        <f aca="false">IF(AH95="","",SQRT(AH95))</f>
        <v>0.257325563573308</v>
      </c>
      <c r="AJ95" s="7" t="n">
        <f aca="false">IF(AI95="","",AG95-1.96*AI95)</f>
        <v>-0.228213515844999</v>
      </c>
      <c r="AK95" s="7" t="n">
        <f aca="false">IF(AI95="","",AG95+1.96*AI95)</f>
        <v>0.780502693362369</v>
      </c>
      <c r="AL95" s="7" t="n">
        <f aca="false">IF(AI95="","",AG95/AI95)</f>
        <v>1.07313313502184</v>
      </c>
      <c r="AM95" s="8" t="n">
        <f aca="false">IF(AL95="","",2*(1-NORMSDIST(ABS(AL95))))</f>
        <v>0.283211386003807</v>
      </c>
      <c r="AN95" s="9" t="n">
        <f aca="false">IF(COUNT(V95)=0,"",IF(AB95="t_paired",V95,V95+N(Y95)))</f>
        <v>61</v>
      </c>
      <c r="AO95" s="7" t="n">
        <f aca="false">IF(AH95="","",1/AH95)</f>
        <v>15.1019884849909</v>
      </c>
      <c r="AP95" s="5" t="s">
        <v>88</v>
      </c>
      <c r="AQ95" s="5" t="s">
        <v>89</v>
      </c>
      <c r="AR95" s="5" t="s">
        <v>298</v>
      </c>
      <c r="AS95" s="7" t="n">
        <f aca="false">IF(AND(AP95="Y",ISNUMBER(AO95)),AO95,0)</f>
        <v>15.1019884849909</v>
      </c>
      <c r="AT95" s="7" t="n">
        <f aca="false">IF(AS95&gt;0,AS95*AG95,0)</f>
        <v>4.1703323996262</v>
      </c>
      <c r="AU95" s="7" t="n">
        <f aca="false">IF(AS95&gt;0,AS95*AG95^2,0)</f>
        <v>1.1516147254818</v>
      </c>
      <c r="AV95" s="9" t="n">
        <f aca="false">IF(AS95&gt;0,AS95^2,0)</f>
        <v>228.070056200796</v>
      </c>
      <c r="AW95" s="7" t="n">
        <f aca="false">IF(AS95&gt;0,AG95,0)</f>
        <v>0.276144588758685</v>
      </c>
      <c r="AX95" s="7" t="n">
        <f aca="false">IF(AS95&gt;0,AH95,1)</f>
        <v>0.0662164456683206</v>
      </c>
    </row>
    <row r="96" customFormat="false" ht="15" hidden="false" customHeight="false" outlineLevel="0" collapsed="false">
      <c r="A96" s="5" t="s">
        <v>429</v>
      </c>
      <c r="B96" s="5" t="s">
        <v>400</v>
      </c>
      <c r="C96" s="5" t="s">
        <v>401</v>
      </c>
      <c r="D96" s="5" t="n">
        <v>2022</v>
      </c>
      <c r="E96" s="5" t="s">
        <v>402</v>
      </c>
      <c r="F96" s="5" t="s">
        <v>173</v>
      </c>
      <c r="G96" s="5" t="s">
        <v>403</v>
      </c>
      <c r="H96" s="5" t="s">
        <v>74</v>
      </c>
      <c r="I96" s="5" t="s">
        <v>404</v>
      </c>
      <c r="J96" s="5" t="s">
        <v>76</v>
      </c>
      <c r="K96" s="5" t="s">
        <v>405</v>
      </c>
      <c r="L96" s="5" t="s">
        <v>406</v>
      </c>
      <c r="M96" s="5" t="s">
        <v>407</v>
      </c>
      <c r="N96" s="5" t="s">
        <v>408</v>
      </c>
      <c r="O96" s="5" t="s">
        <v>190</v>
      </c>
      <c r="P96" s="10" t="s">
        <v>113</v>
      </c>
      <c r="Q96" s="10" t="s">
        <v>430</v>
      </c>
      <c r="R96" s="5"/>
      <c r="S96" s="10" t="s">
        <v>431</v>
      </c>
      <c r="T96" s="5" t="s">
        <v>418</v>
      </c>
      <c r="U96" s="10" t="s">
        <v>98</v>
      </c>
      <c r="V96" s="5" t="n">
        <v>30</v>
      </c>
      <c r="W96" s="5" t="n">
        <v>6.57</v>
      </c>
      <c r="X96" s="5" t="n">
        <v>2.11</v>
      </c>
      <c r="Y96" s="5" t="n">
        <v>31</v>
      </c>
      <c r="Z96" s="5" t="n">
        <v>7.06</v>
      </c>
      <c r="AA96" s="5" t="n">
        <v>1.88</v>
      </c>
      <c r="AB96" s="5" t="s">
        <v>99</v>
      </c>
      <c r="AC96" s="5"/>
      <c r="AD96" s="5" t="n">
        <v>1</v>
      </c>
      <c r="AE96" s="7" t="n">
        <f aca="false">IFERROR(IF(AB96="MSD",IF(COUNT(V96,W96,X96,Y96,Z96,AA96)&lt;6,"",(W96-Z96)/SQRT(((V96-1)*X96^2+(Y96-1)*AA96^2)/(V96+Y96-2))*AD96),IF(AB96="t",AC96*SQRT(1/V96+1/Y96)*AD96,IF(AB96="F",SQRT(AC96)*SQRT(1/V96+1/Y96)*AD96,IF(AB96="z",2*(AC96/SQRT(V96+Y96))/SQRT(1-(AC96/SQRT(V96+Y96))^2)*AD96,IF(AB96="t_paired",AC96/SQRT(V96)*AD96,""))))),"")</f>
        <v>-0.245446108502739</v>
      </c>
      <c r="AF96" s="7" t="n">
        <f aca="false">IF(AE96="","",IF(AB96="t_paired",1-3/(4*(V96-1)-1),1-3/(4*(V96+Y96)-9)))</f>
        <v>0.987234042553192</v>
      </c>
      <c r="AG96" s="7" t="n">
        <f aca="false">IF(AE96="","",AE96*AF96)</f>
        <v>-0.242312753926109</v>
      </c>
      <c r="AH96" s="7" t="n">
        <f aca="false">IF(AG96="","",IF(AB96="t_paired",1/V96+AG96^2/(2*V96),(V96+Y96)/(V96*Y96)+AG96^2/(2*(V96+Y96))))</f>
        <v>0.0660726721995874</v>
      </c>
      <c r="AI96" s="7" t="n">
        <f aca="false">IF(AH96="","",SQRT(AH96))</f>
        <v>0.257046050737193</v>
      </c>
      <c r="AJ96" s="7" t="n">
        <f aca="false">IF(AI96="","",AG96-1.96*AI96)</f>
        <v>-0.746123013371006</v>
      </c>
      <c r="AK96" s="7" t="n">
        <f aca="false">IF(AI96="","",AG96+1.96*AI96)</f>
        <v>0.261497505518789</v>
      </c>
      <c r="AL96" s="7" t="n">
        <f aca="false">IF(AI96="","",AG96/AI96)</f>
        <v>-0.942682267364818</v>
      </c>
      <c r="AM96" s="8" t="n">
        <f aca="false">IF(AL96="","",2*(1-NORMSDIST(ABS(AL96))))</f>
        <v>0.345843446186781</v>
      </c>
      <c r="AN96" s="9" t="n">
        <f aca="false">IF(COUNT(V96)=0,"",IF(AB96="t_paired",V96,V96+N(Y96)))</f>
        <v>61</v>
      </c>
      <c r="AO96" s="7" t="n">
        <f aca="false">IF(AH96="","",1/AH96)</f>
        <v>15.1348502597152</v>
      </c>
      <c r="AP96" s="5" t="s">
        <v>100</v>
      </c>
      <c r="AQ96" s="5" t="s">
        <v>89</v>
      </c>
      <c r="AR96" s="5" t="s">
        <v>432</v>
      </c>
      <c r="AS96" s="9" t="n">
        <f aca="false">IF(AND(AP96="Y",ISNUMBER(AO96)),AO96,0)</f>
        <v>0</v>
      </c>
      <c r="AT96" s="7" t="n">
        <f aca="false">IF(AS96&gt;0,AS96*AG96,0)</f>
        <v>0</v>
      </c>
      <c r="AU96" s="7" t="n">
        <f aca="false">IF(AS96&gt;0,AS96*AG96^2,0)</f>
        <v>0</v>
      </c>
      <c r="AV96" s="9" t="n">
        <f aca="false">IF(AS96&gt;0,AS96^2,0)</f>
        <v>0</v>
      </c>
      <c r="AW96" s="7" t="n">
        <f aca="false">IF(AS96&gt;0,AG96,0)</f>
        <v>0</v>
      </c>
      <c r="AX96" s="7" t="n">
        <f aca="false">IF(AS96&gt;0,AH96,1)</f>
        <v>1</v>
      </c>
    </row>
    <row r="97" customFormat="false" ht="15" hidden="false" customHeight="false" outlineLevel="0" collapsed="false">
      <c r="A97" s="5" t="s">
        <v>433</v>
      </c>
      <c r="B97" s="5" t="s">
        <v>400</v>
      </c>
      <c r="C97" s="5" t="s">
        <v>401</v>
      </c>
      <c r="D97" s="5" t="n">
        <v>2022</v>
      </c>
      <c r="E97" s="5" t="s">
        <v>402</v>
      </c>
      <c r="F97" s="5" t="s">
        <v>173</v>
      </c>
      <c r="G97" s="5" t="s">
        <v>403</v>
      </c>
      <c r="H97" s="5" t="s">
        <v>74</v>
      </c>
      <c r="I97" s="5" t="s">
        <v>404</v>
      </c>
      <c r="J97" s="5" t="s">
        <v>76</v>
      </c>
      <c r="K97" s="5" t="s">
        <v>405</v>
      </c>
      <c r="L97" s="5" t="s">
        <v>406</v>
      </c>
      <c r="M97" s="5" t="s">
        <v>407</v>
      </c>
      <c r="N97" s="5" t="s">
        <v>408</v>
      </c>
      <c r="O97" s="5" t="s">
        <v>190</v>
      </c>
      <c r="P97" s="11" t="s">
        <v>113</v>
      </c>
      <c r="Q97" s="11" t="s">
        <v>430</v>
      </c>
      <c r="R97" s="5"/>
      <c r="S97" s="11" t="s">
        <v>431</v>
      </c>
      <c r="T97" s="5" t="s">
        <v>418</v>
      </c>
      <c r="U97" s="11" t="s">
        <v>86</v>
      </c>
      <c r="V97" s="5" t="n">
        <v>30</v>
      </c>
      <c r="W97" s="5" t="n">
        <v>8.77</v>
      </c>
      <c r="X97" s="5" t="n">
        <v>1.19</v>
      </c>
      <c r="Y97" s="5" t="n">
        <v>31</v>
      </c>
      <c r="Z97" s="5" t="n">
        <v>7.87</v>
      </c>
      <c r="AA97" s="5" t="n">
        <v>1.62</v>
      </c>
      <c r="AB97" s="5" t="s">
        <v>99</v>
      </c>
      <c r="AC97" s="5"/>
      <c r="AD97" s="5" t="n">
        <v>1</v>
      </c>
      <c r="AE97" s="7" t="n">
        <f aca="false">IFERROR(IF(AB97="MSD",IF(COUNT(V97,W97,X97,Y97,Z97,AA97)&lt;6,"",(W97-Z97)/SQRT(((V97-1)*X97^2+(Y97-1)*AA97^2)/(V97+Y97-2))*AD97),IF(AB97="t",AC97*SQRT(1/V97+1/Y97)*AD97,IF(AB97="F",SQRT(AC97)*SQRT(1/V97+1/Y97)*AD97,IF(AB97="z",2*(AC97/SQRT(V97+Y97))/SQRT(1-(AC97/SQRT(V97+Y97))^2)*AD97,IF(AB97="t_paired",AC97/SQRT(V97)*AD97,""))))),"")</f>
        <v>0.631599969090167</v>
      </c>
      <c r="AF97" s="7" t="n">
        <f aca="false">IF(AE97="","",IF(AB97="t_paired",1-3/(4*(V97-1)-1),1-3/(4*(V97+Y97)-9)))</f>
        <v>0.987234042553192</v>
      </c>
      <c r="AG97" s="7" t="n">
        <f aca="false">IF(AE97="","",AE97*AF97)</f>
        <v>0.623536990761356</v>
      </c>
      <c r="AH97" s="7" t="n">
        <f aca="false">IF(AG97="","",IF(AB97="t_paired",1/V97+AG97^2/(2*V97),(V97+Y97)/(V97*Y97)+AG97^2/(2*(V97+Y97))))</f>
        <v>0.0687782698072306</v>
      </c>
      <c r="AI97" s="7" t="n">
        <f aca="false">IF(AH97="","",SQRT(AH97))</f>
        <v>0.26225611490913</v>
      </c>
      <c r="AJ97" s="7" t="n">
        <f aca="false">IF(AI97="","",AG97-1.96*AI97)</f>
        <v>0.109515005539462</v>
      </c>
      <c r="AK97" s="7" t="n">
        <f aca="false">IF(AI97="","",AG97+1.96*AI97)</f>
        <v>1.13755897598325</v>
      </c>
      <c r="AL97" s="7" t="n">
        <f aca="false">IF(AI97="","",AG97/AI97)</f>
        <v>2.37758799628908</v>
      </c>
      <c r="AM97" s="8" t="n">
        <f aca="false">IF(AL97="","",2*(1-NORMSDIST(ABS(AL97))))</f>
        <v>0.0174262845142903</v>
      </c>
      <c r="AN97" s="9" t="n">
        <f aca="false">IF(COUNT(V97)=0,"",IF(AB97="t_paired",V97,V97+N(Y97)))</f>
        <v>61</v>
      </c>
      <c r="AO97" s="7" t="n">
        <f aca="false">IF(AH97="","",1/AH97)</f>
        <v>14.5394759537099</v>
      </c>
      <c r="AP97" s="5" t="s">
        <v>88</v>
      </c>
      <c r="AQ97" s="5" t="s">
        <v>89</v>
      </c>
      <c r="AR97" s="5" t="s">
        <v>298</v>
      </c>
      <c r="AS97" s="7" t="n">
        <f aca="false">IF(AND(AP97="Y",ISNUMBER(AO97)),AO97,0)</f>
        <v>14.5394759537099</v>
      </c>
      <c r="AT97" s="7" t="n">
        <f aca="false">IF(AS97&gt;0,AS97*AG97,0)</f>
        <v>9.06590108342336</v>
      </c>
      <c r="AU97" s="7" t="n">
        <f aca="false">IF(AS97&gt;0,AS97*AG97^2,0)</f>
        <v>5.65292468009792</v>
      </c>
      <c r="AV97" s="9" t="n">
        <f aca="false">IF(AS97&gt;0,AS97^2,0)</f>
        <v>211.396361008508</v>
      </c>
      <c r="AW97" s="7" t="n">
        <f aca="false">IF(AS97&gt;0,AG97,0)</f>
        <v>0.623536990761356</v>
      </c>
      <c r="AX97" s="7" t="n">
        <f aca="false">IF(AS97&gt;0,AH97,1)</f>
        <v>0.0687782698072306</v>
      </c>
    </row>
    <row r="98" customFormat="false" ht="15" hidden="false" customHeight="false" outlineLevel="0" collapsed="false">
      <c r="A98" s="5" t="s">
        <v>434</v>
      </c>
      <c r="B98" s="5" t="s">
        <v>435</v>
      </c>
      <c r="C98" s="5" t="s">
        <v>436</v>
      </c>
      <c r="D98" s="5" t="n">
        <v>2025</v>
      </c>
      <c r="E98" s="5" t="s">
        <v>437</v>
      </c>
      <c r="F98" s="5" t="s">
        <v>173</v>
      </c>
      <c r="G98" s="5" t="s">
        <v>438</v>
      </c>
      <c r="H98" s="5" t="s">
        <v>161</v>
      </c>
      <c r="I98" s="5" t="s">
        <v>439</v>
      </c>
      <c r="J98" s="5" t="s">
        <v>189</v>
      </c>
      <c r="K98" s="5" t="s">
        <v>163</v>
      </c>
      <c r="L98" s="5" t="s">
        <v>164</v>
      </c>
      <c r="M98" s="5"/>
      <c r="N98" s="5"/>
      <c r="O98" s="5" t="s">
        <v>190</v>
      </c>
      <c r="P98" s="11" t="s">
        <v>113</v>
      </c>
      <c r="Q98" s="11" t="s">
        <v>425</v>
      </c>
      <c r="R98" s="5"/>
      <c r="S98" s="11" t="s">
        <v>440</v>
      </c>
      <c r="T98" s="5"/>
      <c r="U98" s="11" t="s">
        <v>86</v>
      </c>
      <c r="V98" s="5" t="n">
        <v>22</v>
      </c>
      <c r="W98" s="5" t="n">
        <v>3.28</v>
      </c>
      <c r="X98" s="5" t="n">
        <v>0.73</v>
      </c>
      <c r="Y98" s="5" t="n">
        <v>48</v>
      </c>
      <c r="Z98" s="5" t="n">
        <v>2.4</v>
      </c>
      <c r="AA98" s="5" t="n">
        <v>1.31</v>
      </c>
      <c r="AB98" s="5" t="s">
        <v>99</v>
      </c>
      <c r="AC98" s="5"/>
      <c r="AD98" s="5" t="n">
        <v>1</v>
      </c>
      <c r="AE98" s="7" t="n">
        <f aca="false">IFERROR(IF(AB98="MSD",IF(COUNT(V98,W98,X98,Y98,Z98,AA98)&lt;6,"",(W98-Z98)/SQRT(((V98-1)*X98^2+(Y98-1)*AA98^2)/(V98+Y98-2))*AD98),IF(AB98="t",AC98*SQRT(1/V98+1/Y98)*AD98,IF(AB98="F",SQRT(AC98)*SQRT(1/V98+1/Y98)*AD98,IF(AB98="z",2*(AC98/SQRT(V98+Y98))/SQRT(1-(AC98/SQRT(V98+Y98))^2)*AD98,IF(AB98="t_paired",AC98/SQRT(V98)*AD98,""))))),"")</f>
        <v>0.757187127591894</v>
      </c>
      <c r="AF98" s="7" t="n">
        <f aca="false">IF(AE98="","",IF(AB98="t_paired",1-3/(4*(V98-1)-1),1-3/(4*(V98+Y98)-9)))</f>
        <v>0.988929889298893</v>
      </c>
      <c r="AG98" s="7" t="n">
        <f aca="false">IF(AE98="","",AE98*AF98)</f>
        <v>0.748804982267999</v>
      </c>
      <c r="AH98" s="7" t="n">
        <f aca="false">IF(AG98="","",IF(AB98="t_paired",1/V98+AG98^2/(2*V98),(V98+Y98)/(V98*Y98)+AG98^2/(2*(V98+Y98))))</f>
        <v>0.0702929423698029</v>
      </c>
      <c r="AI98" s="7" t="n">
        <f aca="false">IF(AH98="","",SQRT(AH98))</f>
        <v>0.265128162158989</v>
      </c>
      <c r="AJ98" s="7" t="n">
        <f aca="false">IF(AI98="","",AG98-1.96*AI98)</f>
        <v>0.229153784436382</v>
      </c>
      <c r="AK98" s="7" t="n">
        <f aca="false">IF(AI98="","",AG98+1.96*AI98)</f>
        <v>1.26845618009962</v>
      </c>
      <c r="AL98" s="7" t="n">
        <f aca="false">IF(AI98="","",AG98/AI98)</f>
        <v>2.82431325352365</v>
      </c>
      <c r="AM98" s="8" t="n">
        <f aca="false">IF(AL98="","",2*(1-NORMSDIST(ABS(AL98))))</f>
        <v>0.00473820508659562</v>
      </c>
      <c r="AN98" s="9" t="n">
        <f aca="false">IF(COUNT(V98)=0,"",IF(AB98="t_paired",V98,V98+N(Y98)))</f>
        <v>70</v>
      </c>
      <c r="AO98" s="7" t="n">
        <f aca="false">IF(AH98="","",1/AH98)</f>
        <v>14.2261792761372</v>
      </c>
      <c r="AP98" s="5" t="s">
        <v>88</v>
      </c>
      <c r="AQ98" s="5" t="s">
        <v>441</v>
      </c>
      <c r="AR98" s="5"/>
      <c r="AS98" s="7" t="n">
        <f aca="false">IF(AND(AP98="Y",ISNUMBER(AO98)),AO98,0)</f>
        <v>14.2261792761372</v>
      </c>
      <c r="AT98" s="7" t="n">
        <f aca="false">IF(AS98&gt;0,AS98*AG98,0)</f>
        <v>10.6526339206093</v>
      </c>
      <c r="AU98" s="7" t="n">
        <f aca="false">IF(AS98&gt;0,AS98*AG98^2,0)</f>
        <v>7.97674535402935</v>
      </c>
      <c r="AV98" s="9" t="n">
        <f aca="false">IF(AS98&gt;0,AS98^2,0)</f>
        <v>202.384176796797</v>
      </c>
      <c r="AW98" s="7" t="n">
        <f aca="false">IF(AS98&gt;0,AG98,0)</f>
        <v>0.748804982267999</v>
      </c>
      <c r="AX98" s="7" t="n">
        <f aca="false">IF(AS98&gt;0,AH98,1)</f>
        <v>0.0702929423698029</v>
      </c>
    </row>
    <row r="99" customFormat="false" ht="15" hidden="false" customHeight="false" outlineLevel="0" collapsed="false">
      <c r="A99" s="5" t="s">
        <v>442</v>
      </c>
      <c r="B99" s="5" t="s">
        <v>435</v>
      </c>
      <c r="C99" s="5" t="s">
        <v>436</v>
      </c>
      <c r="D99" s="5" t="n">
        <v>2025</v>
      </c>
      <c r="E99" s="5" t="s">
        <v>437</v>
      </c>
      <c r="F99" s="5" t="s">
        <v>173</v>
      </c>
      <c r="G99" s="5" t="s">
        <v>438</v>
      </c>
      <c r="H99" s="5" t="s">
        <v>161</v>
      </c>
      <c r="I99" s="5" t="s">
        <v>439</v>
      </c>
      <c r="J99" s="5" t="s">
        <v>189</v>
      </c>
      <c r="K99" s="5" t="s">
        <v>163</v>
      </c>
      <c r="L99" s="5" t="s">
        <v>164</v>
      </c>
      <c r="M99" s="5"/>
      <c r="N99" s="5"/>
      <c r="O99" s="5" t="s">
        <v>190</v>
      </c>
      <c r="P99" s="11" t="s">
        <v>113</v>
      </c>
      <c r="Q99" s="11" t="s">
        <v>425</v>
      </c>
      <c r="R99" s="5"/>
      <c r="S99" s="11" t="s">
        <v>443</v>
      </c>
      <c r="T99" s="5"/>
      <c r="U99" s="11" t="s">
        <v>86</v>
      </c>
      <c r="V99" s="5" t="n">
        <v>22</v>
      </c>
      <c r="W99" s="5" t="n">
        <v>3.82</v>
      </c>
      <c r="X99" s="5" t="n">
        <v>0.7</v>
      </c>
      <c r="Y99" s="5" t="n">
        <v>48</v>
      </c>
      <c r="Z99" s="5" t="n">
        <v>2.65</v>
      </c>
      <c r="AA99" s="5" t="n">
        <v>1.2</v>
      </c>
      <c r="AB99" s="5" t="s">
        <v>99</v>
      </c>
      <c r="AC99" s="5"/>
      <c r="AD99" s="5" t="n">
        <v>1</v>
      </c>
      <c r="AE99" s="7" t="n">
        <f aca="false">IFERROR(IF(AB99="MSD",IF(COUNT(V99,W99,X99,Y99,Z99,AA99)&lt;6,"",(W99-Z99)/SQRT(((V99-1)*X99^2+(Y99-1)*AA99^2)/(V99+Y99-2))*AD99),IF(AB99="t",AC99*SQRT(1/V99+1/Y99)*AD99,IF(AB99="F",SQRT(AC99)*SQRT(1/V99+1/Y99)*AD99,IF(AB99="z",2*(AC99/SQRT(V99+Y99))/SQRT(1-(AC99/SQRT(V99+Y99))^2)*AD99,IF(AB99="t_paired",AC99/SQRT(V99)*AD99,""))))),"")</f>
        <v>1.09263863038353</v>
      </c>
      <c r="AF99" s="7" t="n">
        <f aca="false">IF(AE99="","",IF(AB99="t_paired",1-3/(4*(V99-1)-1),1-3/(4*(V99+Y99)-9)))</f>
        <v>0.988929889298893</v>
      </c>
      <c r="AG99" s="7" t="n">
        <f aca="false">IF(AE99="","",AE99*AF99)</f>
        <v>1.08054299978887</v>
      </c>
      <c r="AH99" s="7" t="n">
        <f aca="false">IF(AG99="","",IF(AB99="t_paired",1/V99+AG99^2/(2*V99),(V99+Y99)/(V99*Y99)+AG99^2/(2*(V99+Y99))))</f>
        <v>0.0746276871763984</v>
      </c>
      <c r="AI99" s="7" t="n">
        <f aca="false">IF(AH99="","",SQRT(AH99))</f>
        <v>0.273180685950523</v>
      </c>
      <c r="AJ99" s="7" t="n">
        <f aca="false">IF(AI99="","",AG99-1.96*AI99)</f>
        <v>0.545108855325849</v>
      </c>
      <c r="AK99" s="7" t="n">
        <f aca="false">IF(AI99="","",AG99+1.96*AI99)</f>
        <v>1.6159771442519</v>
      </c>
      <c r="AL99" s="7" t="n">
        <f aca="false">IF(AI99="","",AG99/AI99)</f>
        <v>3.95541506175358</v>
      </c>
      <c r="AM99" s="8" t="n">
        <f aca="false">IF(AL99="","",2*(1-NORMSDIST(ABS(AL99))))</f>
        <v>7.64018897707608E-005</v>
      </c>
      <c r="AN99" s="9" t="n">
        <f aca="false">IF(COUNT(V99)=0,"",IF(AB99="t_paired",V99,V99+N(Y99)))</f>
        <v>70</v>
      </c>
      <c r="AO99" s="7" t="n">
        <f aca="false">IF(AH99="","",1/AH99)</f>
        <v>13.3998524922297</v>
      </c>
      <c r="AP99" s="5" t="s">
        <v>88</v>
      </c>
      <c r="AQ99" s="5" t="s">
        <v>441</v>
      </c>
      <c r="AR99" s="5"/>
      <c r="AS99" s="7" t="n">
        <f aca="false">IF(AND(AP99="Y",ISNUMBER(AO99)),AO99,0)</f>
        <v>13.3998524922297</v>
      </c>
      <c r="AT99" s="7" t="n">
        <f aca="false">IF(AS99&gt;0,AS99*AG99,0)</f>
        <v>14.4791168086823</v>
      </c>
      <c r="AU99" s="7" t="n">
        <f aca="false">IF(AS99&gt;0,AS99*AG99^2,0)</f>
        <v>15.6453083107471</v>
      </c>
      <c r="AV99" s="9" t="n">
        <f aca="false">IF(AS99&gt;0,AS99^2,0)</f>
        <v>179.556046813515</v>
      </c>
      <c r="AW99" s="7" t="n">
        <f aca="false">IF(AS99&gt;0,AG99,0)</f>
        <v>1.08054299978887</v>
      </c>
      <c r="AX99" s="7" t="n">
        <f aca="false">IF(AS99&gt;0,AH99,1)</f>
        <v>0.0746276871763984</v>
      </c>
    </row>
    <row r="100" customFormat="false" ht="15" hidden="false" customHeight="false" outlineLevel="0" collapsed="false">
      <c r="A100" s="5" t="s">
        <v>444</v>
      </c>
      <c r="B100" s="5" t="s">
        <v>435</v>
      </c>
      <c r="C100" s="5" t="s">
        <v>436</v>
      </c>
      <c r="D100" s="5" t="n">
        <v>2025</v>
      </c>
      <c r="E100" s="5" t="s">
        <v>437</v>
      </c>
      <c r="F100" s="5" t="s">
        <v>173</v>
      </c>
      <c r="G100" s="5" t="s">
        <v>438</v>
      </c>
      <c r="H100" s="5" t="s">
        <v>161</v>
      </c>
      <c r="I100" s="5" t="s">
        <v>439</v>
      </c>
      <c r="J100" s="5" t="s">
        <v>189</v>
      </c>
      <c r="K100" s="5" t="s">
        <v>163</v>
      </c>
      <c r="L100" s="5" t="s">
        <v>164</v>
      </c>
      <c r="M100" s="5"/>
      <c r="N100" s="5"/>
      <c r="O100" s="5" t="s">
        <v>190</v>
      </c>
      <c r="P100" s="11" t="s">
        <v>113</v>
      </c>
      <c r="Q100" s="11" t="s">
        <v>425</v>
      </c>
      <c r="R100" s="5"/>
      <c r="S100" s="11" t="s">
        <v>445</v>
      </c>
      <c r="T100" s="5"/>
      <c r="U100" s="11" t="s">
        <v>86</v>
      </c>
      <c r="V100" s="5" t="n">
        <v>22</v>
      </c>
      <c r="W100" s="5" t="n">
        <v>3.48</v>
      </c>
      <c r="X100" s="5" t="n">
        <v>0.36</v>
      </c>
      <c r="Y100" s="5" t="n">
        <v>48</v>
      </c>
      <c r="Z100" s="5" t="n">
        <v>2.49</v>
      </c>
      <c r="AA100" s="5" t="n">
        <v>1.23</v>
      </c>
      <c r="AB100" s="5" t="s">
        <v>99</v>
      </c>
      <c r="AC100" s="5"/>
      <c r="AD100" s="5" t="n">
        <v>1</v>
      </c>
      <c r="AE100" s="7" t="n">
        <f aca="false">IFERROR(IF(AB100="MSD",IF(COUNT(V100,W100,X100,Y100,Z100,AA100)&lt;6,"",(W100-Z100)/SQRT(((V100-1)*X100^2+(Y100-1)*AA100^2)/(V100+Y100-2))*AD100),IF(AB100="t",AC100*SQRT(1/V100+1/Y100)*AD100,IF(AB100="F",SQRT(AC100)*SQRT(1/V100+1/Y100)*AD100,IF(AB100="z",2*(AC100/SQRT(V100+Y100))/SQRT(1-(AC100/SQRT(V100+Y100))^2)*AD100,IF(AB100="t_paired",AC100/SQRT(V100)*AD100,""))))),"")</f>
        <v>0.950122041655733</v>
      </c>
      <c r="AF100" s="7" t="n">
        <f aca="false">IF(AE100="","",IF(AB100="t_paired",1-3/(4*(V100-1)-1),1-3/(4*(V100+Y100)-9)))</f>
        <v>0.988929889298893</v>
      </c>
      <c r="AG100" s="7" t="n">
        <f aca="false">IF(AE100="","",AE100*AF100)</f>
        <v>0.939604085475042</v>
      </c>
      <c r="AH100" s="7" t="n">
        <f aca="false">IF(AG100="","",IF(AB100="t_paired",1/V100+AG100^2/(2*V100),(V100+Y100)/(V100*Y100)+AG100^2/(2*(V100+Y100))))</f>
        <v>0.0725939919124602</v>
      </c>
      <c r="AI100" s="7" t="n">
        <f aca="false">IF(AH100="","",SQRT(AH100))</f>
        <v>0.269432722423354</v>
      </c>
      <c r="AJ100" s="7" t="n">
        <f aca="false">IF(AI100="","",AG100-1.96*AI100)</f>
        <v>0.411515949525268</v>
      </c>
      <c r="AK100" s="7" t="n">
        <f aca="false">IF(AI100="","",AG100+1.96*AI100)</f>
        <v>1.46769222142482</v>
      </c>
      <c r="AL100" s="7" t="n">
        <f aca="false">IF(AI100="","",AG100/AI100)</f>
        <v>3.48734213507542</v>
      </c>
      <c r="AM100" s="8" t="n">
        <f aca="false">IF(AL100="","",2*(1-NORMSDIST(ABS(AL100))))</f>
        <v>0.000487846834190009</v>
      </c>
      <c r="AN100" s="9" t="n">
        <f aca="false">IF(COUNT(V100)=0,"",IF(AB100="t_paired",V100,V100+N(Y100)))</f>
        <v>70</v>
      </c>
      <c r="AO100" s="7" t="n">
        <f aca="false">IF(AH100="","",1/AH100)</f>
        <v>13.7752446677114</v>
      </c>
      <c r="AP100" s="5" t="s">
        <v>88</v>
      </c>
      <c r="AQ100" s="5" t="s">
        <v>441</v>
      </c>
      <c r="AR100" s="5"/>
      <c r="AS100" s="7" t="n">
        <f aca="false">IF(AND(AP100="Y",ISNUMBER(AO100)),AO100,0)</f>
        <v>13.7752446677114</v>
      </c>
      <c r="AT100" s="7" t="n">
        <f aca="false">IF(AS100&gt;0,AS100*AG100,0)</f>
        <v>12.9432761681999</v>
      </c>
      <c r="AU100" s="7" t="n">
        <f aca="false">IF(AS100&gt;0,AS100*AG100^2,0)</f>
        <v>12.1615551670724</v>
      </c>
      <c r="AV100" s="9" t="n">
        <f aca="false">IF(AS100&gt;0,AS100^2,0)</f>
        <v>189.757365655311</v>
      </c>
      <c r="AW100" s="7" t="n">
        <f aca="false">IF(AS100&gt;0,AG100,0)</f>
        <v>0.939604085475042</v>
      </c>
      <c r="AX100" s="7" t="n">
        <f aca="false">IF(AS100&gt;0,AH100,1)</f>
        <v>0.0725939919124602</v>
      </c>
    </row>
    <row r="101" customFormat="false" ht="15" hidden="false" customHeight="false" outlineLevel="0" collapsed="false">
      <c r="A101" s="5" t="s">
        <v>446</v>
      </c>
      <c r="B101" s="5" t="s">
        <v>447</v>
      </c>
      <c r="C101" s="5" t="s">
        <v>448</v>
      </c>
      <c r="D101" s="5" t="n">
        <v>2025</v>
      </c>
      <c r="E101" s="5" t="s">
        <v>221</v>
      </c>
      <c r="F101" s="5" t="s">
        <v>173</v>
      </c>
      <c r="G101" s="5" t="s">
        <v>395</v>
      </c>
      <c r="H101" s="5" t="s">
        <v>174</v>
      </c>
      <c r="I101" s="5" t="s">
        <v>449</v>
      </c>
      <c r="J101" s="5" t="s">
        <v>76</v>
      </c>
      <c r="K101" s="5" t="s">
        <v>163</v>
      </c>
      <c r="L101" s="5" t="s">
        <v>164</v>
      </c>
      <c r="M101" s="5"/>
      <c r="N101" s="5"/>
      <c r="O101" s="5" t="s">
        <v>190</v>
      </c>
      <c r="P101" s="10" t="s">
        <v>82</v>
      </c>
      <c r="Q101" s="10" t="s">
        <v>450</v>
      </c>
      <c r="R101" s="5"/>
      <c r="S101" s="10" t="s">
        <v>451</v>
      </c>
      <c r="T101" s="5"/>
      <c r="U101" s="10" t="s">
        <v>98</v>
      </c>
      <c r="V101" s="5" t="n">
        <v>74</v>
      </c>
      <c r="W101" s="5" t="n">
        <v>7.88</v>
      </c>
      <c r="X101" s="5" t="n">
        <v>0.936</v>
      </c>
      <c r="Y101" s="5" t="n">
        <v>76</v>
      </c>
      <c r="Z101" s="5" t="n">
        <v>7.66</v>
      </c>
      <c r="AA101" s="5" t="n">
        <v>1.04</v>
      </c>
      <c r="AB101" s="5" t="s">
        <v>99</v>
      </c>
      <c r="AC101" s="5"/>
      <c r="AD101" s="5" t="n">
        <v>-1</v>
      </c>
      <c r="AE101" s="7" t="n">
        <f aca="false">IFERROR(IF(AB101="MSD",IF(COUNT(V101,W101,X101,Y101,Z101,AA101)&lt;6,"",(W101-Z101)/SQRT(((V101-1)*X101^2+(Y101-1)*AA101^2)/(V101+Y101-2))*AD101),IF(AB101="t",AC101*SQRT(1/V101+1/Y101)*AD101,IF(AB101="F",SQRT(AC101)*SQRT(1/V101+1/Y101)*AD101,IF(AB101="z",2*(AC101/SQRT(V101+Y101))/SQRT(1-(AC101/SQRT(V101+Y101))^2)*AD101,IF(AB101="t_paired",AC101/SQRT(V101)*AD101,""))))),"")</f>
        <v>-0.222206744631975</v>
      </c>
      <c r="AF101" s="7" t="n">
        <f aca="false">IF(AE101="","",IF(AB101="t_paired",1-3/(4*(V101-1)-1),1-3/(4*(V101+Y101)-9)))</f>
        <v>0.99492385786802</v>
      </c>
      <c r="AG101" s="7" t="n">
        <f aca="false">IF(AE101="","",AE101*AF101)</f>
        <v>-0.221078791613539</v>
      </c>
      <c r="AH101" s="7" t="n">
        <f aca="false">IF(AG101="","",IF(AB101="t_paired",1/V101+AG101^2/(2*V101),(V101+Y101)/(V101*Y101)+AG101^2/(2*(V101+Y101))))</f>
        <v>0.0268343276906933</v>
      </c>
      <c r="AI101" s="7" t="n">
        <f aca="false">IF(AH101="","",SQRT(AH101))</f>
        <v>0.163811866757855</v>
      </c>
      <c r="AJ101" s="7" t="n">
        <f aca="false">IF(AI101="","",AG101-1.96*AI101)</f>
        <v>-0.542150050458935</v>
      </c>
      <c r="AK101" s="7" t="n">
        <f aca="false">IF(AI101="","",AG101+1.96*AI101)</f>
        <v>0.0999924672318572</v>
      </c>
      <c r="AL101" s="7" t="n">
        <f aca="false">IF(AI101="","",AG101/AI101)</f>
        <v>-1.34958959927082</v>
      </c>
      <c r="AM101" s="8" t="n">
        <f aca="false">IF(AL101="","",2*(1-NORMSDIST(ABS(AL101))))</f>
        <v>0.177147662214594</v>
      </c>
      <c r="AN101" s="9" t="n">
        <f aca="false">IF(COUNT(V101)=0,"",IF(AB101="t_paired",V101,V101+N(Y101)))</f>
        <v>150</v>
      </c>
      <c r="AO101" s="7" t="n">
        <f aca="false">IF(AH101="","",1/AH101)</f>
        <v>37.2656997979055</v>
      </c>
      <c r="AP101" s="5" t="s">
        <v>100</v>
      </c>
      <c r="AQ101" s="5" t="s">
        <v>210</v>
      </c>
      <c r="AR101" s="5" t="s">
        <v>452</v>
      </c>
      <c r="AS101" s="9" t="n">
        <f aca="false">IF(AND(AP101="Y",ISNUMBER(AO101)),AO101,0)</f>
        <v>0</v>
      </c>
      <c r="AT101" s="7" t="n">
        <f aca="false">IF(AS101&gt;0,AS101*AG101,0)</f>
        <v>0</v>
      </c>
      <c r="AU101" s="7" t="n">
        <f aca="false">IF(AS101&gt;0,AS101*AG101^2,0)</f>
        <v>0</v>
      </c>
      <c r="AV101" s="9" t="n">
        <f aca="false">IF(AS101&gt;0,AS101^2,0)</f>
        <v>0</v>
      </c>
      <c r="AW101" s="7" t="n">
        <f aca="false">IF(AS101&gt;0,AG101,0)</f>
        <v>0</v>
      </c>
      <c r="AX101" s="7" t="n">
        <f aca="false">IF(AS101&gt;0,AH101,1)</f>
        <v>1</v>
      </c>
    </row>
    <row r="102" customFormat="false" ht="15" hidden="false" customHeight="false" outlineLevel="0" collapsed="false">
      <c r="A102" s="5" t="s">
        <v>453</v>
      </c>
      <c r="B102" s="5" t="s">
        <v>447</v>
      </c>
      <c r="C102" s="5" t="s">
        <v>448</v>
      </c>
      <c r="D102" s="5" t="n">
        <v>2025</v>
      </c>
      <c r="E102" s="5" t="s">
        <v>221</v>
      </c>
      <c r="F102" s="5" t="s">
        <v>173</v>
      </c>
      <c r="G102" s="5" t="s">
        <v>395</v>
      </c>
      <c r="H102" s="5" t="s">
        <v>174</v>
      </c>
      <c r="I102" s="5" t="s">
        <v>449</v>
      </c>
      <c r="J102" s="5" t="s">
        <v>76</v>
      </c>
      <c r="K102" s="5" t="s">
        <v>163</v>
      </c>
      <c r="L102" s="5" t="s">
        <v>164</v>
      </c>
      <c r="M102" s="5"/>
      <c r="N102" s="5"/>
      <c r="O102" s="5" t="s">
        <v>190</v>
      </c>
      <c r="P102" s="6" t="s">
        <v>82</v>
      </c>
      <c r="Q102" s="6" t="s">
        <v>450</v>
      </c>
      <c r="R102" s="5"/>
      <c r="S102" s="6" t="s">
        <v>451</v>
      </c>
      <c r="T102" s="5"/>
      <c r="U102" s="6" t="s">
        <v>86</v>
      </c>
      <c r="V102" s="5" t="n">
        <v>74</v>
      </c>
      <c r="W102" s="5" t="n">
        <v>1.11</v>
      </c>
      <c r="X102" s="5" t="n">
        <v>0.313</v>
      </c>
      <c r="Y102" s="5" t="n">
        <v>76</v>
      </c>
      <c r="Z102" s="5" t="n">
        <v>7.86</v>
      </c>
      <c r="AA102" s="5" t="n">
        <v>0.962</v>
      </c>
      <c r="AB102" s="5" t="s">
        <v>99</v>
      </c>
      <c r="AC102" s="5"/>
      <c r="AD102" s="5" t="n">
        <v>-1</v>
      </c>
      <c r="AE102" s="7" t="n">
        <f aca="false">IFERROR(IF(AB102="MSD",IF(COUNT(V102,W102,X102,Y102,Z102,AA102)&lt;6,"",(W102-Z102)/SQRT(((V102-1)*X102^2+(Y102-1)*AA102^2)/(V102+Y102-2))*AD102),IF(AB102="t",AC102*SQRT(1/V102+1/Y102)*AD102,IF(AB102="F",SQRT(AC102)*SQRT(1/V102+1/Y102)*AD102,IF(AB102="z",2*(AC102/SQRT(V102+Y102))/SQRT(1-(AC102/SQRT(V102+Y102))^2)*AD102,IF(AB102="t_paired",AC102/SQRT(V102)*AD102,""))))),"")</f>
        <v>9.38498457590773</v>
      </c>
      <c r="AF102" s="7" t="n">
        <f aca="false">IF(AE102="","",IF(AB102="t_paired",1-3/(4*(V102-1)-1),1-3/(4*(V102+Y102)-9)))</f>
        <v>0.99492385786802</v>
      </c>
      <c r="AG102" s="7" t="n">
        <f aca="false">IF(AE102="","",AE102*AF102)</f>
        <v>9.33734506029398</v>
      </c>
      <c r="AH102" s="7" t="n">
        <f aca="false">IF(AG102="","",IF(AB102="t_paired",1/V102+AG102^2/(2*V102),(V102+Y102)/(V102*Y102)+AG102^2/(2*(V102+Y102))))</f>
        <v>0.317291450833677</v>
      </c>
      <c r="AI102" s="7" t="n">
        <f aca="false">IF(AH102="","",SQRT(AH102))</f>
        <v>0.563286295620333</v>
      </c>
      <c r="AJ102" s="7" t="n">
        <f aca="false">IF(AI102="","",AG102-1.96*AI102)</f>
        <v>8.23330392087813</v>
      </c>
      <c r="AK102" s="7" t="n">
        <f aca="false">IF(AI102="","",AG102+1.96*AI102)</f>
        <v>10.4413861997098</v>
      </c>
      <c r="AL102" s="7" t="n">
        <f aca="false">IF(AI102="","",AG102/AI102)</f>
        <v>16.5765528699948</v>
      </c>
      <c r="AM102" s="8" t="n">
        <f aca="false">IF(AL102="","",2*(1-NORMSDIST(ABS(AL102))))</f>
        <v>0</v>
      </c>
      <c r="AN102" s="9" t="n">
        <f aca="false">IF(COUNT(V102)=0,"",IF(AB102="t_paired",V102,V102+N(Y102)))</f>
        <v>150</v>
      </c>
      <c r="AO102" s="7" t="n">
        <f aca="false">IF(AH102="","",1/AH102)</f>
        <v>3.15167647086778</v>
      </c>
      <c r="AP102" s="5" t="s">
        <v>88</v>
      </c>
      <c r="AQ102" s="5" t="s">
        <v>210</v>
      </c>
      <c r="AR102" s="5" t="s">
        <v>452</v>
      </c>
      <c r="AS102" s="7" t="n">
        <f aca="false">IF(AND(AP102="Y",ISNUMBER(AO102)),AO102,0)</f>
        <v>3.15167647086778</v>
      </c>
      <c r="AT102" s="7" t="n">
        <f aca="false">IF(AS102&gt;0,AS102*AG102,0)</f>
        <v>29.428290726902</v>
      </c>
      <c r="AU102" s="7" t="n">
        <f aca="false">IF(AS102&gt;0,AS102*AG102^2,0)</f>
        <v>274.782105051734</v>
      </c>
      <c r="AV102" s="9" t="n">
        <f aca="false">IF(AS102&gt;0,AS102^2,0)</f>
        <v>9.93306457702157</v>
      </c>
      <c r="AW102" s="7" t="n">
        <f aca="false">IF(AS102&gt;0,AG102,0)</f>
        <v>9.33734506029398</v>
      </c>
      <c r="AX102" s="7" t="n">
        <f aca="false">IF(AS102&gt;0,AH102,1)</f>
        <v>0.317291450833677</v>
      </c>
    </row>
    <row r="103" customFormat="false" ht="15" hidden="false" customHeight="false" outlineLevel="0" collapsed="false">
      <c r="A103" s="5" t="s">
        <v>454</v>
      </c>
      <c r="B103" s="5" t="s">
        <v>447</v>
      </c>
      <c r="C103" s="5" t="s">
        <v>448</v>
      </c>
      <c r="D103" s="5" t="n">
        <v>2025</v>
      </c>
      <c r="E103" s="5" t="s">
        <v>221</v>
      </c>
      <c r="F103" s="5" t="s">
        <v>173</v>
      </c>
      <c r="G103" s="5" t="s">
        <v>395</v>
      </c>
      <c r="H103" s="5" t="s">
        <v>174</v>
      </c>
      <c r="I103" s="5" t="s">
        <v>449</v>
      </c>
      <c r="J103" s="5" t="s">
        <v>76</v>
      </c>
      <c r="K103" s="5" t="s">
        <v>163</v>
      </c>
      <c r="L103" s="5" t="s">
        <v>164</v>
      </c>
      <c r="M103" s="5"/>
      <c r="N103" s="5"/>
      <c r="O103" s="5" t="s">
        <v>190</v>
      </c>
      <c r="P103" s="10" t="s">
        <v>82</v>
      </c>
      <c r="Q103" s="10" t="s">
        <v>450</v>
      </c>
      <c r="R103" s="5"/>
      <c r="S103" s="10" t="s">
        <v>455</v>
      </c>
      <c r="T103" s="5"/>
      <c r="U103" s="10" t="s">
        <v>98</v>
      </c>
      <c r="V103" s="5" t="n">
        <v>75</v>
      </c>
      <c r="W103" s="5" t="n">
        <v>7.64</v>
      </c>
      <c r="X103" s="5" t="n">
        <v>1.17</v>
      </c>
      <c r="Y103" s="5" t="n">
        <v>76</v>
      </c>
      <c r="Z103" s="5" t="n">
        <v>7.66</v>
      </c>
      <c r="AA103" s="5" t="n">
        <v>1.04</v>
      </c>
      <c r="AB103" s="5" t="s">
        <v>99</v>
      </c>
      <c r="AC103" s="5"/>
      <c r="AD103" s="5" t="n">
        <v>-1</v>
      </c>
      <c r="AE103" s="7" t="n">
        <f aca="false">IFERROR(IF(AB103="MSD",IF(COUNT(V103,W103,X103,Y103,Z103,AA103)&lt;6,"",(W103-Z103)/SQRT(((V103-1)*X103^2+(Y103-1)*AA103^2)/(V103+Y103-2))*AD103),IF(AB103="t",AC103*SQRT(1/V103+1/Y103)*AD103,IF(AB103="F",SQRT(AC103)*SQRT(1/V103+1/Y103)*AD103,IF(AB103="z",2*(AC103/SQRT(V103+Y103))/SQRT(1-(AC103/SQRT(V103+Y103))^2)*AD103,IF(AB103="t_paired",AC103/SQRT(V103)*AD103,""))))),"")</f>
        <v>0.0180754272152503</v>
      </c>
      <c r="AF103" s="7" t="n">
        <f aca="false">IF(AE103="","",IF(AB103="t_paired",1-3/(4*(V103-1)-1),1-3/(4*(V103+Y103)-9)))</f>
        <v>0.994957983193277</v>
      </c>
      <c r="AG103" s="7" t="n">
        <f aca="false">IF(AE103="","",AE103*AF103)</f>
        <v>0.0179842906074423</v>
      </c>
      <c r="AH103" s="7" t="n">
        <f aca="false">IF(AG103="","",IF(AB103="t_paired",1/V103+AG103^2/(2*V103),(V103+Y103)/(V103*Y103)+AG103^2/(2*(V103+Y103))))</f>
        <v>0.0264922990460319</v>
      </c>
      <c r="AI103" s="7" t="n">
        <f aca="false">IF(AH103="","",SQRT(AH103))</f>
        <v>0.162764550950236</v>
      </c>
      <c r="AJ103" s="7" t="n">
        <f aca="false">IF(AI103="","",AG103-1.96*AI103)</f>
        <v>-0.30103422925502</v>
      </c>
      <c r="AK103" s="7" t="n">
        <f aca="false">IF(AI103="","",AG103+1.96*AI103)</f>
        <v>0.337002810469904</v>
      </c>
      <c r="AL103" s="7" t="n">
        <f aca="false">IF(AI103="","",AG103/AI103)</f>
        <v>0.110492674863465</v>
      </c>
      <c r="AM103" s="8" t="n">
        <f aca="false">IF(AL103="","",2*(1-NORMSDIST(ABS(AL103))))</f>
        <v>0.912018658912685</v>
      </c>
      <c r="AN103" s="9" t="n">
        <f aca="false">IF(COUNT(V103)=0,"",IF(AB103="t_paired",V103,V103+N(Y103)))</f>
        <v>151</v>
      </c>
      <c r="AO103" s="7" t="n">
        <f aca="false">IF(AH103="","",1/AH103)</f>
        <v>37.7468183588915</v>
      </c>
      <c r="AP103" s="5" t="s">
        <v>100</v>
      </c>
      <c r="AQ103" s="5" t="s">
        <v>210</v>
      </c>
      <c r="AR103" s="5" t="s">
        <v>452</v>
      </c>
      <c r="AS103" s="9" t="n">
        <f aca="false">IF(AND(AP103="Y",ISNUMBER(AO103)),AO103,0)</f>
        <v>0</v>
      </c>
      <c r="AT103" s="7" t="n">
        <f aca="false">IF(AS103&gt;0,AS103*AG103,0)</f>
        <v>0</v>
      </c>
      <c r="AU103" s="7" t="n">
        <f aca="false">IF(AS103&gt;0,AS103*AG103^2,0)</f>
        <v>0</v>
      </c>
      <c r="AV103" s="9" t="n">
        <f aca="false">IF(AS103&gt;0,AS103^2,0)</f>
        <v>0</v>
      </c>
      <c r="AW103" s="7" t="n">
        <f aca="false">IF(AS103&gt;0,AG103,0)</f>
        <v>0</v>
      </c>
      <c r="AX103" s="7" t="n">
        <f aca="false">IF(AS103&gt;0,AH103,1)</f>
        <v>1</v>
      </c>
    </row>
    <row r="104" customFormat="false" ht="15" hidden="false" customHeight="false" outlineLevel="0" collapsed="false">
      <c r="A104" s="5" t="s">
        <v>456</v>
      </c>
      <c r="B104" s="5" t="s">
        <v>447</v>
      </c>
      <c r="C104" s="5" t="s">
        <v>448</v>
      </c>
      <c r="D104" s="5" t="n">
        <v>2025</v>
      </c>
      <c r="E104" s="5" t="s">
        <v>221</v>
      </c>
      <c r="F104" s="5" t="s">
        <v>173</v>
      </c>
      <c r="G104" s="5" t="s">
        <v>395</v>
      </c>
      <c r="H104" s="5" t="s">
        <v>174</v>
      </c>
      <c r="I104" s="5" t="s">
        <v>449</v>
      </c>
      <c r="J104" s="5" t="s">
        <v>76</v>
      </c>
      <c r="K104" s="5" t="s">
        <v>163</v>
      </c>
      <c r="L104" s="5" t="s">
        <v>164</v>
      </c>
      <c r="M104" s="5"/>
      <c r="N104" s="5"/>
      <c r="O104" s="5" t="s">
        <v>190</v>
      </c>
      <c r="P104" s="6" t="s">
        <v>82</v>
      </c>
      <c r="Q104" s="6" t="s">
        <v>450</v>
      </c>
      <c r="R104" s="5"/>
      <c r="S104" s="6" t="s">
        <v>455</v>
      </c>
      <c r="T104" s="5"/>
      <c r="U104" s="6" t="s">
        <v>86</v>
      </c>
      <c r="V104" s="5" t="n">
        <v>75</v>
      </c>
      <c r="W104" s="5" t="n">
        <v>2.67</v>
      </c>
      <c r="X104" s="5" t="n">
        <v>1.189</v>
      </c>
      <c r="Y104" s="5" t="n">
        <v>76</v>
      </c>
      <c r="Z104" s="5" t="n">
        <v>7.86</v>
      </c>
      <c r="AA104" s="5" t="n">
        <v>0.962</v>
      </c>
      <c r="AB104" s="5" t="s">
        <v>99</v>
      </c>
      <c r="AC104" s="5"/>
      <c r="AD104" s="5" t="n">
        <v>-1</v>
      </c>
      <c r="AE104" s="7" t="n">
        <f aca="false">IFERROR(IF(AB104="MSD",IF(COUNT(V104,W104,X104,Y104,Z104,AA104)&lt;6,"",(W104-Z104)/SQRT(((V104-1)*X104^2+(Y104-1)*AA104^2)/(V104+Y104-2))*AD104),IF(AB104="t",AC104*SQRT(1/V104+1/Y104)*AD104,IF(AB104="F",SQRT(AC104)*SQRT(1/V104+1/Y104)*AD104,IF(AB104="z",2*(AC104/SQRT(V104+Y104))/SQRT(1-(AC104/SQRT(V104+Y104))^2)*AD104,IF(AB104="t_paired",AC104/SQRT(V104)*AD104,""))))),"")</f>
        <v>4.80237810563492</v>
      </c>
      <c r="AF104" s="7" t="n">
        <f aca="false">IF(AE104="","",IF(AB104="t_paired",1-3/(4*(V104-1)-1),1-3/(4*(V104+Y104)-9)))</f>
        <v>0.994957983193277</v>
      </c>
      <c r="AG104" s="7" t="n">
        <f aca="false">IF(AE104="","",AE104*AF104)</f>
        <v>4.77816443451407</v>
      </c>
      <c r="AH104" s="7" t="n">
        <f aca="false">IF(AG104="","",IF(AB104="t_paired",1/V104+AG104^2/(2*V104),(V104+Y104)/(V104*Y104)+AG104^2/(2*(V104+Y104))))</f>
        <v>0.102090086888901</v>
      </c>
      <c r="AI104" s="7" t="n">
        <f aca="false">IF(AH104="","",SQRT(AH104))</f>
        <v>0.319515393821489</v>
      </c>
      <c r="AJ104" s="7" t="n">
        <f aca="false">IF(AI104="","",AG104-1.96*AI104)</f>
        <v>4.15191426262395</v>
      </c>
      <c r="AK104" s="7" t="n">
        <f aca="false">IF(AI104="","",AG104+1.96*AI104)</f>
        <v>5.40441460640419</v>
      </c>
      <c r="AL104" s="7" t="n">
        <f aca="false">IF(AI104="","",AG104/AI104)</f>
        <v>14.9544107323467</v>
      </c>
      <c r="AM104" s="8" t="n">
        <f aca="false">IF(AL104="","",2*(1-NORMSDIST(ABS(AL104))))</f>
        <v>0</v>
      </c>
      <c r="AN104" s="9" t="n">
        <f aca="false">IF(COUNT(V104)=0,"",IF(AB104="t_paired",V104,V104+N(Y104)))</f>
        <v>151</v>
      </c>
      <c r="AO104" s="7" t="n">
        <f aca="false">IF(AH104="","",1/AH104)</f>
        <v>9.79527033891394</v>
      </c>
      <c r="AP104" s="5" t="s">
        <v>88</v>
      </c>
      <c r="AQ104" s="5" t="s">
        <v>210</v>
      </c>
      <c r="AR104" s="5" t="s">
        <v>452</v>
      </c>
      <c r="AS104" s="7" t="n">
        <f aca="false">IF(AND(AP104="Y",ISNUMBER(AO104)),AO104,0)</f>
        <v>9.79527033891394</v>
      </c>
      <c r="AT104" s="7" t="n">
        <f aca="false">IF(AS104&gt;0,AS104*AG104,0)</f>
        <v>46.8034123598492</v>
      </c>
      <c r="AU104" s="7" t="n">
        <f aca="false">IF(AS104&gt;0,AS104*AG104^2,0)</f>
        <v>223.634400351728</v>
      </c>
      <c r="AV104" s="9" t="n">
        <f aca="false">IF(AS104&gt;0,AS104^2,0)</f>
        <v>95.9473210124072</v>
      </c>
      <c r="AW104" s="7" t="n">
        <f aca="false">IF(AS104&gt;0,AG104,0)</f>
        <v>4.77816443451407</v>
      </c>
      <c r="AX104" s="7" t="n">
        <f aca="false">IF(AS104&gt;0,AH104,1)</f>
        <v>0.102090086888901</v>
      </c>
    </row>
    <row r="105" customFormat="false" ht="15" hidden="false" customHeight="false" outlineLevel="0" collapsed="false">
      <c r="A105" s="5" t="s">
        <v>457</v>
      </c>
      <c r="B105" s="5" t="s">
        <v>447</v>
      </c>
      <c r="C105" s="5" t="s">
        <v>448</v>
      </c>
      <c r="D105" s="5" t="n">
        <v>2025</v>
      </c>
      <c r="E105" s="5" t="s">
        <v>221</v>
      </c>
      <c r="F105" s="5" t="s">
        <v>173</v>
      </c>
      <c r="G105" s="5" t="s">
        <v>395</v>
      </c>
      <c r="H105" s="5" t="s">
        <v>174</v>
      </c>
      <c r="I105" s="5" t="s">
        <v>449</v>
      </c>
      <c r="J105" s="5" t="s">
        <v>76</v>
      </c>
      <c r="K105" s="5" t="s">
        <v>163</v>
      </c>
      <c r="L105" s="5" t="s">
        <v>164</v>
      </c>
      <c r="M105" s="5"/>
      <c r="N105" s="5"/>
      <c r="O105" s="5" t="s">
        <v>190</v>
      </c>
      <c r="P105" s="10" t="s">
        <v>82</v>
      </c>
      <c r="Q105" s="10" t="s">
        <v>450</v>
      </c>
      <c r="R105" s="5"/>
      <c r="S105" s="10" t="s">
        <v>458</v>
      </c>
      <c r="T105" s="5"/>
      <c r="U105" s="10" t="s">
        <v>98</v>
      </c>
      <c r="V105" s="5" t="n">
        <v>77</v>
      </c>
      <c r="W105" s="5" t="n">
        <v>7.82</v>
      </c>
      <c r="X105" s="5" t="n">
        <v>0.942</v>
      </c>
      <c r="Y105" s="5" t="n">
        <v>76</v>
      </c>
      <c r="Z105" s="5" t="n">
        <v>7.66</v>
      </c>
      <c r="AA105" s="5" t="n">
        <v>1.04</v>
      </c>
      <c r="AB105" s="5" t="s">
        <v>99</v>
      </c>
      <c r="AC105" s="5"/>
      <c r="AD105" s="5" t="n">
        <v>-1</v>
      </c>
      <c r="AE105" s="7" t="n">
        <f aca="false">IFERROR(IF(AB105="MSD",IF(COUNT(V105,W105,X105,Y105,Z105,AA105)&lt;6,"",(W105-Z105)/SQRT(((V105-1)*X105^2+(Y105-1)*AA105^2)/(V105+Y105-2))*AD105),IF(AB105="t",AC105*SQRT(1/V105+1/Y105)*AD105,IF(AB105="F",SQRT(AC105)*SQRT(1/V105+1/Y105)*AD105,IF(AB105="z",2*(AC105/SQRT(V105+Y105))/SQRT(1-(AC105/SQRT(V105+Y105))^2)*AD105,IF(AB105="t_paired",AC105/SQRT(V105)*AD105,""))))),"")</f>
        <v>-0.161308778321223</v>
      </c>
      <c r="AF105" s="7" t="n">
        <f aca="false">IF(AE105="","",IF(AB105="t_paired",1-3/(4*(V105-1)-1),1-3/(4*(V105+Y105)-9)))</f>
        <v>0.995024875621891</v>
      </c>
      <c r="AG105" s="7" t="n">
        <f aca="false">IF(AE105="","",AE105*AF105)</f>
        <v>-0.160506247085794</v>
      </c>
      <c r="AH105" s="7" t="n">
        <f aca="false">IF(AG105="","",IF(AB105="t_paired",1/V105+AG105^2/(2*V105),(V105+Y105)/(V105*Y105)+AG105^2/(2*(V105+Y105))))</f>
        <v>0.0262290981008275</v>
      </c>
      <c r="AI105" s="7" t="n">
        <f aca="false">IF(AH105="","",SQRT(AH105))</f>
        <v>0.161953999953158</v>
      </c>
      <c r="AJ105" s="7" t="n">
        <f aca="false">IF(AI105="","",AG105-1.96*AI105)</f>
        <v>-0.477936086993984</v>
      </c>
      <c r="AK105" s="7" t="n">
        <f aca="false">IF(AI105="","",AG105+1.96*AI105)</f>
        <v>0.156923592822396</v>
      </c>
      <c r="AL105" s="7" t="n">
        <f aca="false">IF(AI105="","",AG105/AI105)</f>
        <v>-0.991060715587247</v>
      </c>
      <c r="AM105" s="8" t="n">
        <f aca="false">IF(AL105="","",2*(1-NORMSDIST(ABS(AL105))))</f>
        <v>0.321655933932581</v>
      </c>
      <c r="AN105" s="9" t="n">
        <f aca="false">IF(COUNT(V105)=0,"",IF(AB105="t_paired",V105,V105+N(Y105)))</f>
        <v>153</v>
      </c>
      <c r="AO105" s="7" t="n">
        <f aca="false">IF(AH105="","",1/AH105)</f>
        <v>38.1255960901092</v>
      </c>
      <c r="AP105" s="5" t="s">
        <v>100</v>
      </c>
      <c r="AQ105" s="5" t="s">
        <v>210</v>
      </c>
      <c r="AR105" s="5" t="s">
        <v>452</v>
      </c>
      <c r="AS105" s="9" t="n">
        <f aca="false">IF(AND(AP105="Y",ISNUMBER(AO105)),AO105,0)</f>
        <v>0</v>
      </c>
      <c r="AT105" s="7" t="n">
        <f aca="false">IF(AS105&gt;0,AS105*AG105,0)</f>
        <v>0</v>
      </c>
      <c r="AU105" s="7" t="n">
        <f aca="false">IF(AS105&gt;0,AS105*AG105^2,0)</f>
        <v>0</v>
      </c>
      <c r="AV105" s="9" t="n">
        <f aca="false">IF(AS105&gt;0,AS105^2,0)</f>
        <v>0</v>
      </c>
      <c r="AW105" s="7" t="n">
        <f aca="false">IF(AS105&gt;0,AG105,0)</f>
        <v>0</v>
      </c>
      <c r="AX105" s="7" t="n">
        <f aca="false">IF(AS105&gt;0,AH105,1)</f>
        <v>1</v>
      </c>
    </row>
    <row r="106" customFormat="false" ht="15" hidden="false" customHeight="false" outlineLevel="0" collapsed="false">
      <c r="A106" s="5" t="s">
        <v>459</v>
      </c>
      <c r="B106" s="5" t="s">
        <v>447</v>
      </c>
      <c r="C106" s="5" t="s">
        <v>448</v>
      </c>
      <c r="D106" s="5" t="n">
        <v>2025</v>
      </c>
      <c r="E106" s="5" t="s">
        <v>221</v>
      </c>
      <c r="F106" s="5" t="s">
        <v>173</v>
      </c>
      <c r="G106" s="5" t="s">
        <v>395</v>
      </c>
      <c r="H106" s="5" t="s">
        <v>174</v>
      </c>
      <c r="I106" s="5" t="s">
        <v>449</v>
      </c>
      <c r="J106" s="5" t="s">
        <v>76</v>
      </c>
      <c r="K106" s="5" t="s">
        <v>163</v>
      </c>
      <c r="L106" s="5" t="s">
        <v>164</v>
      </c>
      <c r="M106" s="5"/>
      <c r="N106" s="5"/>
      <c r="O106" s="5" t="s">
        <v>190</v>
      </c>
      <c r="P106" s="6" t="s">
        <v>82</v>
      </c>
      <c r="Q106" s="6" t="s">
        <v>450</v>
      </c>
      <c r="R106" s="5"/>
      <c r="S106" s="6" t="s">
        <v>458</v>
      </c>
      <c r="T106" s="5"/>
      <c r="U106" s="6" t="s">
        <v>86</v>
      </c>
      <c r="V106" s="5" t="n">
        <v>77</v>
      </c>
      <c r="W106" s="5" t="n">
        <v>2.7</v>
      </c>
      <c r="X106" s="5" t="n">
        <v>1.236</v>
      </c>
      <c r="Y106" s="5" t="n">
        <v>76</v>
      </c>
      <c r="Z106" s="5" t="n">
        <v>7.86</v>
      </c>
      <c r="AA106" s="5" t="n">
        <v>0.962</v>
      </c>
      <c r="AB106" s="5" t="s">
        <v>99</v>
      </c>
      <c r="AC106" s="5"/>
      <c r="AD106" s="5" t="n">
        <v>-1</v>
      </c>
      <c r="AE106" s="7" t="n">
        <f aca="false">IFERROR(IF(AB106="MSD",IF(COUNT(V106,W106,X106,Y106,Z106,AA106)&lt;6,"",(W106-Z106)/SQRT(((V106-1)*X106^2+(Y106-1)*AA106^2)/(V106+Y106-2))*AD106),IF(AB106="t",AC106*SQRT(1/V106+1/Y106)*AD106,IF(AB106="F",SQRT(AC106)*SQRT(1/V106+1/Y106)*AD106,IF(AB106="z",2*(AC106/SQRT(V106+Y106))/SQRT(1-(AC106/SQRT(V106+Y106))^2)*AD106,IF(AB106="t_paired",AC106/SQRT(V106)*AD106,""))))),"")</f>
        <v>4.65533321068102</v>
      </c>
      <c r="AF106" s="7" t="n">
        <f aca="false">IF(AE106="","",IF(AB106="t_paired",1-3/(4*(V106-1)-1),1-3/(4*(V106+Y106)-9)))</f>
        <v>0.995024875621891</v>
      </c>
      <c r="AG106" s="7" t="n">
        <f aca="false">IF(AE106="","",AE106*AF106)</f>
        <v>4.63217234893634</v>
      </c>
      <c r="AH106" s="7" t="n">
        <f aca="false">IF(AG106="","",IF(AB106="t_paired",1/V106+AG106^2/(2*V106),(V106+Y106)/(V106*Y106)+AG106^2/(2*(V106+Y106))))</f>
        <v>0.0962658903063726</v>
      </c>
      <c r="AI106" s="7" t="n">
        <f aca="false">IF(AH106="","",SQRT(AH106))</f>
        <v>0.310267449640423</v>
      </c>
      <c r="AJ106" s="7" t="n">
        <f aca="false">IF(AI106="","",AG106-1.96*AI106)</f>
        <v>4.02404814764111</v>
      </c>
      <c r="AK106" s="7" t="n">
        <f aca="false">IF(AI106="","",AG106+1.96*AI106)</f>
        <v>5.24029655023157</v>
      </c>
      <c r="AL106" s="7" t="n">
        <f aca="false">IF(AI106="","",AG106/AI106)</f>
        <v>14.9296110639536</v>
      </c>
      <c r="AM106" s="8" t="n">
        <f aca="false">IF(AL106="","",2*(1-NORMSDIST(ABS(AL106))))</f>
        <v>0</v>
      </c>
      <c r="AN106" s="9" t="n">
        <f aca="false">IF(COUNT(V106)=0,"",IF(AB106="t_paired",V106,V106+N(Y106)))</f>
        <v>153</v>
      </c>
      <c r="AO106" s="7" t="n">
        <f aca="false">IF(AH106="","",1/AH106)</f>
        <v>10.3878954094481</v>
      </c>
      <c r="AP106" s="5" t="s">
        <v>88</v>
      </c>
      <c r="AQ106" s="5" t="s">
        <v>210</v>
      </c>
      <c r="AR106" s="5" t="s">
        <v>452</v>
      </c>
      <c r="AS106" s="7" t="n">
        <f aca="false">IF(AND(AP106="Y",ISNUMBER(AO106)),AO106,0)</f>
        <v>10.3878954094481</v>
      </c>
      <c r="AT106" s="7" t="n">
        <f aca="false">IF(AS106&gt;0,AS106*AG106,0)</f>
        <v>48.1185218792881</v>
      </c>
      <c r="AU106" s="7" t="n">
        <f aca="false">IF(AS106&gt;0,AS106*AG106^2,0)</f>
        <v>222.893286520926</v>
      </c>
      <c r="AV106" s="9" t="n">
        <f aca="false">IF(AS106&gt;0,AS106^2,0)</f>
        <v>107.908371037632</v>
      </c>
      <c r="AW106" s="7" t="n">
        <f aca="false">IF(AS106&gt;0,AG106,0)</f>
        <v>4.63217234893634</v>
      </c>
      <c r="AX106" s="7" t="n">
        <f aca="false">IF(AS106&gt;0,AH106,1)</f>
        <v>0.0962658903063726</v>
      </c>
    </row>
    <row r="107" customFormat="false" ht="15" hidden="false" customHeight="false" outlineLevel="0" collapsed="false">
      <c r="A107" s="5" t="s">
        <v>460</v>
      </c>
      <c r="B107" s="5" t="s">
        <v>447</v>
      </c>
      <c r="C107" s="5" t="s">
        <v>448</v>
      </c>
      <c r="D107" s="5" t="n">
        <v>2025</v>
      </c>
      <c r="E107" s="5" t="s">
        <v>221</v>
      </c>
      <c r="F107" s="5" t="s">
        <v>173</v>
      </c>
      <c r="G107" s="5" t="s">
        <v>395</v>
      </c>
      <c r="H107" s="5" t="s">
        <v>174</v>
      </c>
      <c r="I107" s="5" t="s">
        <v>449</v>
      </c>
      <c r="J107" s="5" t="s">
        <v>76</v>
      </c>
      <c r="K107" s="5" t="s">
        <v>163</v>
      </c>
      <c r="L107" s="5" t="s">
        <v>164</v>
      </c>
      <c r="M107" s="5"/>
      <c r="N107" s="5"/>
      <c r="O107" s="5" t="s">
        <v>190</v>
      </c>
      <c r="P107" s="10" t="s">
        <v>113</v>
      </c>
      <c r="Q107" s="10" t="s">
        <v>114</v>
      </c>
      <c r="R107" s="5" t="s">
        <v>120</v>
      </c>
      <c r="S107" s="10" t="s">
        <v>461</v>
      </c>
      <c r="T107" s="5"/>
      <c r="U107" s="10" t="s">
        <v>98</v>
      </c>
      <c r="V107" s="5" t="n">
        <v>77</v>
      </c>
      <c r="W107" s="5" t="n">
        <v>2.34</v>
      </c>
      <c r="X107" s="5" t="n">
        <v>1.011</v>
      </c>
      <c r="Y107" s="5" t="n">
        <v>76</v>
      </c>
      <c r="Z107" s="5" t="n">
        <v>2.62</v>
      </c>
      <c r="AA107" s="5" t="n">
        <v>1.006</v>
      </c>
      <c r="AB107" s="5" t="s">
        <v>99</v>
      </c>
      <c r="AC107" s="5"/>
      <c r="AD107" s="5" t="n">
        <v>1</v>
      </c>
      <c r="AE107" s="7" t="n">
        <f aca="false">IFERROR(IF(AB107="MSD",IF(COUNT(V107,W107,X107,Y107,Z107,AA107)&lt;6,"",(W107-Z107)/SQRT(((V107-1)*X107^2+(Y107-1)*AA107^2)/(V107+Y107-2))*AD107),IF(AB107="t",AC107*SQRT(1/V107+1/Y107)*AD107,IF(AB107="F",SQRT(AC107)*SQRT(1/V107+1/Y107)*AD107,IF(AB107="z",2*(AC107/SQRT(V107+Y107))/SQRT(1-(AC107/SQRT(V107+Y107))^2)*AD107,IF(AB107="t_paired",AC107/SQRT(V107)*AD107,""))))),"")</f>
        <v>-0.277634648643796</v>
      </c>
      <c r="AF107" s="7" t="n">
        <f aca="false">IF(AE107="","",IF(AB107="t_paired",1-3/(4*(V107-1)-1),1-3/(4*(V107+Y107)-9)))</f>
        <v>0.995024875621891</v>
      </c>
      <c r="AG107" s="7" t="n">
        <f aca="false">IF(AE107="","",AE107*AF107)</f>
        <v>-0.276253381735121</v>
      </c>
      <c r="AH107" s="7" t="n">
        <f aca="false">IF(AG107="","",IF(AB107="t_paired",1/V107+AG107^2/(2*V107),(V107+Y107)/(V107*Y107)+AG107^2/(2*(V107+Y107))))</f>
        <v>0.0263943061909142</v>
      </c>
      <c r="AI107" s="7" t="n">
        <f aca="false">IF(AH107="","",SQRT(AH107))</f>
        <v>0.162463245661639</v>
      </c>
      <c r="AJ107" s="7" t="n">
        <f aca="false">IF(AI107="","",AG107-1.96*AI107)</f>
        <v>-0.594681343231934</v>
      </c>
      <c r="AK107" s="7" t="n">
        <f aca="false">IF(AI107="","",AG107+1.96*AI107)</f>
        <v>0.0421745797616925</v>
      </c>
      <c r="AL107" s="7" t="n">
        <f aca="false">IF(AI107="","",AG107/AI107)</f>
        <v>-1.70040540929775</v>
      </c>
      <c r="AM107" s="8" t="n">
        <f aca="false">IF(AL107="","",2*(1-NORMSDIST(ABS(AL107))))</f>
        <v>0.0890546950502245</v>
      </c>
      <c r="AN107" s="9" t="n">
        <f aca="false">IF(COUNT(V107)=0,"",IF(AB107="t_paired",V107,V107+N(Y107)))</f>
        <v>153</v>
      </c>
      <c r="AO107" s="7" t="n">
        <f aca="false">IF(AH107="","",1/AH107)</f>
        <v>37.8869591330358</v>
      </c>
      <c r="AP107" s="5" t="s">
        <v>100</v>
      </c>
      <c r="AQ107" s="5" t="s">
        <v>227</v>
      </c>
      <c r="AR107" s="5"/>
      <c r="AS107" s="9" t="n">
        <f aca="false">IF(AND(AP107="Y",ISNUMBER(AO107)),AO107,0)</f>
        <v>0</v>
      </c>
      <c r="AT107" s="7" t="n">
        <f aca="false">IF(AS107&gt;0,AS107*AG107,0)</f>
        <v>0</v>
      </c>
      <c r="AU107" s="7" t="n">
        <f aca="false">IF(AS107&gt;0,AS107*AG107^2,0)</f>
        <v>0</v>
      </c>
      <c r="AV107" s="9" t="n">
        <f aca="false">IF(AS107&gt;0,AS107^2,0)</f>
        <v>0</v>
      </c>
      <c r="AW107" s="7" t="n">
        <f aca="false">IF(AS107&gt;0,AG107,0)</f>
        <v>0</v>
      </c>
      <c r="AX107" s="7" t="n">
        <f aca="false">IF(AS107&gt;0,AH107,1)</f>
        <v>1</v>
      </c>
    </row>
    <row r="108" customFormat="false" ht="15" hidden="false" customHeight="false" outlineLevel="0" collapsed="false">
      <c r="A108" s="5" t="s">
        <v>462</v>
      </c>
      <c r="B108" s="5" t="s">
        <v>447</v>
      </c>
      <c r="C108" s="5" t="s">
        <v>448</v>
      </c>
      <c r="D108" s="5" t="n">
        <v>2025</v>
      </c>
      <c r="E108" s="5" t="s">
        <v>221</v>
      </c>
      <c r="F108" s="5" t="s">
        <v>173</v>
      </c>
      <c r="G108" s="5" t="s">
        <v>395</v>
      </c>
      <c r="H108" s="5" t="s">
        <v>174</v>
      </c>
      <c r="I108" s="5" t="s">
        <v>449</v>
      </c>
      <c r="J108" s="5" t="s">
        <v>76</v>
      </c>
      <c r="K108" s="5" t="s">
        <v>163</v>
      </c>
      <c r="L108" s="5" t="s">
        <v>164</v>
      </c>
      <c r="M108" s="5"/>
      <c r="N108" s="5"/>
      <c r="O108" s="5" t="s">
        <v>190</v>
      </c>
      <c r="P108" s="11" t="s">
        <v>113</v>
      </c>
      <c r="Q108" s="11" t="s">
        <v>114</v>
      </c>
      <c r="R108" s="5" t="s">
        <v>120</v>
      </c>
      <c r="S108" s="11" t="s">
        <v>461</v>
      </c>
      <c r="T108" s="5"/>
      <c r="U108" s="11" t="s">
        <v>86</v>
      </c>
      <c r="V108" s="5" t="n">
        <v>77</v>
      </c>
      <c r="W108" s="5" t="n">
        <v>5.89</v>
      </c>
      <c r="X108" s="5" t="n">
        <v>0.313</v>
      </c>
      <c r="Y108" s="5" t="n">
        <v>76</v>
      </c>
      <c r="Z108" s="5" t="n">
        <v>5.27</v>
      </c>
      <c r="AA108" s="5" t="n">
        <v>0.448</v>
      </c>
      <c r="AB108" s="5" t="s">
        <v>99</v>
      </c>
      <c r="AC108" s="5"/>
      <c r="AD108" s="5" t="n">
        <v>1</v>
      </c>
      <c r="AE108" s="7" t="n">
        <f aca="false">IFERROR(IF(AB108="MSD",IF(COUNT(V108,W108,X108,Y108,Z108,AA108)&lt;6,"",(W108-Z108)/SQRT(((V108-1)*X108^2+(Y108-1)*AA108^2)/(V108+Y108-2))*AD108),IF(AB108="t",AC108*SQRT(1/V108+1/Y108)*AD108,IF(AB108="F",SQRT(AC108)*SQRT(1/V108+1/Y108)*AD108,IF(AB108="z",2*(AC108/SQRT(V108+Y108))/SQRT(1-(AC108/SQRT(V108+Y108))^2)*AD108,IF(AB108="t_paired",AC108/SQRT(V108)*AD108,""))))),"")</f>
        <v>1.60621590316211</v>
      </c>
      <c r="AF108" s="7" t="n">
        <f aca="false">IF(AE108="","",IF(AB108="t_paired",1-3/(4*(V108-1)-1),1-3/(4*(V108+Y108)-9)))</f>
        <v>0.995024875621891</v>
      </c>
      <c r="AG108" s="7" t="n">
        <f aca="false">IF(AE108="","",AE108*AF108)</f>
        <v>1.59822477926579</v>
      </c>
      <c r="AH108" s="7" t="n">
        <f aca="false">IF(AG108="","",IF(AB108="t_paired",1/V108+AG108^2/(2*V108),(V108+Y108)/(V108*Y108)+AG108^2/(2*(V108+Y108))))</f>
        <v>0.0344923666946367</v>
      </c>
      <c r="AI108" s="7" t="n">
        <f aca="false">IF(AH108="","",SQRT(AH108))</f>
        <v>0.185721206906042</v>
      </c>
      <c r="AJ108" s="7" t="n">
        <f aca="false">IF(AI108="","",AG108-1.96*AI108)</f>
        <v>1.23421121372994</v>
      </c>
      <c r="AK108" s="7" t="n">
        <f aca="false">IF(AI108="","",AG108+1.96*AI108)</f>
        <v>1.96223834480163</v>
      </c>
      <c r="AL108" s="7" t="n">
        <f aca="false">IF(AI108="","",AG108/AI108)</f>
        <v>8.60550502492882</v>
      </c>
      <c r="AM108" s="8" t="n">
        <f aca="false">IF(AL108="","",2*(1-NORMSDIST(ABS(AL108))))</f>
        <v>0</v>
      </c>
      <c r="AN108" s="9" t="n">
        <f aca="false">IF(COUNT(V108)=0,"",IF(AB108="t_paired",V108,V108+N(Y108)))</f>
        <v>153</v>
      </c>
      <c r="AO108" s="7" t="n">
        <f aca="false">IF(AH108="","",1/AH108)</f>
        <v>28.991921860656</v>
      </c>
      <c r="AP108" s="5" t="s">
        <v>88</v>
      </c>
      <c r="AQ108" s="5" t="s">
        <v>227</v>
      </c>
      <c r="AR108" s="5"/>
      <c r="AS108" s="7" t="n">
        <f aca="false">IF(AND(AP108="Y",ISNUMBER(AO108)),AO108,0)</f>
        <v>28.991921860656</v>
      </c>
      <c r="AT108" s="7" t="n">
        <f aca="false">IF(AS108&gt;0,AS108*AG108,0)</f>
        <v>46.3356079162378</v>
      </c>
      <c r="AU108" s="7" t="n">
        <f aca="false">IF(AS108&gt;0,AS108*AG108^2,0)</f>
        <v>74.0547167340751</v>
      </c>
      <c r="AV108" s="9" t="n">
        <f aca="false">IF(AS108&gt;0,AS108^2,0)</f>
        <v>840.531533174383</v>
      </c>
      <c r="AW108" s="7" t="n">
        <f aca="false">IF(AS108&gt;0,AG108,0)</f>
        <v>1.59822477926579</v>
      </c>
      <c r="AX108" s="7" t="n">
        <f aca="false">IF(AS108&gt;0,AH108,1)</f>
        <v>0.0344923666946367</v>
      </c>
    </row>
    <row r="109" customFormat="false" ht="15" hidden="false" customHeight="false" outlineLevel="0" collapsed="false">
      <c r="A109" s="5" t="s">
        <v>463</v>
      </c>
      <c r="B109" s="5" t="s">
        <v>464</v>
      </c>
      <c r="C109" s="5" t="s">
        <v>465</v>
      </c>
      <c r="D109" s="5" t="n">
        <v>2025</v>
      </c>
      <c r="E109" s="5" t="s">
        <v>221</v>
      </c>
      <c r="F109" s="5" t="s">
        <v>199</v>
      </c>
      <c r="G109" s="5" t="s">
        <v>160</v>
      </c>
      <c r="H109" s="5" t="s">
        <v>131</v>
      </c>
      <c r="I109" s="5" t="s">
        <v>247</v>
      </c>
      <c r="J109" s="5" t="s">
        <v>162</v>
      </c>
      <c r="K109" s="5" t="s">
        <v>163</v>
      </c>
      <c r="L109" s="5" t="s">
        <v>164</v>
      </c>
      <c r="M109" s="5"/>
      <c r="N109" s="5" t="n">
        <v>620</v>
      </c>
      <c r="O109" s="5" t="s">
        <v>162</v>
      </c>
      <c r="P109" s="6" t="s">
        <v>82</v>
      </c>
      <c r="Q109" s="6" t="s">
        <v>83</v>
      </c>
      <c r="R109" s="5"/>
      <c r="S109" s="6" t="s">
        <v>212</v>
      </c>
      <c r="T109" s="5" t="s">
        <v>213</v>
      </c>
      <c r="U109" s="6" t="s">
        <v>86</v>
      </c>
      <c r="V109" s="5" t="n">
        <v>28</v>
      </c>
      <c r="W109" s="5" t="n">
        <v>48.21</v>
      </c>
      <c r="X109" s="5" t="n">
        <v>6.12</v>
      </c>
      <c r="Y109" s="5" t="n">
        <v>28</v>
      </c>
      <c r="Z109" s="5" t="n">
        <v>45.54</v>
      </c>
      <c r="AA109" s="5" t="n">
        <v>8.09</v>
      </c>
      <c r="AB109" s="5" t="s">
        <v>99</v>
      </c>
      <c r="AC109" s="5"/>
      <c r="AD109" s="5" t="n">
        <v>1</v>
      </c>
      <c r="AE109" s="7" t="n">
        <f aca="false">IFERROR(IF(AB109="MSD",IF(COUNT(V109,W109,X109,Y109,Z109,AA109)&lt;6,"",(W109-Z109)/SQRT(((V109-1)*X109^2+(Y109-1)*AA109^2)/(V109+Y109-2))*AD109),IF(AB109="t",AC109*SQRT(1/V109+1/Y109)*AD109,IF(AB109="F",SQRT(AC109)*SQRT(1/V109+1/Y109)*AD109,IF(AB109="z",2*(AC109/SQRT(V109+Y109))/SQRT(1-(AC109/SQRT(V109+Y109))^2)*AD109,IF(AB109="t_paired",AC109/SQRT(V109)*AD109,""))))),"")</f>
        <v>0.372231648944819</v>
      </c>
      <c r="AF109" s="7" t="n">
        <f aca="false">IF(AE109="","",IF(AB109="t_paired",1-3/(4*(V109-1)-1),1-3/(4*(V109+Y109)-9)))</f>
        <v>0.986046511627907</v>
      </c>
      <c r="AG109" s="7" t="n">
        <f aca="false">IF(AE109="","",AE109*AF109)</f>
        <v>0.367037718959543</v>
      </c>
      <c r="AH109" s="7" t="n">
        <f aca="false">IF(AG109="","",IF(AB109="t_paired",1/V109+AG109^2/(2*V109),(V109+Y109)/(V109*Y109)+AG109^2/(2*(V109+Y109))))</f>
        <v>0.0726313989923127</v>
      </c>
      <c r="AI109" s="7" t="n">
        <f aca="false">IF(AH109="","",SQRT(AH109))</f>
        <v>0.269502131702725</v>
      </c>
      <c r="AJ109" s="7" t="n">
        <f aca="false">IF(AI109="","",AG109-1.96*AI109)</f>
        <v>-0.161186459177798</v>
      </c>
      <c r="AK109" s="7" t="n">
        <f aca="false">IF(AI109="","",AG109+1.96*AI109)</f>
        <v>0.895261897096883</v>
      </c>
      <c r="AL109" s="7" t="n">
        <f aca="false">IF(AI109="","",AG109/AI109)</f>
        <v>1.3619102626038</v>
      </c>
      <c r="AM109" s="8" t="n">
        <f aca="false">IF(AL109="","",2*(1-NORMSDIST(ABS(AL109))))</f>
        <v>0.173226207016347</v>
      </c>
      <c r="AN109" s="9" t="n">
        <f aca="false">IF(COUNT(V109)=0,"",IF(AB109="t_paired",V109,V109+N(Y109)))</f>
        <v>56</v>
      </c>
      <c r="AO109" s="7" t="n">
        <f aca="false">IF(AH109="","",1/AH109)</f>
        <v>13.7681500545768</v>
      </c>
      <c r="AP109" s="5" t="s">
        <v>88</v>
      </c>
      <c r="AQ109" s="5" t="s">
        <v>167</v>
      </c>
      <c r="AR109" s="5"/>
      <c r="AS109" s="7" t="n">
        <f aca="false">IF(AND(AP109="Y",ISNUMBER(AO109)),AO109,0)</f>
        <v>13.7681500545768</v>
      </c>
      <c r="AT109" s="7" t="n">
        <f aca="false">IF(AS109&gt;0,AS109*AG109,0)</f>
        <v>5.05343039032457</v>
      </c>
      <c r="AU109" s="7" t="n">
        <f aca="false">IF(AS109&gt;0,AS109*AG109^2,0)</f>
        <v>1.85479956338556</v>
      </c>
      <c r="AV109" s="9" t="n">
        <f aca="false">IF(AS109&gt;0,AS109^2,0)</f>
        <v>189.561955925343</v>
      </c>
      <c r="AW109" s="7" t="n">
        <f aca="false">IF(AS109&gt;0,AG109,0)</f>
        <v>0.367037718959543</v>
      </c>
      <c r="AX109" s="7" t="n">
        <f aca="false">IF(AS109&gt;0,AH109,1)</f>
        <v>0.0726313989923127</v>
      </c>
    </row>
    <row r="110" customFormat="false" ht="15" hidden="false" customHeight="false" outlineLevel="0" collapsed="false">
      <c r="A110" s="5" t="s">
        <v>466</v>
      </c>
      <c r="B110" s="5" t="s">
        <v>464</v>
      </c>
      <c r="C110" s="5" t="s">
        <v>465</v>
      </c>
      <c r="D110" s="5" t="n">
        <v>2025</v>
      </c>
      <c r="E110" s="5" t="s">
        <v>221</v>
      </c>
      <c r="F110" s="5" t="s">
        <v>199</v>
      </c>
      <c r="G110" s="5" t="s">
        <v>160</v>
      </c>
      <c r="H110" s="5" t="s">
        <v>131</v>
      </c>
      <c r="I110" s="5" t="s">
        <v>247</v>
      </c>
      <c r="J110" s="5" t="s">
        <v>162</v>
      </c>
      <c r="K110" s="5" t="s">
        <v>163</v>
      </c>
      <c r="L110" s="5" t="s">
        <v>164</v>
      </c>
      <c r="M110" s="5"/>
      <c r="N110" s="5" t="n">
        <v>620</v>
      </c>
      <c r="O110" s="5" t="s">
        <v>162</v>
      </c>
      <c r="P110" s="6" t="s">
        <v>82</v>
      </c>
      <c r="Q110" s="6" t="s">
        <v>191</v>
      </c>
      <c r="R110" s="5"/>
      <c r="S110" s="6" t="s">
        <v>353</v>
      </c>
      <c r="T110" s="5" t="s">
        <v>213</v>
      </c>
      <c r="U110" s="6" t="s">
        <v>86</v>
      </c>
      <c r="V110" s="5" t="n">
        <v>28</v>
      </c>
      <c r="W110" s="5" t="n">
        <v>4.1</v>
      </c>
      <c r="X110" s="5" t="n">
        <v>0.78</v>
      </c>
      <c r="Y110" s="5" t="n">
        <v>28</v>
      </c>
      <c r="Z110" s="5" t="n">
        <v>3.74</v>
      </c>
      <c r="AA110" s="5" t="n">
        <v>0.88</v>
      </c>
      <c r="AB110" s="5" t="s">
        <v>99</v>
      </c>
      <c r="AC110" s="5"/>
      <c r="AD110" s="5" t="n">
        <v>1</v>
      </c>
      <c r="AE110" s="7" t="n">
        <f aca="false">IFERROR(IF(AB110="MSD",IF(COUNT(V110,W110,X110,Y110,Z110,AA110)&lt;6,"",(W110-Z110)/SQRT(((V110-1)*X110^2+(Y110-1)*AA110^2)/(V110+Y110-2))*AD110),IF(AB110="t",AC110*SQRT(1/V110+1/Y110)*AD110,IF(AB110="F",SQRT(AC110)*SQRT(1/V110+1/Y110)*AD110,IF(AB110="z",2*(AC110/SQRT(V110+Y110))/SQRT(1-(AC110/SQRT(V110+Y110))^2)*AD110,IF(AB110="t_paired",AC110/SQRT(V110)*AD110,""))))),"")</f>
        <v>0.432950068970521</v>
      </c>
      <c r="AF110" s="7" t="n">
        <f aca="false">IF(AE110="","",IF(AB110="t_paired",1-3/(4*(V110-1)-1),1-3/(4*(V110+Y110)-9)))</f>
        <v>0.986046511627907</v>
      </c>
      <c r="AG110" s="7" t="n">
        <f aca="false">IF(AE110="","",AE110*AF110)</f>
        <v>0.426908905217444</v>
      </c>
      <c r="AH110" s="7" t="n">
        <f aca="false">IF(AG110="","",IF(AB110="t_paired",1/V110+AG110^2/(2*V110),(V110+Y110)/(V110*Y110)+AG110^2/(2*(V110+Y110))))</f>
        <v>0.073055814404946</v>
      </c>
      <c r="AI110" s="7" t="n">
        <f aca="false">IF(AH110="","",SQRT(AH110))</f>
        <v>0.270288391176806</v>
      </c>
      <c r="AJ110" s="7" t="n">
        <f aca="false">IF(AI110="","",AG110-1.96*AI110)</f>
        <v>-0.102856341489096</v>
      </c>
      <c r="AK110" s="7" t="n">
        <f aca="false">IF(AI110="","",AG110+1.96*AI110)</f>
        <v>0.956674151923983</v>
      </c>
      <c r="AL110" s="7" t="n">
        <f aca="false">IF(AI110="","",AG110/AI110)</f>
        <v>1.57945705088824</v>
      </c>
      <c r="AM110" s="8" t="n">
        <f aca="false">IF(AL110="","",2*(1-NORMSDIST(ABS(AL110))))</f>
        <v>0.114231260377207</v>
      </c>
      <c r="AN110" s="9" t="n">
        <f aca="false">IF(COUNT(V110)=0,"",IF(AB110="t_paired",V110,V110+N(Y110)))</f>
        <v>56</v>
      </c>
      <c r="AO110" s="7" t="n">
        <f aca="false">IF(AH110="","",1/AH110)</f>
        <v>13.6881644280499</v>
      </c>
      <c r="AP110" s="5" t="s">
        <v>88</v>
      </c>
      <c r="AQ110" s="5" t="s">
        <v>167</v>
      </c>
      <c r="AR110" s="5"/>
      <c r="AS110" s="7" t="n">
        <f aca="false">IF(AND(AP110="Y",ISNUMBER(AO110)),AO110,0)</f>
        <v>13.6881644280499</v>
      </c>
      <c r="AT110" s="7" t="n">
        <f aca="false">IF(AS110&gt;0,AS110*AG110,0)</f>
        <v>5.84359929041516</v>
      </c>
      <c r="AU110" s="7" t="n">
        <f aca="false">IF(AS110&gt;0,AS110*AG110^2,0)</f>
        <v>2.49468457560057</v>
      </c>
      <c r="AV110" s="9" t="n">
        <f aca="false">IF(AS110&gt;0,AS110^2,0)</f>
        <v>187.365845409331</v>
      </c>
      <c r="AW110" s="7" t="n">
        <f aca="false">IF(AS110&gt;0,AG110,0)</f>
        <v>0.426908905217444</v>
      </c>
      <c r="AX110" s="7" t="n">
        <f aca="false">IF(AS110&gt;0,AH110,1)</f>
        <v>0.073055814404946</v>
      </c>
    </row>
    <row r="111" customFormat="false" ht="15" hidden="false" customHeight="false" outlineLevel="0" collapsed="false">
      <c r="A111" s="5" t="s">
        <v>467</v>
      </c>
      <c r="B111" s="5" t="s">
        <v>468</v>
      </c>
      <c r="C111" s="5" t="s">
        <v>469</v>
      </c>
      <c r="D111" s="5" t="n">
        <v>2024</v>
      </c>
      <c r="E111" s="5" t="s">
        <v>221</v>
      </c>
      <c r="F111" s="5" t="s">
        <v>222</v>
      </c>
      <c r="G111" s="5" t="s">
        <v>187</v>
      </c>
      <c r="H111" s="5" t="s">
        <v>174</v>
      </c>
      <c r="I111" s="5" t="s">
        <v>449</v>
      </c>
      <c r="J111" s="5" t="s">
        <v>76</v>
      </c>
      <c r="K111" s="5" t="s">
        <v>163</v>
      </c>
      <c r="L111" s="5" t="s">
        <v>164</v>
      </c>
      <c r="M111" s="5" t="n">
        <v>12</v>
      </c>
      <c r="N111" s="5" t="n">
        <v>40</v>
      </c>
      <c r="O111" s="5" t="s">
        <v>261</v>
      </c>
      <c r="P111" s="10" t="s">
        <v>82</v>
      </c>
      <c r="Q111" s="10" t="s">
        <v>83</v>
      </c>
      <c r="R111" s="5"/>
      <c r="S111" s="10" t="s">
        <v>353</v>
      </c>
      <c r="T111" s="5" t="s">
        <v>217</v>
      </c>
      <c r="U111" s="10" t="s">
        <v>98</v>
      </c>
      <c r="V111" s="5" t="n">
        <v>68</v>
      </c>
      <c r="W111" s="5" t="n">
        <v>4.12</v>
      </c>
      <c r="X111" s="5" t="n">
        <v>0.38</v>
      </c>
      <c r="Y111" s="5" t="n">
        <v>68</v>
      </c>
      <c r="Z111" s="5" t="n">
        <v>3.99</v>
      </c>
      <c r="AA111" s="5" t="n">
        <v>0.36</v>
      </c>
      <c r="AB111" s="5" t="s">
        <v>99</v>
      </c>
      <c r="AC111" s="5"/>
      <c r="AD111" s="5" t="n">
        <v>1</v>
      </c>
      <c r="AE111" s="7" t="n">
        <f aca="false">IFERROR(IF(AB111="MSD",IF(COUNT(V111,W111,X111,Y111,Z111,AA111)&lt;6,"",(W111-Z111)/SQRT(((V111-1)*X111^2+(Y111-1)*AA111^2)/(V111+Y111-2))*AD111),IF(AB111="t",AC111*SQRT(1/V111+1/Y111)*AD111,IF(AB111="F",SQRT(AC111)*SQRT(1/V111+1/Y111)*AD111,IF(AB111="z",2*(AC111/SQRT(V111+Y111))/SQRT(1-(AC111/SQRT(V111+Y111))^2)*AD111,IF(AB111="t_paired",AC111/SQRT(V111)*AD111,""))))),"")</f>
        <v>0.351223097522894</v>
      </c>
      <c r="AF111" s="7" t="n">
        <f aca="false">IF(AE111="","",IF(AB111="t_paired",1-3/(4*(V111-1)-1),1-3/(4*(V111+Y111)-9)))</f>
        <v>0.994392523364486</v>
      </c>
      <c r="AG111" s="7" t="n">
        <f aca="false">IF(AE111="","",AE111*AF111)</f>
        <v>0.349253622209682</v>
      </c>
      <c r="AH111" s="7" t="n">
        <f aca="false">IF(AG111="","",IF(AB111="t_paired",1/V111+AG111^2/(2*V111),(V111+Y111)/(V111*Y111)+AG111^2/(2*(V111+Y111))))</f>
        <v>0.029860213575833</v>
      </c>
      <c r="AI111" s="7" t="n">
        <f aca="false">IF(AH111="","",SQRT(AH111))</f>
        <v>0.17280108094521</v>
      </c>
      <c r="AJ111" s="7" t="n">
        <f aca="false">IF(AI111="","",AG111-1.96*AI111)</f>
        <v>0.0105635035570701</v>
      </c>
      <c r="AK111" s="7" t="n">
        <f aca="false">IF(AI111="","",AG111+1.96*AI111)</f>
        <v>0.687943740862293</v>
      </c>
      <c r="AL111" s="7" t="n">
        <f aca="false">IF(AI111="","",AG111/AI111)</f>
        <v>2.02113100392248</v>
      </c>
      <c r="AM111" s="8" t="n">
        <f aca="false">IF(AL111="","",2*(1-NORMSDIST(ABS(AL111))))</f>
        <v>0.0432662056524367</v>
      </c>
      <c r="AN111" s="9" t="n">
        <f aca="false">IF(COUNT(V111)=0,"",IF(AB111="t_paired",V111,V111+N(Y111)))</f>
        <v>136</v>
      </c>
      <c r="AO111" s="7" t="n">
        <f aca="false">IF(AH111="","",1/AH111)</f>
        <v>33.4893786831229</v>
      </c>
      <c r="AP111" s="5" t="s">
        <v>100</v>
      </c>
      <c r="AQ111" s="5" t="s">
        <v>167</v>
      </c>
      <c r="AR111" s="5"/>
      <c r="AS111" s="9" t="n">
        <f aca="false">IF(AND(AP111="Y",ISNUMBER(AO111)),AO111,0)</f>
        <v>0</v>
      </c>
      <c r="AT111" s="7" t="n">
        <f aca="false">IF(AS111&gt;0,AS111*AG111,0)</f>
        <v>0</v>
      </c>
      <c r="AU111" s="7" t="n">
        <f aca="false">IF(AS111&gt;0,AS111*AG111^2,0)</f>
        <v>0</v>
      </c>
      <c r="AV111" s="9" t="n">
        <f aca="false">IF(AS111&gt;0,AS111^2,0)</f>
        <v>0</v>
      </c>
      <c r="AW111" s="7" t="n">
        <f aca="false">IF(AS111&gt;0,AG111,0)</f>
        <v>0</v>
      </c>
      <c r="AX111" s="7" t="n">
        <f aca="false">IF(AS111&gt;0,AH111,1)</f>
        <v>1</v>
      </c>
    </row>
    <row r="112" customFormat="false" ht="15" hidden="false" customHeight="false" outlineLevel="0" collapsed="false">
      <c r="A112" s="5" t="s">
        <v>470</v>
      </c>
      <c r="B112" s="5" t="s">
        <v>468</v>
      </c>
      <c r="C112" s="5" t="s">
        <v>469</v>
      </c>
      <c r="D112" s="5" t="n">
        <v>2024</v>
      </c>
      <c r="E112" s="5" t="s">
        <v>221</v>
      </c>
      <c r="F112" s="5" t="s">
        <v>222</v>
      </c>
      <c r="G112" s="5" t="s">
        <v>187</v>
      </c>
      <c r="H112" s="5" t="s">
        <v>174</v>
      </c>
      <c r="I112" s="5" t="s">
        <v>449</v>
      </c>
      <c r="J112" s="5" t="s">
        <v>76</v>
      </c>
      <c r="K112" s="5" t="s">
        <v>163</v>
      </c>
      <c r="L112" s="5" t="s">
        <v>164</v>
      </c>
      <c r="M112" s="5" t="n">
        <v>12</v>
      </c>
      <c r="N112" s="5" t="n">
        <v>40</v>
      </c>
      <c r="O112" s="5" t="s">
        <v>261</v>
      </c>
      <c r="P112" s="6" t="s">
        <v>82</v>
      </c>
      <c r="Q112" s="6" t="s">
        <v>83</v>
      </c>
      <c r="R112" s="5"/>
      <c r="S112" s="6" t="s">
        <v>353</v>
      </c>
      <c r="T112" s="5" t="s">
        <v>217</v>
      </c>
      <c r="U112" s="6" t="s">
        <v>86</v>
      </c>
      <c r="V112" s="5" t="n">
        <v>68</v>
      </c>
      <c r="W112" s="5" t="n">
        <v>4.28</v>
      </c>
      <c r="X112" s="5" t="n">
        <v>0.35</v>
      </c>
      <c r="Y112" s="5" t="n">
        <v>68</v>
      </c>
      <c r="Z112" s="5" t="n">
        <v>3.95</v>
      </c>
      <c r="AA112" s="5" t="n">
        <v>0.36</v>
      </c>
      <c r="AB112" s="5" t="s">
        <v>99</v>
      </c>
      <c r="AC112" s="5"/>
      <c r="AD112" s="5" t="n">
        <v>1</v>
      </c>
      <c r="AE112" s="7" t="n">
        <f aca="false">IFERROR(IF(AB112="MSD",IF(COUNT(V112,W112,X112,Y112,Z112,AA112)&lt;6,"",(W112-Z112)/SQRT(((V112-1)*X112^2+(Y112-1)*AA112^2)/(V112+Y112-2))*AD112),IF(AB112="t",AC112*SQRT(1/V112+1/Y112)*AD112,IF(AB112="F",SQRT(AC112)*SQRT(1/V112+1/Y112)*AD112,IF(AB112="z",2*(AC112/SQRT(V112+Y112))/SQRT(1-(AC112/SQRT(V112+Y112))^2)*AD112,IF(AB112="t_paired",AC112/SQRT(V112)*AD112,""))))),"")</f>
        <v>0.929485276811634</v>
      </c>
      <c r="AF112" s="7" t="n">
        <f aca="false">IF(AE112="","",IF(AB112="t_paired",1-3/(4*(V112-1)-1),1-3/(4*(V112+Y112)-9)))</f>
        <v>0.994392523364486</v>
      </c>
      <c r="AG112" s="7" t="n">
        <f aca="false">IF(AE112="","",AE112*AF112)</f>
        <v>0.924273209838859</v>
      </c>
      <c r="AH112" s="7" t="n">
        <f aca="false">IF(AG112="","",IF(AB112="t_paired",1/V112+AG112^2/(2*V112),(V112+Y112)/(V112*Y112)+AG112^2/(2*(V112+Y112))))</f>
        <v>0.0325525035530361</v>
      </c>
      <c r="AI112" s="7" t="n">
        <f aca="false">IF(AH112="","",SQRT(AH112))</f>
        <v>0.180423123665001</v>
      </c>
      <c r="AJ112" s="7" t="n">
        <f aca="false">IF(AI112="","",AG112-1.96*AI112)</f>
        <v>0.570643887455457</v>
      </c>
      <c r="AK112" s="7" t="n">
        <f aca="false">IF(AI112="","",AG112+1.96*AI112)</f>
        <v>1.27790253222226</v>
      </c>
      <c r="AL112" s="7" t="n">
        <f aca="false">IF(AI112="","",AG112/AI112)</f>
        <v>5.12280904500354</v>
      </c>
      <c r="AM112" s="8" t="n">
        <f aca="false">IF(AL112="","",2*(1-NORMSDIST(ABS(AL112))))</f>
        <v>3.01017157200434E-007</v>
      </c>
      <c r="AN112" s="9" t="n">
        <f aca="false">IF(COUNT(V112)=0,"",IF(AB112="t_paired",V112,V112+N(Y112)))</f>
        <v>136</v>
      </c>
      <c r="AO112" s="7" t="n">
        <f aca="false">IF(AH112="","",1/AH112)</f>
        <v>30.7196034360537</v>
      </c>
      <c r="AP112" s="5" t="s">
        <v>88</v>
      </c>
      <c r="AQ112" s="5" t="s">
        <v>167</v>
      </c>
      <c r="AR112" s="5"/>
      <c r="AS112" s="7" t="n">
        <f aca="false">IF(AND(AP112="Y",ISNUMBER(AO112)),AO112,0)</f>
        <v>30.7196034360537</v>
      </c>
      <c r="AT112" s="7" t="n">
        <f aca="false">IF(AS112&gt;0,AS112*AG112,0)</f>
        <v>28.3933064728182</v>
      </c>
      <c r="AU112" s="7" t="n">
        <f aca="false">IF(AS112&gt;0,AS112*AG112^2,0)</f>
        <v>26.2431725115701</v>
      </c>
      <c r="AV112" s="9" t="n">
        <f aca="false">IF(AS112&gt;0,AS112^2,0)</f>
        <v>943.694035268404</v>
      </c>
      <c r="AW112" s="7" t="n">
        <f aca="false">IF(AS112&gt;0,AG112,0)</f>
        <v>0.924273209838859</v>
      </c>
      <c r="AX112" s="7" t="n">
        <f aca="false">IF(AS112&gt;0,AH112,1)</f>
        <v>0.0325525035530361</v>
      </c>
    </row>
    <row r="113" customFormat="false" ht="15" hidden="false" customHeight="false" outlineLevel="0" collapsed="false">
      <c r="A113" s="5" t="s">
        <v>471</v>
      </c>
      <c r="B113" s="5" t="s">
        <v>468</v>
      </c>
      <c r="C113" s="5" t="s">
        <v>469</v>
      </c>
      <c r="D113" s="5" t="n">
        <v>2024</v>
      </c>
      <c r="E113" s="5" t="s">
        <v>221</v>
      </c>
      <c r="F113" s="5" t="s">
        <v>222</v>
      </c>
      <c r="G113" s="5" t="s">
        <v>187</v>
      </c>
      <c r="H113" s="5" t="s">
        <v>174</v>
      </c>
      <c r="I113" s="5" t="s">
        <v>449</v>
      </c>
      <c r="J113" s="5" t="s">
        <v>76</v>
      </c>
      <c r="K113" s="5" t="s">
        <v>163</v>
      </c>
      <c r="L113" s="5" t="s">
        <v>164</v>
      </c>
      <c r="M113" s="5" t="n">
        <v>12</v>
      </c>
      <c r="N113" s="5" t="n">
        <v>40</v>
      </c>
      <c r="O113" s="5" t="s">
        <v>261</v>
      </c>
      <c r="P113" s="10" t="s">
        <v>113</v>
      </c>
      <c r="Q113" s="10" t="s">
        <v>114</v>
      </c>
      <c r="R113" s="5" t="s">
        <v>125</v>
      </c>
      <c r="S113" s="10" t="s">
        <v>235</v>
      </c>
      <c r="T113" s="5" t="s">
        <v>217</v>
      </c>
      <c r="U113" s="10" t="s">
        <v>98</v>
      </c>
      <c r="V113" s="5" t="n">
        <v>68</v>
      </c>
      <c r="W113" s="5" t="n">
        <v>4.32</v>
      </c>
      <c r="X113" s="5" t="n">
        <v>0.41</v>
      </c>
      <c r="Y113" s="5" t="n">
        <v>68</v>
      </c>
      <c r="Z113" s="5" t="n">
        <v>3.87</v>
      </c>
      <c r="AA113" s="5" t="n">
        <v>0.37</v>
      </c>
      <c r="AB113" s="5" t="s">
        <v>99</v>
      </c>
      <c r="AC113" s="5"/>
      <c r="AD113" s="5" t="n">
        <v>1</v>
      </c>
      <c r="AE113" s="7" t="n">
        <f aca="false">IFERROR(IF(AB113="MSD",IF(COUNT(V113,W113,X113,Y113,Z113,AA113)&lt;6,"",(W113-Z113)/SQRT(((V113-1)*X113^2+(Y113-1)*AA113^2)/(V113+Y113-2))*AD113),IF(AB113="t",AC113*SQRT(1/V113+1/Y113)*AD113,IF(AB113="F",SQRT(AC113)*SQRT(1/V113+1/Y113)*AD113,IF(AB113="z",2*(AC113/SQRT(V113+Y113))/SQRT(1-(AC113/SQRT(V113+Y113))^2)*AD113,IF(AB113="t_paired",AC113/SQRT(V113)*AD113,""))))),"")</f>
        <v>1.15233191939606</v>
      </c>
      <c r="AF113" s="7" t="n">
        <f aca="false">IF(AE113="","",IF(AB113="t_paired",1-3/(4*(V113-1)-1),1-3/(4*(V113+Y113)-9)))</f>
        <v>0.994392523364486</v>
      </c>
      <c r="AG113" s="7" t="n">
        <f aca="false">IF(AE113="","",AE113*AF113)</f>
        <v>1.14587024508169</v>
      </c>
      <c r="AH113" s="7" t="n">
        <f aca="false">IF(AG113="","",IF(AB113="t_paired",1/V113+AG113^2/(2*V113),(V113+Y113)/(V113*Y113)+AG113^2/(2*(V113+Y113))))</f>
        <v>0.0342390390388367</v>
      </c>
      <c r="AI113" s="7" t="n">
        <f aca="false">IF(AH113="","",SQRT(AH113))</f>
        <v>0.18503793945793</v>
      </c>
      <c r="AJ113" s="7" t="n">
        <f aca="false">IF(AI113="","",AG113-1.96*AI113)</f>
        <v>0.78319588374415</v>
      </c>
      <c r="AK113" s="7" t="n">
        <f aca="false">IF(AI113="","",AG113+1.96*AI113)</f>
        <v>1.50854460641924</v>
      </c>
      <c r="AL113" s="7" t="n">
        <f aca="false">IF(AI113="","",AG113/AI113)</f>
        <v>6.19262324493305</v>
      </c>
      <c r="AM113" s="8" t="n">
        <f aca="false">IF(AL113="","",2*(1-NORMSDIST(ABS(AL113))))</f>
        <v>5.91710458408556E-010</v>
      </c>
      <c r="AN113" s="9" t="n">
        <f aca="false">IF(COUNT(V113)=0,"",IF(AB113="t_paired",V113,V113+N(Y113)))</f>
        <v>136</v>
      </c>
      <c r="AO113" s="7" t="n">
        <f aca="false">IF(AH113="","",1/AH113)</f>
        <v>29.2064271682894</v>
      </c>
      <c r="AP113" s="5" t="s">
        <v>100</v>
      </c>
      <c r="AQ113" s="5" t="s">
        <v>227</v>
      </c>
      <c r="AR113" s="5"/>
      <c r="AS113" s="9" t="n">
        <f aca="false">IF(AND(AP113="Y",ISNUMBER(AO113)),AO113,0)</f>
        <v>0</v>
      </c>
      <c r="AT113" s="7" t="n">
        <f aca="false">IF(AS113&gt;0,AS113*AG113,0)</f>
        <v>0</v>
      </c>
      <c r="AU113" s="7" t="n">
        <f aca="false">IF(AS113&gt;0,AS113*AG113^2,0)</f>
        <v>0</v>
      </c>
      <c r="AV113" s="9" t="n">
        <f aca="false">IF(AS113&gt;0,AS113^2,0)</f>
        <v>0</v>
      </c>
      <c r="AW113" s="7" t="n">
        <f aca="false">IF(AS113&gt;0,AG113,0)</f>
        <v>0</v>
      </c>
      <c r="AX113" s="7" t="n">
        <f aca="false">IF(AS113&gt;0,AH113,1)</f>
        <v>1</v>
      </c>
    </row>
    <row r="114" customFormat="false" ht="15" hidden="false" customHeight="false" outlineLevel="0" collapsed="false">
      <c r="A114" s="5" t="s">
        <v>472</v>
      </c>
      <c r="B114" s="5" t="s">
        <v>468</v>
      </c>
      <c r="C114" s="5" t="s">
        <v>469</v>
      </c>
      <c r="D114" s="5" t="n">
        <v>2024</v>
      </c>
      <c r="E114" s="5" t="s">
        <v>221</v>
      </c>
      <c r="F114" s="5" t="s">
        <v>222</v>
      </c>
      <c r="G114" s="5" t="s">
        <v>187</v>
      </c>
      <c r="H114" s="5" t="s">
        <v>174</v>
      </c>
      <c r="I114" s="5" t="s">
        <v>449</v>
      </c>
      <c r="J114" s="5" t="s">
        <v>76</v>
      </c>
      <c r="K114" s="5" t="s">
        <v>163</v>
      </c>
      <c r="L114" s="5" t="s">
        <v>164</v>
      </c>
      <c r="M114" s="5" t="n">
        <v>12</v>
      </c>
      <c r="N114" s="5" t="n">
        <v>40</v>
      </c>
      <c r="O114" s="5" t="s">
        <v>261</v>
      </c>
      <c r="P114" s="11" t="s">
        <v>113</v>
      </c>
      <c r="Q114" s="11" t="s">
        <v>114</v>
      </c>
      <c r="R114" s="5" t="s">
        <v>125</v>
      </c>
      <c r="S114" s="11" t="s">
        <v>235</v>
      </c>
      <c r="T114" s="5" t="s">
        <v>217</v>
      </c>
      <c r="U114" s="11" t="s">
        <v>86</v>
      </c>
      <c r="V114" s="5" t="n">
        <v>68</v>
      </c>
      <c r="W114" s="5" t="n">
        <v>4.12</v>
      </c>
      <c r="X114" s="5" t="n">
        <v>0.39</v>
      </c>
      <c r="Y114" s="5" t="n">
        <v>68</v>
      </c>
      <c r="Z114" s="5" t="n">
        <v>3.91</v>
      </c>
      <c r="AA114" s="5" t="n">
        <v>0.37</v>
      </c>
      <c r="AB114" s="5" t="s">
        <v>99</v>
      </c>
      <c r="AC114" s="5"/>
      <c r="AD114" s="5" t="n">
        <v>1</v>
      </c>
      <c r="AE114" s="7" t="n">
        <f aca="false">IFERROR(IF(AB114="MSD",IF(COUNT(V114,W114,X114,Y114,Z114,AA114)&lt;6,"",(W114-Z114)/SQRT(((V114-1)*X114^2+(Y114-1)*AA114^2)/(V114+Y114-2))*AD114),IF(AB114="t",AC114*SQRT(1/V114+1/Y114)*AD114,IF(AB114="F",SQRT(AC114)*SQRT(1/V114+1/Y114)*AD114,IF(AB114="z",2*(AC114/SQRT(V114+Y114))/SQRT(1-(AC114/SQRT(V114+Y114))^2)*AD114,IF(AB114="t_paired",AC114/SQRT(V114)*AD114,""))))),"")</f>
        <v>0.552440323852889</v>
      </c>
      <c r="AF114" s="7" t="n">
        <f aca="false">IF(AE114="","",IF(AB114="t_paired",1-3/(4*(V114-1)-1),1-3/(4*(V114+Y114)-9)))</f>
        <v>0.994392523364486</v>
      </c>
      <c r="AG114" s="7" t="n">
        <f aca="false">IF(AE114="","",AE114*AF114)</f>
        <v>0.549342527644368</v>
      </c>
      <c r="AH114" s="7" t="n">
        <f aca="false">IF(AG114="","",IF(AB114="t_paired",1/V114+AG114^2/(2*V114),(V114+Y114)/(V114*Y114)+AG114^2/(2*(V114+Y114))))</f>
        <v>0.0305212397524952</v>
      </c>
      <c r="AI114" s="7" t="n">
        <f aca="false">IF(AH114="","",SQRT(AH114))</f>
        <v>0.17470329061725</v>
      </c>
      <c r="AJ114" s="7" t="n">
        <f aca="false">IF(AI114="","",AG114-1.96*AI114)</f>
        <v>0.206924078034559</v>
      </c>
      <c r="AK114" s="7" t="n">
        <f aca="false">IF(AI114="","",AG114+1.96*AI114)</f>
        <v>0.891760977254178</v>
      </c>
      <c r="AL114" s="7" t="n">
        <f aca="false">IF(AI114="","",AG114/AI114)</f>
        <v>3.14443148554025</v>
      </c>
      <c r="AM114" s="8" t="n">
        <f aca="false">IF(AL114="","",2*(1-NORMSDIST(ABS(AL114))))</f>
        <v>0.00166409873517748</v>
      </c>
      <c r="AN114" s="9" t="n">
        <f aca="false">IF(COUNT(V114)=0,"",IF(AB114="t_paired",V114,V114+N(Y114)))</f>
        <v>136</v>
      </c>
      <c r="AO114" s="7" t="n">
        <f aca="false">IF(AH114="","",1/AH114)</f>
        <v>32.7640688290929</v>
      </c>
      <c r="AP114" s="5" t="s">
        <v>88</v>
      </c>
      <c r="AQ114" s="5" t="s">
        <v>227</v>
      </c>
      <c r="AR114" s="5"/>
      <c r="AS114" s="7" t="n">
        <f aca="false">IF(AND(AP114="Y",ISNUMBER(AO114)),AO114,0)</f>
        <v>32.7640688290929</v>
      </c>
      <c r="AT114" s="7" t="n">
        <f aca="false">IF(AS114&gt;0,AS114*AG114,0)</f>
        <v>17.998696386488</v>
      </c>
      <c r="AU114" s="7" t="n">
        <f aca="false">IF(AS114&gt;0,AS114*AG114^2,0)</f>
        <v>9.88744936725685</v>
      </c>
      <c r="AV114" s="9" t="n">
        <f aca="false">IF(AS114&gt;0,AS114^2,0)</f>
        <v>1073.48420623754</v>
      </c>
      <c r="AW114" s="7" t="n">
        <f aca="false">IF(AS114&gt;0,AG114,0)</f>
        <v>0.549342527644368</v>
      </c>
      <c r="AX114" s="7" t="n">
        <f aca="false">IF(AS114&gt;0,AH114,1)</f>
        <v>0.0305212397524952</v>
      </c>
    </row>
    <row r="115" customFormat="false" ht="15" hidden="false" customHeight="false" outlineLevel="0" collapsed="false">
      <c r="A115" s="5" t="s">
        <v>473</v>
      </c>
      <c r="B115" s="5" t="s">
        <v>474</v>
      </c>
      <c r="C115" s="5" t="s">
        <v>475</v>
      </c>
      <c r="D115" s="5" t="n">
        <v>2023</v>
      </c>
      <c r="E115" s="5" t="s">
        <v>206</v>
      </c>
      <c r="F115" s="5" t="s">
        <v>173</v>
      </c>
      <c r="G115" s="5" t="s">
        <v>476</v>
      </c>
      <c r="H115" s="5" t="s">
        <v>174</v>
      </c>
      <c r="I115" s="5" t="s">
        <v>477</v>
      </c>
      <c r="J115" s="5" t="s">
        <v>76</v>
      </c>
      <c r="K115" s="5" t="s">
        <v>163</v>
      </c>
      <c r="L115" s="5" t="s">
        <v>164</v>
      </c>
      <c r="M115" s="5" t="n">
        <v>9</v>
      </c>
      <c r="N115" s="5" t="n">
        <v>60</v>
      </c>
      <c r="O115" s="5" t="s">
        <v>261</v>
      </c>
      <c r="P115" s="10" t="s">
        <v>82</v>
      </c>
      <c r="Q115" s="10" t="s">
        <v>103</v>
      </c>
      <c r="R115" s="5"/>
      <c r="S115" s="10" t="s">
        <v>212</v>
      </c>
      <c r="T115" s="5" t="s">
        <v>202</v>
      </c>
      <c r="U115" s="10" t="s">
        <v>98</v>
      </c>
      <c r="V115" s="5" t="n">
        <v>43</v>
      </c>
      <c r="W115" s="5" t="n">
        <v>42.419</v>
      </c>
      <c r="X115" s="5" t="n">
        <v>14.791</v>
      </c>
      <c r="Y115" s="5" t="n">
        <v>59</v>
      </c>
      <c r="Z115" s="5" t="n">
        <v>42.915</v>
      </c>
      <c r="AA115" s="5" t="n">
        <v>15.346</v>
      </c>
      <c r="AB115" s="5" t="s">
        <v>99</v>
      </c>
      <c r="AC115" s="5"/>
      <c r="AD115" s="5" t="n">
        <v>1</v>
      </c>
      <c r="AE115" s="7" t="n">
        <f aca="false">IFERROR(IF(AB115="MSD",IF(COUNT(V115,W115,X115,Y115,Z115,AA115)&lt;6,"",(W115-Z115)/SQRT(((V115-1)*X115^2+(Y115-1)*AA115^2)/(V115+Y115-2))*AD115),IF(AB115="t",AC115*SQRT(1/V115+1/Y115)*AD115,IF(AB115="F",SQRT(AC115)*SQRT(1/V115+1/Y115)*AD115,IF(AB115="z",2*(AC115/SQRT(V115+Y115))/SQRT(1-(AC115/SQRT(V115+Y115))^2)*AD115,IF(AB115="t_paired",AC115/SQRT(V115)*AD115,""))))),"")</f>
        <v>-0.032814254446042</v>
      </c>
      <c r="AF115" s="7" t="n">
        <f aca="false">IF(AE115="","",IF(AB115="t_paired",1-3/(4*(V115-1)-1),1-3/(4*(V115+Y115)-9)))</f>
        <v>0.992481203007519</v>
      </c>
      <c r="AG115" s="7" t="n">
        <f aca="false">IF(AE115="","",AE115*AF115)</f>
        <v>-0.0325675307284026</v>
      </c>
      <c r="AH115" s="7" t="n">
        <f aca="false">IF(AG115="","",IF(AB115="t_paired",1/V115+AG115^2/(2*V115),(V115+Y115)/(V115*Y115)+AG115^2/(2*(V115+Y115))))</f>
        <v>0.0402101657314384</v>
      </c>
      <c r="AI115" s="7" t="n">
        <f aca="false">IF(AH115="","",SQRT(AH115))</f>
        <v>0.200524725985197</v>
      </c>
      <c r="AJ115" s="7" t="n">
        <f aca="false">IF(AI115="","",AG115-1.96*AI115)</f>
        <v>-0.425595993659389</v>
      </c>
      <c r="AK115" s="7" t="n">
        <f aca="false">IF(AI115="","",AG115+1.96*AI115)</f>
        <v>0.360460932202584</v>
      </c>
      <c r="AL115" s="7" t="n">
        <f aca="false">IF(AI115="","",AG115/AI115)</f>
        <v>-0.162411545849995</v>
      </c>
      <c r="AM115" s="8" t="n">
        <f aca="false">IF(AL115="","",2*(1-NORMSDIST(ABS(AL115))))</f>
        <v>0.870981779275161</v>
      </c>
      <c r="AN115" s="9" t="n">
        <f aca="false">IF(COUNT(V115)=0,"",IF(AB115="t_paired",V115,V115+N(Y115)))</f>
        <v>102</v>
      </c>
      <c r="AO115" s="7" t="n">
        <f aca="false">IF(AH115="","",1/AH115)</f>
        <v>24.8693329611956</v>
      </c>
      <c r="AP115" s="5" t="s">
        <v>100</v>
      </c>
      <c r="AQ115" s="5" t="s">
        <v>178</v>
      </c>
      <c r="AR115" s="5" t="s">
        <v>478</v>
      </c>
      <c r="AS115" s="9" t="n">
        <f aca="false">IF(AND(AP115="Y",ISNUMBER(AO115)),AO115,0)</f>
        <v>0</v>
      </c>
      <c r="AT115" s="7" t="n">
        <f aca="false">IF(AS115&gt;0,AS115*AG115,0)</f>
        <v>0</v>
      </c>
      <c r="AU115" s="7" t="n">
        <f aca="false">IF(AS115&gt;0,AS115*AG115^2,0)</f>
        <v>0</v>
      </c>
      <c r="AV115" s="9" t="n">
        <f aca="false">IF(AS115&gt;0,AS115^2,0)</f>
        <v>0</v>
      </c>
      <c r="AW115" s="7" t="n">
        <f aca="false">IF(AS115&gt;0,AG115,0)</f>
        <v>0</v>
      </c>
      <c r="AX115" s="7" t="n">
        <f aca="false">IF(AS115&gt;0,AH115,1)</f>
        <v>1</v>
      </c>
    </row>
    <row r="116" customFormat="false" ht="15" hidden="false" customHeight="false" outlineLevel="0" collapsed="false">
      <c r="A116" s="5" t="s">
        <v>479</v>
      </c>
      <c r="B116" s="5" t="s">
        <v>474</v>
      </c>
      <c r="C116" s="5" t="s">
        <v>475</v>
      </c>
      <c r="D116" s="5" t="n">
        <v>2023</v>
      </c>
      <c r="E116" s="5" t="s">
        <v>206</v>
      </c>
      <c r="F116" s="5" t="s">
        <v>173</v>
      </c>
      <c r="G116" s="5" t="s">
        <v>476</v>
      </c>
      <c r="H116" s="5" t="s">
        <v>174</v>
      </c>
      <c r="I116" s="5" t="s">
        <v>477</v>
      </c>
      <c r="J116" s="5" t="s">
        <v>76</v>
      </c>
      <c r="K116" s="5" t="s">
        <v>163</v>
      </c>
      <c r="L116" s="5" t="s">
        <v>164</v>
      </c>
      <c r="M116" s="5" t="n">
        <v>9</v>
      </c>
      <c r="N116" s="5" t="n">
        <v>60</v>
      </c>
      <c r="O116" s="5" t="s">
        <v>261</v>
      </c>
      <c r="P116" s="6" t="s">
        <v>82</v>
      </c>
      <c r="Q116" s="6" t="s">
        <v>103</v>
      </c>
      <c r="R116" s="5"/>
      <c r="S116" s="6" t="s">
        <v>212</v>
      </c>
      <c r="T116" s="5" t="s">
        <v>202</v>
      </c>
      <c r="U116" s="6" t="s">
        <v>86</v>
      </c>
      <c r="V116" s="5" t="n">
        <v>43</v>
      </c>
      <c r="W116" s="5" t="n">
        <v>55</v>
      </c>
      <c r="X116" s="5" t="n">
        <v>19.76</v>
      </c>
      <c r="Y116" s="5" t="n">
        <v>59</v>
      </c>
      <c r="Z116" s="5" t="n">
        <v>50.69</v>
      </c>
      <c r="AA116" s="5" t="n">
        <v>23</v>
      </c>
      <c r="AB116" s="5" t="s">
        <v>99</v>
      </c>
      <c r="AC116" s="5"/>
      <c r="AD116" s="5" t="n">
        <v>1</v>
      </c>
      <c r="AE116" s="7" t="n">
        <f aca="false">IFERROR(IF(AB116="MSD",IF(COUNT(V116,W116,X116,Y116,Z116,AA116)&lt;6,"",(W116-Z116)/SQRT(((V116-1)*X116^2+(Y116-1)*AA116^2)/(V116+Y116-2))*AD116),IF(AB116="t",AC116*SQRT(1/V116+1/Y116)*AD116,IF(AB116="F",SQRT(AC116)*SQRT(1/V116+1/Y116)*AD116,IF(AB116="z",2*(AC116/SQRT(V116+Y116))/SQRT(1-(AC116/SQRT(V116+Y116))^2)*AD116,IF(AB116="t_paired",AC116/SQRT(V116)*AD116,""))))),"")</f>
        <v>0.19863392294036</v>
      </c>
      <c r="AF116" s="7" t="n">
        <f aca="false">IF(AE116="","",IF(AB116="t_paired",1-3/(4*(V116-1)-1),1-3/(4*(V116+Y116)-9)))</f>
        <v>0.992481203007519</v>
      </c>
      <c r="AG116" s="7" t="n">
        <f aca="false">IF(AE116="","",AE116*AF116)</f>
        <v>0.197140434797952</v>
      </c>
      <c r="AH116" s="7" t="n">
        <f aca="false">IF(AG116="","",IF(AB116="t_paired",1/V116+AG116^2/(2*V116),(V116+Y116)/(V116*Y116)+AG116^2/(2*(V116+Y116))))</f>
        <v>0.0403954780205295</v>
      </c>
      <c r="AI116" s="7" t="n">
        <f aca="false">IF(AH116="","",SQRT(AH116))</f>
        <v>0.200986263263263</v>
      </c>
      <c r="AJ116" s="7" t="n">
        <f aca="false">IF(AI116="","",AG116-1.96*AI116)</f>
        <v>-0.196792641198043</v>
      </c>
      <c r="AK116" s="7" t="n">
        <f aca="false">IF(AI116="","",AG116+1.96*AI116)</f>
        <v>0.591073510793946</v>
      </c>
      <c r="AL116" s="7" t="n">
        <f aca="false">IF(AI116="","",AG116/AI116)</f>
        <v>0.980865217339388</v>
      </c>
      <c r="AM116" s="8" t="n">
        <f aca="false">IF(AL116="","",2*(1-NORMSDIST(ABS(AL116))))</f>
        <v>0.326659212022549</v>
      </c>
      <c r="AN116" s="9" t="n">
        <f aca="false">IF(COUNT(V116)=0,"",IF(AB116="t_paired",V116,V116+N(Y116)))</f>
        <v>102</v>
      </c>
      <c r="AO116" s="7" t="n">
        <f aca="false">IF(AH116="","",1/AH116)</f>
        <v>24.7552461067991</v>
      </c>
      <c r="AP116" s="5" t="s">
        <v>88</v>
      </c>
      <c r="AQ116" s="5" t="s">
        <v>178</v>
      </c>
      <c r="AR116" s="5" t="s">
        <v>478</v>
      </c>
      <c r="AS116" s="7" t="n">
        <f aca="false">IF(AND(AP116="Y",ISNUMBER(AO116)),AO116,0)</f>
        <v>24.7552461067991</v>
      </c>
      <c r="AT116" s="7" t="n">
        <f aca="false">IF(AS116&gt;0,AS116*AG116,0)</f>
        <v>4.88025998102466</v>
      </c>
      <c r="AU116" s="7" t="n">
        <f aca="false">IF(AS116&gt;0,AS116*AG116^2,0)</f>
        <v>0.962096574586244</v>
      </c>
      <c r="AV116" s="9" t="n">
        <f aca="false">IF(AS116&gt;0,AS116^2,0)</f>
        <v>612.82220980819</v>
      </c>
      <c r="AW116" s="7" t="n">
        <f aca="false">IF(AS116&gt;0,AG116,0)</f>
        <v>0.197140434797952</v>
      </c>
      <c r="AX116" s="7" t="n">
        <f aca="false">IF(AS116&gt;0,AH116,1)</f>
        <v>0.0403954780205295</v>
      </c>
    </row>
    <row r="117" customFormat="false" ht="15" hidden="false" customHeight="false" outlineLevel="0" collapsed="false">
      <c r="A117" s="5" t="s">
        <v>480</v>
      </c>
      <c r="B117" s="5" t="s">
        <v>474</v>
      </c>
      <c r="C117" s="5" t="s">
        <v>475</v>
      </c>
      <c r="D117" s="5" t="n">
        <v>2023</v>
      </c>
      <c r="E117" s="5" t="s">
        <v>206</v>
      </c>
      <c r="F117" s="5" t="s">
        <v>173</v>
      </c>
      <c r="G117" s="5" t="s">
        <v>476</v>
      </c>
      <c r="H117" s="5" t="s">
        <v>174</v>
      </c>
      <c r="I117" s="5" t="s">
        <v>477</v>
      </c>
      <c r="J117" s="5" t="s">
        <v>76</v>
      </c>
      <c r="K117" s="5" t="s">
        <v>163</v>
      </c>
      <c r="L117" s="5" t="s">
        <v>164</v>
      </c>
      <c r="M117" s="5" t="n">
        <v>9</v>
      </c>
      <c r="N117" s="5" t="n">
        <v>60</v>
      </c>
      <c r="O117" s="5" t="s">
        <v>261</v>
      </c>
      <c r="P117" s="11" t="s">
        <v>113</v>
      </c>
      <c r="Q117" s="11" t="s">
        <v>114</v>
      </c>
      <c r="R117" s="5" t="s">
        <v>125</v>
      </c>
      <c r="S117" s="11" t="s">
        <v>235</v>
      </c>
      <c r="T117" s="5"/>
      <c r="U117" s="11" t="s">
        <v>86</v>
      </c>
      <c r="V117" s="5" t="n">
        <v>43</v>
      </c>
      <c r="W117" s="5" t="n">
        <v>6.2</v>
      </c>
      <c r="X117" s="5" t="n">
        <v>6.7</v>
      </c>
      <c r="Y117" s="5" t="n">
        <v>59</v>
      </c>
      <c r="Z117" s="5" t="n">
        <v>8.1</v>
      </c>
      <c r="AA117" s="5" t="n">
        <v>8.5</v>
      </c>
      <c r="AB117" s="5" t="s">
        <v>99</v>
      </c>
      <c r="AC117" s="5"/>
      <c r="AD117" s="5" t="n">
        <v>1</v>
      </c>
      <c r="AE117" s="7" t="n">
        <f aca="false">IFERROR(IF(AB117="MSD",IF(COUNT(V117,W117,X117,Y117,Z117,AA117)&lt;6,"",(W117-Z117)/SQRT(((V117-1)*X117^2+(Y117-1)*AA117^2)/(V117+Y117-2))*AD117),IF(AB117="t",AC117*SQRT(1/V117+1/Y117)*AD117,IF(AB117="F",SQRT(AC117)*SQRT(1/V117+1/Y117)*AD117,IF(AB117="z",2*(AC117/SQRT(V117+Y117))/SQRT(1-(AC117/SQRT(V117+Y117))^2)*AD117,IF(AB117="t_paired",AC117/SQRT(V117)*AD117,""))))),"")</f>
        <v>-0.24375245979799</v>
      </c>
      <c r="AF117" s="7" t="n">
        <f aca="false">IF(AE117="","",IF(AB117="t_paired",1-3/(4*(V117-1)-1),1-3/(4*(V117+Y117)-9)))</f>
        <v>0.992481203007519</v>
      </c>
      <c r="AG117" s="7" t="n">
        <f aca="false">IF(AE117="","",AE117*AF117)</f>
        <v>-0.241919734536351</v>
      </c>
      <c r="AH117" s="7" t="n">
        <f aca="false">IF(AG117="","",IF(AB117="t_paired",1/V117+AG117^2/(2*V117),(V117+Y117)/(V117*Y117)+AG117^2/(2*(V117+Y117))))</f>
        <v>0.0404918545250678</v>
      </c>
      <c r="AI117" s="7" t="n">
        <f aca="false">IF(AH117="","",SQRT(AH117))</f>
        <v>0.201225879362143</v>
      </c>
      <c r="AJ117" s="7" t="n">
        <f aca="false">IF(AI117="","",AG117-1.96*AI117)</f>
        <v>-0.636322458086151</v>
      </c>
      <c r="AK117" s="7" t="n">
        <f aca="false">IF(AI117="","",AG117+1.96*AI117)</f>
        <v>0.15248298901345</v>
      </c>
      <c r="AL117" s="7" t="n">
        <f aca="false">IF(AI117="","",AG117/AI117)</f>
        <v>-1.20222972961133</v>
      </c>
      <c r="AM117" s="8" t="n">
        <f aca="false">IF(AL117="","",2*(1-NORMSDIST(ABS(AL117))))</f>
        <v>0.229274533853546</v>
      </c>
      <c r="AN117" s="9" t="n">
        <f aca="false">IF(COUNT(V117)=0,"",IF(AB117="t_paired",V117,V117+N(Y117)))</f>
        <v>102</v>
      </c>
      <c r="AO117" s="7" t="n">
        <f aca="false">IF(AH117="","",1/AH117)</f>
        <v>24.6963250196633</v>
      </c>
      <c r="AP117" s="5" t="s">
        <v>88</v>
      </c>
      <c r="AQ117" s="5" t="s">
        <v>227</v>
      </c>
      <c r="AR117" s="5"/>
      <c r="AS117" s="7" t="n">
        <f aca="false">IF(AND(AP117="Y",ISNUMBER(AO117)),AO117,0)</f>
        <v>24.6963250196633</v>
      </c>
      <c r="AT117" s="7" t="n">
        <f aca="false">IF(AS117&gt;0,AS117*AG117,0)</f>
        <v>-5.97452839278039</v>
      </c>
      <c r="AU117" s="7" t="n">
        <f aca="false">IF(AS117&gt;0,AS117*AG117^2,0)</f>
        <v>1.44535632276132</v>
      </c>
      <c r="AV117" s="9" t="n">
        <f aca="false">IF(AS117&gt;0,AS117^2,0)</f>
        <v>609.908469476849</v>
      </c>
      <c r="AW117" s="7" t="n">
        <f aca="false">IF(AS117&gt;0,AG117,0)</f>
        <v>-0.241919734536351</v>
      </c>
      <c r="AX117" s="7" t="n">
        <f aca="false">IF(AS117&gt;0,AH117,1)</f>
        <v>0.0404918545250678</v>
      </c>
    </row>
    <row r="118" customFormat="false" ht="15" hidden="false" customHeight="false" outlineLevel="0" collapsed="false">
      <c r="A118" s="5" t="s">
        <v>481</v>
      </c>
      <c r="B118" s="5" t="s">
        <v>482</v>
      </c>
      <c r="C118" s="5" t="s">
        <v>483</v>
      </c>
      <c r="D118" s="5" t="n">
        <v>2024</v>
      </c>
      <c r="E118" s="5" t="s">
        <v>221</v>
      </c>
      <c r="F118" s="5" t="s">
        <v>199</v>
      </c>
      <c r="G118" s="5" t="s">
        <v>160</v>
      </c>
      <c r="H118" s="5" t="s">
        <v>162</v>
      </c>
      <c r="I118" s="5"/>
      <c r="J118" s="5" t="s">
        <v>162</v>
      </c>
      <c r="K118" s="5" t="s">
        <v>163</v>
      </c>
      <c r="L118" s="5" t="s">
        <v>164</v>
      </c>
      <c r="M118" s="5"/>
      <c r="N118" s="5"/>
      <c r="O118" s="5" t="s">
        <v>162</v>
      </c>
      <c r="P118" s="10" t="s">
        <v>82</v>
      </c>
      <c r="Q118" s="10" t="s">
        <v>103</v>
      </c>
      <c r="R118" s="5"/>
      <c r="S118" s="10" t="s">
        <v>484</v>
      </c>
      <c r="T118" s="5"/>
      <c r="U118" s="10" t="s">
        <v>98</v>
      </c>
      <c r="V118" s="5" t="n">
        <v>59</v>
      </c>
      <c r="W118" s="5" t="n">
        <v>75.17</v>
      </c>
      <c r="X118" s="5" t="n">
        <v>10.15</v>
      </c>
      <c r="Y118" s="5"/>
      <c r="Z118" s="5"/>
      <c r="AA118" s="5"/>
      <c r="AB118" s="5" t="s">
        <v>99</v>
      </c>
      <c r="AC118" s="5"/>
      <c r="AD118" s="5" t="n">
        <v>1</v>
      </c>
      <c r="AE118" s="7" t="str">
        <f aca="false">IFERROR(IF(AB118="MSD",IF(COUNT(V118,W118,X118,Y118,Z118,AA118)&lt;6,"",(W118-Z118)/SQRT(((V118-1)*X118^2+(Y118-1)*AA118^2)/(V118+Y118-2))*AD118),IF(AB118="t",AC118*SQRT(1/V118+1/Y118)*AD118,IF(AB118="F",SQRT(AC118)*SQRT(1/V118+1/Y118)*AD118,IF(AB118="z",2*(AC118/SQRT(V118+Y118))/SQRT(1-(AC118/SQRT(V118+Y118))^2)*AD118,IF(AB118="t_paired",AC118/SQRT(V118)*AD118,""))))),"")</f>
        <v/>
      </c>
      <c r="AF118" s="7" t="str">
        <f aca="false">IF(AE118="","",IF(AB118="t_paired",1-3/(4*(V118-1)-1),1-3/(4*(V118+Y118)-9)))</f>
        <v/>
      </c>
      <c r="AG118" s="7" t="str">
        <f aca="false">IF(AE118="","",AE118*AF118)</f>
        <v/>
      </c>
      <c r="AH118" s="7" t="str">
        <f aca="false">IF(AG118="","",IF(AB118="t_paired",1/V118+AG118^2/(2*V118),(V118+Y118)/(V118*Y118)+AG118^2/(2*(V118+Y118))))</f>
        <v/>
      </c>
      <c r="AI118" s="7" t="str">
        <f aca="false">IF(AH118="","",SQRT(AH118))</f>
        <v/>
      </c>
      <c r="AJ118" s="7" t="str">
        <f aca="false">IF(AI118="","",AG118-1.96*AI118)</f>
        <v/>
      </c>
      <c r="AK118" s="7" t="str">
        <f aca="false">IF(AI118="","",AG118+1.96*AI118)</f>
        <v/>
      </c>
      <c r="AL118" s="7" t="str">
        <f aca="false">IF(AI118="","",AG118/AI118)</f>
        <v/>
      </c>
      <c r="AM118" s="8" t="str">
        <f aca="false">IF(AL118="","",2*(1-NORMSDIST(ABS(AL118))))</f>
        <v/>
      </c>
      <c r="AN118" s="9" t="n">
        <f aca="false">IF(COUNT(V118)=0,"",IF(AB118="t_paired",V118,V118+N(Y118)))</f>
        <v>59</v>
      </c>
      <c r="AO118" s="7" t="str">
        <f aca="false">IF(AH118="","",1/AH118)</f>
        <v/>
      </c>
      <c r="AP118" s="5" t="s">
        <v>100</v>
      </c>
      <c r="AQ118" s="5" t="s">
        <v>210</v>
      </c>
      <c r="AR118" s="5" t="s">
        <v>485</v>
      </c>
      <c r="AS118" s="9" t="n">
        <f aca="false">IF(AND(AP118="Y",ISNUMBER(AO118)),AO118,0)</f>
        <v>0</v>
      </c>
      <c r="AT118" s="7" t="n">
        <f aca="false">IF(AS118&gt;0,AS118*AG118,0)</f>
        <v>0</v>
      </c>
      <c r="AU118" s="7" t="n">
        <f aca="false">IF(AS118&gt;0,AS118*AG118^2,0)</f>
        <v>0</v>
      </c>
      <c r="AV118" s="9" t="n">
        <f aca="false">IF(AS118&gt;0,AS118^2,0)</f>
        <v>0</v>
      </c>
      <c r="AW118" s="7" t="n">
        <f aca="false">IF(AS118&gt;0,AG118,0)</f>
        <v>0</v>
      </c>
      <c r="AX118" s="7" t="n">
        <f aca="false">IF(AS118&gt;0,AH118,1)</f>
        <v>1</v>
      </c>
    </row>
    <row r="119" customFormat="false" ht="15" hidden="false" customHeight="false" outlineLevel="0" collapsed="false">
      <c r="A119" s="5" t="s">
        <v>486</v>
      </c>
      <c r="B119" s="5" t="s">
        <v>482</v>
      </c>
      <c r="C119" s="5" t="s">
        <v>483</v>
      </c>
      <c r="D119" s="5" t="n">
        <v>2024</v>
      </c>
      <c r="E119" s="5" t="s">
        <v>221</v>
      </c>
      <c r="F119" s="5" t="s">
        <v>199</v>
      </c>
      <c r="G119" s="5" t="s">
        <v>160</v>
      </c>
      <c r="H119" s="5" t="s">
        <v>162</v>
      </c>
      <c r="I119" s="5"/>
      <c r="J119" s="5" t="s">
        <v>162</v>
      </c>
      <c r="K119" s="5" t="s">
        <v>163</v>
      </c>
      <c r="L119" s="5" t="s">
        <v>164</v>
      </c>
      <c r="M119" s="5"/>
      <c r="N119" s="5"/>
      <c r="O119" s="5" t="s">
        <v>162</v>
      </c>
      <c r="P119" s="6" t="s">
        <v>82</v>
      </c>
      <c r="Q119" s="6" t="s">
        <v>103</v>
      </c>
      <c r="R119" s="5"/>
      <c r="S119" s="6" t="s">
        <v>484</v>
      </c>
      <c r="T119" s="5"/>
      <c r="U119" s="6" t="s">
        <v>86</v>
      </c>
      <c r="V119" s="5" t="n">
        <v>59</v>
      </c>
      <c r="W119" s="5" t="n">
        <v>84.41</v>
      </c>
      <c r="X119" s="5" t="n">
        <v>8.76</v>
      </c>
      <c r="Y119" s="5"/>
      <c r="Z119" s="5"/>
      <c r="AA119" s="5"/>
      <c r="AB119" s="5" t="s">
        <v>99</v>
      </c>
      <c r="AC119" s="5"/>
      <c r="AD119" s="5" t="n">
        <v>1</v>
      </c>
      <c r="AE119" s="7" t="str">
        <f aca="false">IFERROR(IF(AB119="MSD",IF(COUNT(V119,W119,X119,Y119,Z119,AA119)&lt;6,"",(W119-Z119)/SQRT(((V119-1)*X119^2+(Y119-1)*AA119^2)/(V119+Y119-2))*AD119),IF(AB119="t",AC119*SQRT(1/V119+1/Y119)*AD119,IF(AB119="F",SQRT(AC119)*SQRT(1/V119+1/Y119)*AD119,IF(AB119="z",2*(AC119/SQRT(V119+Y119))/SQRT(1-(AC119/SQRT(V119+Y119))^2)*AD119,IF(AB119="t_paired",AC119/SQRT(V119)*AD119,""))))),"")</f>
        <v/>
      </c>
      <c r="AF119" s="7" t="str">
        <f aca="false">IF(AE119="","",IF(AB119="t_paired",1-3/(4*(V119-1)-1),1-3/(4*(V119+Y119)-9)))</f>
        <v/>
      </c>
      <c r="AG119" s="7" t="str">
        <f aca="false">IF(AE119="","",AE119*AF119)</f>
        <v/>
      </c>
      <c r="AH119" s="7" t="str">
        <f aca="false">IF(AG119="","",IF(AB119="t_paired",1/V119+AG119^2/(2*V119),(V119+Y119)/(V119*Y119)+AG119^2/(2*(V119+Y119))))</f>
        <v/>
      </c>
      <c r="AI119" s="7" t="str">
        <f aca="false">IF(AH119="","",SQRT(AH119))</f>
        <v/>
      </c>
      <c r="AJ119" s="7" t="str">
        <f aca="false">IF(AI119="","",AG119-1.96*AI119)</f>
        <v/>
      </c>
      <c r="AK119" s="7" t="str">
        <f aca="false">IF(AI119="","",AG119+1.96*AI119)</f>
        <v/>
      </c>
      <c r="AL119" s="7" t="str">
        <f aca="false">IF(AI119="","",AG119/AI119)</f>
        <v/>
      </c>
      <c r="AM119" s="8" t="str">
        <f aca="false">IF(AL119="","",2*(1-NORMSDIST(ABS(AL119))))</f>
        <v/>
      </c>
      <c r="AN119" s="9" t="n">
        <f aca="false">IF(COUNT(V119)=0,"",IF(AB119="t_paired",V119,V119+N(Y119)))</f>
        <v>59</v>
      </c>
      <c r="AO119" s="7" t="str">
        <f aca="false">IF(AH119="","",1/AH119)</f>
        <v/>
      </c>
      <c r="AP119" s="5" t="s">
        <v>100</v>
      </c>
      <c r="AQ119" s="5" t="s">
        <v>210</v>
      </c>
      <c r="AR119" s="5" t="s">
        <v>485</v>
      </c>
      <c r="AS119" s="9" t="n">
        <f aca="false">IF(AND(AP119="Y",ISNUMBER(AO119)),AO119,0)</f>
        <v>0</v>
      </c>
      <c r="AT119" s="7" t="n">
        <f aca="false">IF(AS119&gt;0,AS119*AG119,0)</f>
        <v>0</v>
      </c>
      <c r="AU119" s="7" t="n">
        <f aca="false">IF(AS119&gt;0,AS119*AG119^2,0)</f>
        <v>0</v>
      </c>
      <c r="AV119" s="9" t="n">
        <f aca="false">IF(AS119&gt;0,AS119^2,0)</f>
        <v>0</v>
      </c>
      <c r="AW119" s="7" t="n">
        <f aca="false">IF(AS119&gt;0,AG119,0)</f>
        <v>0</v>
      </c>
      <c r="AX119" s="7" t="n">
        <f aca="false">IF(AS119&gt;0,AH119,1)</f>
        <v>1</v>
      </c>
    </row>
    <row r="120" customFormat="false" ht="15" hidden="false" customHeight="false" outlineLevel="0" collapsed="false">
      <c r="A120" s="5" t="s">
        <v>487</v>
      </c>
      <c r="B120" s="5" t="s">
        <v>488</v>
      </c>
      <c r="C120" s="5" t="s">
        <v>489</v>
      </c>
      <c r="D120" s="5" t="n">
        <v>2024</v>
      </c>
      <c r="E120" s="5" t="s">
        <v>221</v>
      </c>
      <c r="F120" s="5" t="s">
        <v>490</v>
      </c>
      <c r="G120" s="5" t="s">
        <v>491</v>
      </c>
      <c r="H120" s="5" t="s">
        <v>131</v>
      </c>
      <c r="I120" s="5" t="s">
        <v>492</v>
      </c>
      <c r="J120" s="5" t="s">
        <v>189</v>
      </c>
      <c r="K120" s="5" t="s">
        <v>493</v>
      </c>
      <c r="L120" s="5" t="s">
        <v>494</v>
      </c>
      <c r="M120" s="5" t="s">
        <v>495</v>
      </c>
      <c r="N120" s="5" t="s">
        <v>408</v>
      </c>
      <c r="O120" s="5" t="s">
        <v>190</v>
      </c>
      <c r="P120" s="6" t="s">
        <v>82</v>
      </c>
      <c r="Q120" s="6" t="s">
        <v>191</v>
      </c>
      <c r="R120" s="5"/>
      <c r="S120" s="6" t="s">
        <v>496</v>
      </c>
      <c r="T120" s="5" t="s">
        <v>497</v>
      </c>
      <c r="U120" s="6" t="s">
        <v>86</v>
      </c>
      <c r="V120" s="5" t="n">
        <v>44</v>
      </c>
      <c r="W120" s="5"/>
      <c r="X120" s="5"/>
      <c r="Y120" s="5" t="n">
        <v>44</v>
      </c>
      <c r="Z120" s="5"/>
      <c r="AA120" s="5"/>
      <c r="AB120" s="5" t="s">
        <v>498</v>
      </c>
      <c r="AC120" s="5" t="n">
        <v>8.613</v>
      </c>
      <c r="AD120" s="5" t="n">
        <v>1</v>
      </c>
      <c r="AE120" s="7" t="n">
        <f aca="false">IFERROR(IF(AB120="MSD",IF(COUNT(V120,W120,X120,Y120,Z120,AA120)&lt;6,"",(W120-Z120)/SQRT(((V120-1)*X120^2+(Y120-1)*AA120^2)/(V120+Y120-2))*AD120),IF(AB120="t",AC120*SQRT(1/V120+1/Y120)*AD120,IF(AB120="F",SQRT(AC120)*SQRT(1/V120+1/Y120)*AD120,IF(AB120="z",2*(AC120/SQRT(V120+Y120))/SQRT(1-(AC120/SQRT(V120+Y120))^2)*AD120,IF(AB120="t_paired",AC120/SQRT(V120)*AD120,""))))),"")</f>
        <v>1.29845860542414</v>
      </c>
      <c r="AF120" s="7" t="n">
        <f aca="false">IF(AE120="","",IF(AB120="t_paired",1-3/(4*(V120-1)-1),1-3/(4*(V120+Y120)-9)))</f>
        <v>0.982456140350877</v>
      </c>
      <c r="AG120" s="7" t="n">
        <f aca="false">IF(AE120="","",AE120*AF120)</f>
        <v>1.27567862989038</v>
      </c>
      <c r="AH120" s="7" t="n">
        <f aca="false">IF(AG120="","",IF(AB120="t_paired",1/V120+AG120^2/(2*V120),(V120+Y120)/(V120*Y120)+AG120^2/(2*(V120+Y120))))</f>
        <v>0.0412199541677159</v>
      </c>
      <c r="AI120" s="7" t="n">
        <f aca="false">IF(AH120="","",SQRT(AH120))</f>
        <v>0.203026978915897</v>
      </c>
      <c r="AJ120" s="7" t="n">
        <f aca="false">IF(AI120="","",AG120-1.96*AI120)</f>
        <v>0.877745751215225</v>
      </c>
      <c r="AK120" s="7" t="n">
        <f aca="false">IF(AI120="","",AG120+1.96*AI120)</f>
        <v>1.67361150856554</v>
      </c>
      <c r="AL120" s="7" t="n">
        <f aca="false">IF(AI120="","",AG120/AI120)</f>
        <v>6.28329612498853</v>
      </c>
      <c r="AM120" s="8" t="n">
        <f aca="false">IF(AL120="","",2*(1-NORMSDIST(ABS(AL120))))</f>
        <v>3.31468852365902E-010</v>
      </c>
      <c r="AN120" s="9" t="n">
        <f aca="false">IF(COUNT(V120)=0,"",IF(AB120="t_paired",V120,V120+N(Y120)))</f>
        <v>44</v>
      </c>
      <c r="AO120" s="7" t="n">
        <f aca="false">IF(AH120="","",1/AH120)</f>
        <v>24.260094902852</v>
      </c>
      <c r="AP120" s="5" t="s">
        <v>88</v>
      </c>
      <c r="AQ120" s="5" t="s">
        <v>290</v>
      </c>
      <c r="AR120" s="5" t="s">
        <v>499</v>
      </c>
      <c r="AS120" s="7" t="n">
        <f aca="false">IF(AND(AP120="Y",ISNUMBER(AO120)),AO120,0)</f>
        <v>24.260094902852</v>
      </c>
      <c r="AT120" s="7" t="n">
        <f aca="false">IF(AS120&gt;0,AS120*AG120,0)</f>
        <v>30.9480846266809</v>
      </c>
      <c r="AU120" s="7" t="n">
        <f aca="false">IF(AS120&gt;0,AS120*AG120^2,0)</f>
        <v>39.4798101942959</v>
      </c>
      <c r="AV120" s="9" t="n">
        <f aca="false">IF(AS120&gt;0,AS120^2,0)</f>
        <v>588.552204695387</v>
      </c>
      <c r="AW120" s="7" t="n">
        <f aca="false">IF(AS120&gt;0,AG120,0)</f>
        <v>1.27567862989038</v>
      </c>
      <c r="AX120" s="7" t="n">
        <f aca="false">IF(AS120&gt;0,AH120,1)</f>
        <v>0.0412199541677159</v>
      </c>
    </row>
    <row r="121" customFormat="false" ht="15" hidden="false" customHeight="false" outlineLevel="0" collapsed="false">
      <c r="A121" s="5" t="s">
        <v>500</v>
      </c>
      <c r="B121" s="5" t="s">
        <v>488</v>
      </c>
      <c r="C121" s="5" t="s">
        <v>489</v>
      </c>
      <c r="D121" s="5" t="n">
        <v>2024</v>
      </c>
      <c r="E121" s="5" t="s">
        <v>221</v>
      </c>
      <c r="F121" s="5" t="s">
        <v>490</v>
      </c>
      <c r="G121" s="5" t="s">
        <v>491</v>
      </c>
      <c r="H121" s="5" t="s">
        <v>131</v>
      </c>
      <c r="I121" s="5" t="s">
        <v>492</v>
      </c>
      <c r="J121" s="5" t="s">
        <v>189</v>
      </c>
      <c r="K121" s="5" t="s">
        <v>493</v>
      </c>
      <c r="L121" s="5" t="s">
        <v>494</v>
      </c>
      <c r="M121" s="5" t="s">
        <v>495</v>
      </c>
      <c r="N121" s="5" t="s">
        <v>408</v>
      </c>
      <c r="O121" s="5" t="s">
        <v>190</v>
      </c>
      <c r="P121" s="11" t="s">
        <v>113</v>
      </c>
      <c r="Q121" s="11" t="s">
        <v>425</v>
      </c>
      <c r="R121" s="5"/>
      <c r="S121" s="11" t="s">
        <v>501</v>
      </c>
      <c r="T121" s="5" t="s">
        <v>502</v>
      </c>
      <c r="U121" s="11" t="s">
        <v>86</v>
      </c>
      <c r="V121" s="5" t="n">
        <v>22</v>
      </c>
      <c r="W121" s="5"/>
      <c r="X121" s="5"/>
      <c r="Y121" s="5" t="n">
        <v>22</v>
      </c>
      <c r="Z121" s="5"/>
      <c r="AA121" s="5"/>
      <c r="AB121" s="5" t="s">
        <v>498</v>
      </c>
      <c r="AC121" s="5" t="n">
        <v>2.074</v>
      </c>
      <c r="AD121" s="5" t="n">
        <v>1</v>
      </c>
      <c r="AE121" s="7" t="n">
        <f aca="false">IFERROR(IF(AB121="MSD",IF(COUNT(V121,W121,X121,Y121,Z121,AA121)&lt;6,"",(W121-Z121)/SQRT(((V121-1)*X121^2+(Y121-1)*AA121^2)/(V121+Y121-2))*AD121),IF(AB121="t",AC121*SQRT(1/V121+1/Y121)*AD121,IF(AB121="F",SQRT(AC121)*SQRT(1/V121+1/Y121)*AD121,IF(AB121="z",2*(AC121/SQRT(V121+Y121))/SQRT(1-(AC121/SQRT(V121+Y121))^2)*AD121,IF(AB121="t_paired",AC121/SQRT(V121)*AD121,""))))),"")</f>
        <v>0.442178285721536</v>
      </c>
      <c r="AF121" s="7" t="n">
        <f aca="false">IF(AE121="","",IF(AB121="t_paired",1-3/(4*(V121-1)-1),1-3/(4*(V121+Y121)-9)))</f>
        <v>0.963855421686747</v>
      </c>
      <c r="AG121" s="7" t="n">
        <f aca="false">IF(AE121="","",AE121*AF121)</f>
        <v>0.426195938044854</v>
      </c>
      <c r="AH121" s="7" t="n">
        <f aca="false">IF(AG121="","",IF(AB121="t_paired",1/V121+AG121^2/(2*V121),(V121+Y121)/(V121*Y121)+AG121^2/(2*(V121+Y121))))</f>
        <v>0.0495827949455894</v>
      </c>
      <c r="AI121" s="7" t="n">
        <f aca="false">IF(AH121="","",SQRT(AH121))</f>
        <v>0.222671944675546</v>
      </c>
      <c r="AJ121" s="7" t="n">
        <f aca="false">IF(AI121="","",AG121-1.96*AI121)</f>
        <v>-0.010241073519216</v>
      </c>
      <c r="AK121" s="7" t="n">
        <f aca="false">IF(AI121="","",AG121+1.96*AI121)</f>
        <v>0.862632949608924</v>
      </c>
      <c r="AL121" s="7" t="n">
        <f aca="false">IF(AI121="","",AG121/AI121)</f>
        <v>1.91400824502549</v>
      </c>
      <c r="AM121" s="8" t="n">
        <f aca="false">IF(AL121="","",2*(1-NORMSDIST(ABS(AL121))))</f>
        <v>0.0556191022565846</v>
      </c>
      <c r="AN121" s="9" t="n">
        <f aca="false">IF(COUNT(V121)=0,"",IF(AB121="t_paired",V121,V121+N(Y121)))</f>
        <v>22</v>
      </c>
      <c r="AO121" s="7" t="n">
        <f aca="false">IF(AH121="","",1/AH121)</f>
        <v>20.1682862189872</v>
      </c>
      <c r="AP121" s="5" t="s">
        <v>88</v>
      </c>
      <c r="AQ121" s="5" t="s">
        <v>290</v>
      </c>
      <c r="AR121" s="5" t="s">
        <v>503</v>
      </c>
      <c r="AS121" s="7" t="n">
        <f aca="false">IF(AND(AP121="Y",ISNUMBER(AO121)),AO121,0)</f>
        <v>20.1682862189872</v>
      </c>
      <c r="AT121" s="7" t="n">
        <f aca="false">IF(AS121&gt;0,AS121*AG121,0)</f>
        <v>8.59564166385836</v>
      </c>
      <c r="AU121" s="7" t="n">
        <f aca="false">IF(AS121&gt;0,AS121*AG121^2,0)</f>
        <v>3.66342756202554</v>
      </c>
      <c r="AV121" s="9" t="n">
        <f aca="false">IF(AS121&gt;0,AS121^2,0)</f>
        <v>406.75976901099</v>
      </c>
      <c r="AW121" s="7" t="n">
        <f aca="false">IF(AS121&gt;0,AG121,0)</f>
        <v>0.426195938044854</v>
      </c>
      <c r="AX121" s="7" t="n">
        <f aca="false">IF(AS121&gt;0,AH121,1)</f>
        <v>0.0495827949455894</v>
      </c>
    </row>
    <row r="122" customFormat="false" ht="15" hidden="false" customHeight="false" outlineLevel="0" collapsed="false">
      <c r="A122" s="5" t="s">
        <v>504</v>
      </c>
      <c r="B122" s="5" t="s">
        <v>488</v>
      </c>
      <c r="C122" s="5" t="s">
        <v>489</v>
      </c>
      <c r="D122" s="5" t="n">
        <v>2024</v>
      </c>
      <c r="E122" s="5" t="s">
        <v>221</v>
      </c>
      <c r="F122" s="5" t="s">
        <v>490</v>
      </c>
      <c r="G122" s="5" t="s">
        <v>491</v>
      </c>
      <c r="H122" s="5" t="s">
        <v>131</v>
      </c>
      <c r="I122" s="5" t="s">
        <v>492</v>
      </c>
      <c r="J122" s="5" t="s">
        <v>189</v>
      </c>
      <c r="K122" s="5" t="s">
        <v>493</v>
      </c>
      <c r="L122" s="5" t="s">
        <v>494</v>
      </c>
      <c r="M122" s="5" t="s">
        <v>495</v>
      </c>
      <c r="N122" s="5" t="s">
        <v>408</v>
      </c>
      <c r="O122" s="5" t="s">
        <v>190</v>
      </c>
      <c r="P122" s="11" t="s">
        <v>113</v>
      </c>
      <c r="Q122" s="11" t="s">
        <v>425</v>
      </c>
      <c r="R122" s="5"/>
      <c r="S122" s="11" t="s">
        <v>505</v>
      </c>
      <c r="T122" s="5" t="s">
        <v>506</v>
      </c>
      <c r="U122" s="11" t="s">
        <v>86</v>
      </c>
      <c r="V122" s="5" t="n">
        <v>22</v>
      </c>
      <c r="W122" s="5"/>
      <c r="X122" s="5"/>
      <c r="Y122" s="5" t="n">
        <v>22</v>
      </c>
      <c r="Z122" s="5"/>
      <c r="AA122" s="5"/>
      <c r="AB122" s="5" t="s">
        <v>498</v>
      </c>
      <c r="AC122" s="5" t="n">
        <v>1.745</v>
      </c>
      <c r="AD122" s="5" t="n">
        <v>1</v>
      </c>
      <c r="AE122" s="7" t="n">
        <f aca="false">IFERROR(IF(AB122="MSD",IF(COUNT(V122,W122,X122,Y122,Z122,AA122)&lt;6,"",(W122-Z122)/SQRT(((V122-1)*X122^2+(Y122-1)*AA122^2)/(V122+Y122-2))*AD122),IF(AB122="t",AC122*SQRT(1/V122+1/Y122)*AD122,IF(AB122="F",SQRT(AC122)*SQRT(1/V122+1/Y122)*AD122,IF(AB122="z",2*(AC122/SQRT(V122+Y122))/SQRT(1-(AC122/SQRT(V122+Y122))^2)*AD122,IF(AB122="t_paired",AC122/SQRT(V122)*AD122,""))))),"")</f>
        <v>0.37203525004054</v>
      </c>
      <c r="AF122" s="7" t="n">
        <f aca="false">IF(AE122="","",IF(AB122="t_paired",1-3/(4*(V122-1)-1),1-3/(4*(V122+Y122)-9)))</f>
        <v>0.963855421686747</v>
      </c>
      <c r="AG122" s="7" t="n">
        <f aca="false">IF(AE122="","",AE122*AF122)</f>
        <v>0.358588192810159</v>
      </c>
      <c r="AH122" s="7" t="n">
        <f aca="false">IF(AG122="","",IF(AB122="t_paired",1/V122+AG122^2/(2*V122),(V122+Y122)/(V122*Y122)+AG122^2/(2*(V122+Y122))))</f>
        <v>0.0483769430005195</v>
      </c>
      <c r="AI122" s="7" t="n">
        <f aca="false">IF(AH122="","",SQRT(AH122))</f>
        <v>0.219947591486062</v>
      </c>
      <c r="AJ122" s="7" t="n">
        <f aca="false">IF(AI122="","",AG122-1.96*AI122)</f>
        <v>-0.0725090865025215</v>
      </c>
      <c r="AK122" s="7" t="n">
        <f aca="false">IF(AI122="","",AG122+1.96*AI122)</f>
        <v>0.78968547212284</v>
      </c>
      <c r="AL122" s="7" t="n">
        <f aca="false">IF(AI122="","",AG122/AI122)</f>
        <v>1.63033471013427</v>
      </c>
      <c r="AM122" s="8" t="n">
        <f aca="false">IF(AL122="","",2*(1-NORMSDIST(ABS(AL122))))</f>
        <v>0.103030775401661</v>
      </c>
      <c r="AN122" s="9" t="n">
        <f aca="false">IF(COUNT(V122)=0,"",IF(AB122="t_paired",V122,V122+N(Y122)))</f>
        <v>22</v>
      </c>
      <c r="AO122" s="7" t="n">
        <f aca="false">IF(AH122="","",1/AH122)</f>
        <v>20.6710043664657</v>
      </c>
      <c r="AP122" s="5" t="s">
        <v>88</v>
      </c>
      <c r="AQ122" s="5" t="s">
        <v>290</v>
      </c>
      <c r="AR122" s="5" t="s">
        <v>507</v>
      </c>
      <c r="AS122" s="7" t="n">
        <f aca="false">IF(AND(AP122="Y",ISNUMBER(AO122)),AO122,0)</f>
        <v>20.6710043664657</v>
      </c>
      <c r="AT122" s="7" t="n">
        <f aca="false">IF(AS122&gt;0,AS122*AG122,0)</f>
        <v>7.41237809934185</v>
      </c>
      <c r="AU122" s="7" t="n">
        <f aca="false">IF(AS122&gt;0,AS122*AG122^2,0)</f>
        <v>2.6579912670686</v>
      </c>
      <c r="AV122" s="9" t="n">
        <f aca="false">IF(AS122&gt;0,AS122^2,0)</f>
        <v>427.290421518444</v>
      </c>
      <c r="AW122" s="7" t="n">
        <f aca="false">IF(AS122&gt;0,AG122,0)</f>
        <v>0.358588192810159</v>
      </c>
      <c r="AX122" s="7" t="n">
        <f aca="false">IF(AS122&gt;0,AH122,1)</f>
        <v>0.0483769430005195</v>
      </c>
    </row>
    <row r="123" customFormat="false" ht="15" hidden="false" customHeight="false" outlineLevel="0" collapsed="false">
      <c r="A123" s="5" t="s">
        <v>508</v>
      </c>
      <c r="B123" s="5" t="s">
        <v>488</v>
      </c>
      <c r="C123" s="5" t="s">
        <v>489</v>
      </c>
      <c r="D123" s="5" t="n">
        <v>2024</v>
      </c>
      <c r="E123" s="5" t="s">
        <v>221</v>
      </c>
      <c r="F123" s="5" t="s">
        <v>490</v>
      </c>
      <c r="G123" s="5" t="s">
        <v>491</v>
      </c>
      <c r="H123" s="5" t="s">
        <v>131</v>
      </c>
      <c r="I123" s="5" t="s">
        <v>492</v>
      </c>
      <c r="J123" s="5" t="s">
        <v>189</v>
      </c>
      <c r="K123" s="5" t="s">
        <v>493</v>
      </c>
      <c r="L123" s="5" t="s">
        <v>494</v>
      </c>
      <c r="M123" s="5" t="s">
        <v>495</v>
      </c>
      <c r="N123" s="5" t="s">
        <v>408</v>
      </c>
      <c r="O123" s="5" t="s">
        <v>190</v>
      </c>
      <c r="P123" s="11" t="s">
        <v>113</v>
      </c>
      <c r="Q123" s="11" t="s">
        <v>315</v>
      </c>
      <c r="R123" s="5"/>
      <c r="S123" s="11" t="s">
        <v>509</v>
      </c>
      <c r="T123" s="5" t="s">
        <v>506</v>
      </c>
      <c r="U123" s="11" t="s">
        <v>86</v>
      </c>
      <c r="V123" s="5" t="n">
        <v>22</v>
      </c>
      <c r="W123" s="5"/>
      <c r="X123" s="5"/>
      <c r="Y123" s="5" t="n">
        <v>22</v>
      </c>
      <c r="Z123" s="5"/>
      <c r="AA123" s="5"/>
      <c r="AB123" s="5" t="s">
        <v>498</v>
      </c>
      <c r="AC123" s="5" t="n">
        <v>3.72</v>
      </c>
      <c r="AD123" s="5" t="n">
        <v>1</v>
      </c>
      <c r="AE123" s="7" t="n">
        <f aca="false">IFERROR(IF(AB123="MSD",IF(COUNT(V123,W123,X123,Y123,Z123,AA123)&lt;6,"",(W123-Z123)/SQRT(((V123-1)*X123^2+(Y123-1)*AA123^2)/(V123+Y123-2))*AD123),IF(AB123="t",AC123*SQRT(1/V123+1/Y123)*AD123,IF(AB123="F",SQRT(AC123)*SQRT(1/V123+1/Y123)*AD123,IF(AB123="z",2*(AC123/SQRT(V123+Y123))/SQRT(1-(AC123/SQRT(V123+Y123))^2)*AD123,IF(AB123="t_paired",AC123/SQRT(V123)*AD123,""))))),"")</f>
        <v>0.793106664842871</v>
      </c>
      <c r="AF123" s="7" t="n">
        <f aca="false">IF(AE123="","",IF(AB123="t_paired",1-3/(4*(V123-1)-1),1-3/(4*(V123+Y123)-9)))</f>
        <v>0.963855421686747</v>
      </c>
      <c r="AG123" s="7" t="n">
        <f aca="false">IF(AE123="","",AE123*AF123)</f>
        <v>0.764440158884695</v>
      </c>
      <c r="AH123" s="7" t="n">
        <f aca="false">IF(AG123="","",IF(AB123="t_paired",1/V123+AG123^2/(2*V123),(V123+Y123)/(V123*Y123)+AG123^2/(2*(V123+Y123))))</f>
        <v>0.058735653557174</v>
      </c>
      <c r="AI123" s="7" t="n">
        <f aca="false">IF(AH123="","",SQRT(AH123))</f>
        <v>0.242354396612015</v>
      </c>
      <c r="AJ123" s="7" t="n">
        <f aca="false">IF(AI123="","",AG123-1.96*AI123)</f>
        <v>0.289425541525145</v>
      </c>
      <c r="AK123" s="7" t="n">
        <f aca="false">IF(AI123="","",AG123+1.96*AI123)</f>
        <v>1.23945477624424</v>
      </c>
      <c r="AL123" s="7" t="n">
        <f aca="false">IF(AI123="","",AG123/AI123)</f>
        <v>3.15422443153976</v>
      </c>
      <c r="AM123" s="8" t="n">
        <f aca="false">IF(AL123="","",2*(1-NORMSDIST(ABS(AL123))))</f>
        <v>0.00160925277138202</v>
      </c>
      <c r="AN123" s="9" t="n">
        <f aca="false">IF(COUNT(V123)=0,"",IF(AB123="t_paired",V123,V123+N(Y123)))</f>
        <v>22</v>
      </c>
      <c r="AO123" s="7" t="n">
        <f aca="false">IF(AH123="","",1/AH123)</f>
        <v>17.0254341177389</v>
      </c>
      <c r="AP123" s="5" t="s">
        <v>88</v>
      </c>
      <c r="AQ123" s="5" t="s">
        <v>290</v>
      </c>
      <c r="AR123" s="5" t="s">
        <v>510</v>
      </c>
      <c r="AS123" s="7" t="n">
        <f aca="false">IF(AND(AP123="Y",ISNUMBER(AO123)),AO123,0)</f>
        <v>17.0254341177389</v>
      </c>
      <c r="AT123" s="7" t="n">
        <f aca="false">IF(AS123&gt;0,AS123*AG123,0)</f>
        <v>13.0149255620452</v>
      </c>
      <c r="AU123" s="7" t="n">
        <f aca="false">IF(AS123&gt;0,AS123*AG123^2,0)</f>
        <v>9.9491317645223</v>
      </c>
      <c r="AV123" s="9" t="n">
        <f aca="false">IF(AS123&gt;0,AS123^2,0)</f>
        <v>289.865406897466</v>
      </c>
      <c r="AW123" s="7" t="n">
        <f aca="false">IF(AS123&gt;0,AG123,0)</f>
        <v>0.764440158884695</v>
      </c>
      <c r="AX123" s="7" t="n">
        <f aca="false">IF(AS123&gt;0,AH123,1)</f>
        <v>0.058735653557174</v>
      </c>
    </row>
    <row r="124" customFormat="false" ht="15" hidden="false" customHeight="false" outlineLevel="0" collapsed="false">
      <c r="A124" s="5" t="s">
        <v>511</v>
      </c>
      <c r="B124" s="5" t="s">
        <v>512</v>
      </c>
      <c r="C124" s="5" t="s">
        <v>513</v>
      </c>
      <c r="D124" s="5" t="n">
        <v>2025</v>
      </c>
      <c r="E124" s="5" t="s">
        <v>514</v>
      </c>
      <c r="F124" s="5" t="s">
        <v>173</v>
      </c>
      <c r="G124" s="5" t="s">
        <v>160</v>
      </c>
      <c r="H124" s="5" t="s">
        <v>174</v>
      </c>
      <c r="I124" s="5" t="s">
        <v>477</v>
      </c>
      <c r="J124" s="5" t="s">
        <v>162</v>
      </c>
      <c r="K124" s="5" t="s">
        <v>163</v>
      </c>
      <c r="L124" s="5" t="s">
        <v>164</v>
      </c>
      <c r="M124" s="5" t="n">
        <v>13</v>
      </c>
      <c r="N124" s="5"/>
      <c r="O124" s="5" t="s">
        <v>261</v>
      </c>
      <c r="P124" s="10" t="s">
        <v>82</v>
      </c>
      <c r="Q124" s="10" t="s">
        <v>103</v>
      </c>
      <c r="R124" s="5"/>
      <c r="S124" s="10" t="s">
        <v>212</v>
      </c>
      <c r="T124" s="5" t="s">
        <v>354</v>
      </c>
      <c r="U124" s="10" t="s">
        <v>98</v>
      </c>
      <c r="V124" s="5" t="n">
        <v>60</v>
      </c>
      <c r="W124" s="5" t="n">
        <v>55.2</v>
      </c>
      <c r="X124" s="5" t="n">
        <v>1.5</v>
      </c>
      <c r="Y124" s="5" t="n">
        <v>60</v>
      </c>
      <c r="Z124" s="5" t="n">
        <v>82.3</v>
      </c>
      <c r="AA124" s="5" t="n">
        <v>8.2</v>
      </c>
      <c r="AB124" s="5" t="s">
        <v>99</v>
      </c>
      <c r="AC124" s="5"/>
      <c r="AD124" s="5" t="n">
        <v>1</v>
      </c>
      <c r="AE124" s="7" t="n">
        <f aca="false">IFERROR(IF(AB124="MSD",IF(COUNT(V124,W124,X124,Y124,Z124,AA124)&lt;6,"",(W124-Z124)/SQRT(((V124-1)*X124^2+(Y124-1)*AA124^2)/(V124+Y124-2))*AD124),IF(AB124="t",AC124*SQRT(1/V124+1/Y124)*AD124,IF(AB124="F",SQRT(AC124)*SQRT(1/V124+1/Y124)*AD124,IF(AB124="z",2*(AC124/SQRT(V124+Y124))/SQRT(1-(AC124/SQRT(V124+Y124))^2)*AD124,IF(AB124="t_paired",AC124/SQRT(V124)*AD124,""))))),"")</f>
        <v>-4.59751476722209</v>
      </c>
      <c r="AF124" s="7" t="n">
        <f aca="false">IF(AE124="","",IF(AB124="t_paired",1-3/(4*(V124-1)-1),1-3/(4*(V124+Y124)-9)))</f>
        <v>0.993630573248408</v>
      </c>
      <c r="AG124" s="7" t="n">
        <f aca="false">IF(AE124="","",AE124*AF124)</f>
        <v>-4.5682312336729</v>
      </c>
      <c r="AH124" s="7" t="n">
        <f aca="false">IF(AG124="","",IF(AB124="t_paired",1/V124+AG124^2/(2*V124),(V124+Y124)/(V124*Y124)+AG124^2/(2*(V124+Y124))))</f>
        <v>0.120286402517936</v>
      </c>
      <c r="AI124" s="7" t="n">
        <f aca="false">IF(AH124="","",SQRT(AH124))</f>
        <v>0.34682330157868</v>
      </c>
      <c r="AJ124" s="7" t="n">
        <f aca="false">IF(AI124="","",AG124-1.96*AI124)</f>
        <v>-5.24800490476711</v>
      </c>
      <c r="AK124" s="7" t="n">
        <f aca="false">IF(AI124="","",AG124+1.96*AI124)</f>
        <v>-3.88845756257869</v>
      </c>
      <c r="AL124" s="7" t="n">
        <f aca="false">IF(AI124="","",AG124/AI124)</f>
        <v>-13.1716387361492</v>
      </c>
      <c r="AM124" s="8" t="n">
        <f aca="false">IF(AL124="","",2*(1-NORMSDIST(ABS(AL124))))</f>
        <v>0</v>
      </c>
      <c r="AN124" s="9" t="n">
        <f aca="false">IF(COUNT(V124)=0,"",IF(AB124="t_paired",V124,V124+N(Y124)))</f>
        <v>120</v>
      </c>
      <c r="AO124" s="7" t="n">
        <f aca="false">IF(AH124="","",1/AH124)</f>
        <v>8.3134916255467</v>
      </c>
      <c r="AP124" s="5" t="s">
        <v>100</v>
      </c>
      <c r="AQ124" s="5" t="s">
        <v>178</v>
      </c>
      <c r="AR124" s="5" t="s">
        <v>214</v>
      </c>
      <c r="AS124" s="9" t="n">
        <f aca="false">IF(AND(AP124="Y",ISNUMBER(AO124)),AO124,0)</f>
        <v>0</v>
      </c>
      <c r="AT124" s="7" t="n">
        <f aca="false">IF(AS124&gt;0,AS124*AG124,0)</f>
        <v>0</v>
      </c>
      <c r="AU124" s="7" t="n">
        <f aca="false">IF(AS124&gt;0,AS124*AG124^2,0)</f>
        <v>0</v>
      </c>
      <c r="AV124" s="9" t="n">
        <f aca="false">IF(AS124&gt;0,AS124^2,0)</f>
        <v>0</v>
      </c>
      <c r="AW124" s="7" t="n">
        <f aca="false">IF(AS124&gt;0,AG124,0)</f>
        <v>0</v>
      </c>
      <c r="AX124" s="7" t="n">
        <f aca="false">IF(AS124&gt;0,AH124,1)</f>
        <v>1</v>
      </c>
    </row>
    <row r="125" customFormat="false" ht="15" hidden="false" customHeight="false" outlineLevel="0" collapsed="false">
      <c r="A125" s="5" t="s">
        <v>515</v>
      </c>
      <c r="B125" s="5" t="s">
        <v>512</v>
      </c>
      <c r="C125" s="5" t="s">
        <v>513</v>
      </c>
      <c r="D125" s="5" t="n">
        <v>2025</v>
      </c>
      <c r="E125" s="5" t="s">
        <v>514</v>
      </c>
      <c r="F125" s="5" t="s">
        <v>173</v>
      </c>
      <c r="G125" s="5" t="s">
        <v>160</v>
      </c>
      <c r="H125" s="5" t="s">
        <v>174</v>
      </c>
      <c r="I125" s="5" t="s">
        <v>477</v>
      </c>
      <c r="J125" s="5" t="s">
        <v>162</v>
      </c>
      <c r="K125" s="5" t="s">
        <v>163</v>
      </c>
      <c r="L125" s="5" t="s">
        <v>164</v>
      </c>
      <c r="M125" s="5" t="n">
        <v>13</v>
      </c>
      <c r="N125" s="5"/>
      <c r="O125" s="5" t="s">
        <v>261</v>
      </c>
      <c r="P125" s="6" t="s">
        <v>82</v>
      </c>
      <c r="Q125" s="6" t="s">
        <v>103</v>
      </c>
      <c r="R125" s="5"/>
      <c r="S125" s="6" t="s">
        <v>212</v>
      </c>
      <c r="T125" s="5" t="s">
        <v>354</v>
      </c>
      <c r="U125" s="6" t="s">
        <v>86</v>
      </c>
      <c r="V125" s="5" t="n">
        <v>60</v>
      </c>
      <c r="W125" s="5" t="n">
        <v>56</v>
      </c>
      <c r="X125" s="5" t="n">
        <v>8.4</v>
      </c>
      <c r="Y125" s="5" t="n">
        <v>60</v>
      </c>
      <c r="Z125" s="5" t="n">
        <v>70.1</v>
      </c>
      <c r="AA125" s="5" t="n">
        <v>9.5</v>
      </c>
      <c r="AB125" s="5" t="s">
        <v>99</v>
      </c>
      <c r="AC125" s="5"/>
      <c r="AD125" s="5" t="n">
        <v>1</v>
      </c>
      <c r="AE125" s="7" t="n">
        <f aca="false">IFERROR(IF(AB125="MSD",IF(COUNT(V125,W125,X125,Y125,Z125,AA125)&lt;6,"",(W125-Z125)/SQRT(((V125-1)*X125^2+(Y125-1)*AA125^2)/(V125+Y125-2))*AD125),IF(AB125="t",AC125*SQRT(1/V125+1/Y125)*AD125,IF(AB125="F",SQRT(AC125)*SQRT(1/V125+1/Y125)*AD125,IF(AB125="z",2*(AC125/SQRT(V125+Y125))/SQRT(1-(AC125/SQRT(V125+Y125))^2)*AD125,IF(AB125="t_paired",AC125/SQRT(V125)*AD125,""))))),"")</f>
        <v>-1.57245267811511</v>
      </c>
      <c r="AF125" s="7" t="n">
        <f aca="false">IF(AE125="","",IF(AB125="t_paired",1-3/(4*(V125-1)-1),1-3/(4*(V125+Y125)-9)))</f>
        <v>0.993630573248408</v>
      </c>
      <c r="AG125" s="7" t="n">
        <f aca="false">IF(AE125="","",AE125*AF125)</f>
        <v>-1.56243705596151</v>
      </c>
      <c r="AH125" s="7" t="n">
        <f aca="false">IF(AG125="","",IF(AB125="t_paired",1/V125+AG125^2/(2*V125),(V125+Y125)/(V125*Y125)+AG125^2/(2*(V125+Y125))))</f>
        <v>0.0435050398076736</v>
      </c>
      <c r="AI125" s="7" t="n">
        <f aca="false">IF(AH125="","",SQRT(AH125))</f>
        <v>0.208578617810344</v>
      </c>
      <c r="AJ125" s="7" t="n">
        <f aca="false">IF(AI125="","",AG125-1.96*AI125)</f>
        <v>-1.97125114686979</v>
      </c>
      <c r="AK125" s="7" t="n">
        <f aca="false">IF(AI125="","",AG125+1.96*AI125)</f>
        <v>-1.15362296505324</v>
      </c>
      <c r="AL125" s="7" t="n">
        <f aca="false">IF(AI125="","",AG125/AI125)</f>
        <v>-7.49087836693884</v>
      </c>
      <c r="AM125" s="8" t="n">
        <f aca="false">IF(AL125="","",2*(1-NORMSDIST(ABS(AL125))))</f>
        <v>6.83897383169096E-014</v>
      </c>
      <c r="AN125" s="9" t="n">
        <f aca="false">IF(COUNT(V125)=0,"",IF(AB125="t_paired",V125,V125+N(Y125)))</f>
        <v>120</v>
      </c>
      <c r="AO125" s="7" t="n">
        <f aca="false">IF(AH125="","",1/AH125)</f>
        <v>22.985842661466</v>
      </c>
      <c r="AP125" s="5" t="s">
        <v>88</v>
      </c>
      <c r="AQ125" s="5" t="s">
        <v>178</v>
      </c>
      <c r="AR125" s="5" t="s">
        <v>214</v>
      </c>
      <c r="AS125" s="7" t="n">
        <f aca="false">IF(AND(AP125="Y",ISNUMBER(AO125)),AO125,0)</f>
        <v>22.985842661466</v>
      </c>
      <c r="AT125" s="7" t="n">
        <f aca="false">IF(AS125&gt;0,AS125*AG125,0)</f>
        <v>-35.9139323367754</v>
      </c>
      <c r="AU125" s="7" t="n">
        <f aca="false">IF(AS125&gt;0,AS125*AG125^2,0)</f>
        <v>56.1132587082723</v>
      </c>
      <c r="AV125" s="9" t="n">
        <f aca="false">IF(AS125&gt;0,AS125^2,0)</f>
        <v>528.348962857669</v>
      </c>
      <c r="AW125" s="7" t="n">
        <f aca="false">IF(AS125&gt;0,AG125,0)</f>
        <v>-1.56243705596151</v>
      </c>
      <c r="AX125" s="7" t="n">
        <f aca="false">IF(AS125&gt;0,AH125,1)</f>
        <v>0.0435050398076736</v>
      </c>
    </row>
    <row r="126" customFormat="false" ht="15" hidden="false" customHeight="false" outlineLevel="0" collapsed="false">
      <c r="A126" s="5" t="s">
        <v>516</v>
      </c>
      <c r="B126" s="5" t="s">
        <v>517</v>
      </c>
      <c r="C126" s="5" t="s">
        <v>518</v>
      </c>
      <c r="D126" s="5" t="n">
        <v>2025</v>
      </c>
      <c r="E126" s="5" t="s">
        <v>158</v>
      </c>
      <c r="F126" s="5" t="s">
        <v>199</v>
      </c>
      <c r="G126" s="5" t="s">
        <v>160</v>
      </c>
      <c r="H126" s="5" t="s">
        <v>174</v>
      </c>
      <c r="I126" s="5" t="s">
        <v>519</v>
      </c>
      <c r="J126" s="5" t="s">
        <v>162</v>
      </c>
      <c r="K126" s="5" t="s">
        <v>163</v>
      </c>
      <c r="L126" s="5" t="s">
        <v>164</v>
      </c>
      <c r="M126" s="5" t="s">
        <v>520</v>
      </c>
      <c r="N126" s="5" t="n">
        <v>50</v>
      </c>
      <c r="O126" s="5" t="s">
        <v>261</v>
      </c>
      <c r="P126" s="10" t="s">
        <v>82</v>
      </c>
      <c r="Q126" s="10" t="s">
        <v>103</v>
      </c>
      <c r="R126" s="5"/>
      <c r="S126" s="10" t="s">
        <v>521</v>
      </c>
      <c r="T126" s="5" t="s">
        <v>213</v>
      </c>
      <c r="U126" s="10" t="s">
        <v>98</v>
      </c>
      <c r="V126" s="5" t="n">
        <v>43</v>
      </c>
      <c r="W126" s="5" t="n">
        <v>30.76</v>
      </c>
      <c r="X126" s="5" t="n">
        <v>14.74</v>
      </c>
      <c r="Y126" s="5" t="n">
        <v>15</v>
      </c>
      <c r="Z126" s="5" t="n">
        <v>27.21</v>
      </c>
      <c r="AA126" s="5" t="n">
        <v>10.03</v>
      </c>
      <c r="AB126" s="5" t="s">
        <v>99</v>
      </c>
      <c r="AC126" s="5"/>
      <c r="AD126" s="5" t="n">
        <v>1</v>
      </c>
      <c r="AE126" s="7" t="n">
        <f aca="false">IFERROR(IF(AB126="MSD",IF(COUNT(V126,W126,X126,Y126,Z126,AA126)&lt;6,"",(W126-Z126)/SQRT(((V126-1)*X126^2+(Y126-1)*AA126^2)/(V126+Y126-2))*AD126),IF(AB126="t",AC126*SQRT(1/V126+1/Y126)*AD126,IF(AB126="F",SQRT(AC126)*SQRT(1/V126+1/Y126)*AD126,IF(AB126="z",2*(AC126/SQRT(V126+Y126))/SQRT(1-(AC126/SQRT(V126+Y126))^2)*AD126,IF(AB126="t_paired",AC126/SQRT(V126)*AD126,""))))),"")</f>
        <v>0.258840891791902</v>
      </c>
      <c r="AF126" s="7" t="n">
        <f aca="false">IF(AE126="","",IF(AB126="t_paired",1-3/(4*(V126-1)-1),1-3/(4*(V126+Y126)-9)))</f>
        <v>0.986547085201794</v>
      </c>
      <c r="AG126" s="7" t="n">
        <f aca="false">IF(AE126="","",AE126*AF126)</f>
        <v>0.255358727328334</v>
      </c>
      <c r="AH126" s="7" t="n">
        <f aca="false">IF(AG126="","",IF(AB126="t_paired",1/V126+AG126^2/(2*V126),(V126+Y126)/(V126*Y126)+AG126^2/(2*(V126+Y126))))</f>
        <v>0.0904846192375925</v>
      </c>
      <c r="AI126" s="7" t="n">
        <f aca="false">IF(AH126="","",SQRT(AH126))</f>
        <v>0.300806614351468</v>
      </c>
      <c r="AJ126" s="7" t="n">
        <f aca="false">IF(AI126="","",AG126-1.96*AI126)</f>
        <v>-0.334222236800542</v>
      </c>
      <c r="AK126" s="7" t="n">
        <f aca="false">IF(AI126="","",AG126+1.96*AI126)</f>
        <v>0.84493969145721</v>
      </c>
      <c r="AL126" s="7" t="n">
        <f aca="false">IF(AI126="","",AG126/AI126)</f>
        <v>0.848913272332398</v>
      </c>
      <c r="AM126" s="8" t="n">
        <f aca="false">IF(AL126="","",2*(1-NORMSDIST(ABS(AL126))))</f>
        <v>0.395929552995888</v>
      </c>
      <c r="AN126" s="9" t="n">
        <f aca="false">IF(COUNT(V126)=0,"",IF(AB126="t_paired",V126,V126+N(Y126)))</f>
        <v>58</v>
      </c>
      <c r="AO126" s="7" t="n">
        <f aca="false">IF(AH126="","",1/AH126)</f>
        <v>11.0516020117654</v>
      </c>
      <c r="AP126" s="5" t="s">
        <v>100</v>
      </c>
      <c r="AQ126" s="5" t="s">
        <v>167</v>
      </c>
      <c r="AR126" s="5"/>
      <c r="AS126" s="9" t="n">
        <f aca="false">IF(AND(AP126="Y",ISNUMBER(AO126)),AO126,0)</f>
        <v>0</v>
      </c>
      <c r="AT126" s="7" t="n">
        <f aca="false">IF(AS126&gt;0,AS126*AG126,0)</f>
        <v>0</v>
      </c>
      <c r="AU126" s="7" t="n">
        <f aca="false">IF(AS126&gt;0,AS126*AG126^2,0)</f>
        <v>0</v>
      </c>
      <c r="AV126" s="9" t="n">
        <f aca="false">IF(AS126&gt;0,AS126^2,0)</f>
        <v>0</v>
      </c>
      <c r="AW126" s="7" t="n">
        <f aca="false">IF(AS126&gt;0,AG126,0)</f>
        <v>0</v>
      </c>
      <c r="AX126" s="7" t="n">
        <f aca="false">IF(AS126&gt;0,AH126,1)</f>
        <v>1</v>
      </c>
    </row>
    <row r="127" customFormat="false" ht="15" hidden="false" customHeight="false" outlineLevel="0" collapsed="false">
      <c r="A127" s="5" t="s">
        <v>522</v>
      </c>
      <c r="B127" s="5" t="s">
        <v>517</v>
      </c>
      <c r="C127" s="5" t="s">
        <v>518</v>
      </c>
      <c r="D127" s="5" t="n">
        <v>2025</v>
      </c>
      <c r="E127" s="5" t="s">
        <v>158</v>
      </c>
      <c r="F127" s="5" t="s">
        <v>199</v>
      </c>
      <c r="G127" s="5" t="s">
        <v>160</v>
      </c>
      <c r="H127" s="5" t="s">
        <v>174</v>
      </c>
      <c r="I127" s="5" t="s">
        <v>519</v>
      </c>
      <c r="J127" s="5" t="s">
        <v>162</v>
      </c>
      <c r="K127" s="5" t="s">
        <v>163</v>
      </c>
      <c r="L127" s="5" t="s">
        <v>164</v>
      </c>
      <c r="M127" s="5" t="s">
        <v>520</v>
      </c>
      <c r="N127" s="5" t="n">
        <v>50</v>
      </c>
      <c r="O127" s="5" t="s">
        <v>261</v>
      </c>
      <c r="P127" s="6" t="s">
        <v>82</v>
      </c>
      <c r="Q127" s="6" t="s">
        <v>103</v>
      </c>
      <c r="R127" s="5"/>
      <c r="S127" s="6" t="s">
        <v>521</v>
      </c>
      <c r="T127" s="5" t="s">
        <v>213</v>
      </c>
      <c r="U127" s="6" t="s">
        <v>86</v>
      </c>
      <c r="V127" s="5" t="n">
        <v>43</v>
      </c>
      <c r="W127" s="5" t="n">
        <v>36.05</v>
      </c>
      <c r="X127" s="5" t="n">
        <v>16.8</v>
      </c>
      <c r="Y127" s="5" t="n">
        <v>15</v>
      </c>
      <c r="Z127" s="5" t="n">
        <v>38.93</v>
      </c>
      <c r="AA127" s="5" t="n">
        <v>21.57</v>
      </c>
      <c r="AB127" s="5" t="s">
        <v>99</v>
      </c>
      <c r="AC127" s="5"/>
      <c r="AD127" s="5" t="n">
        <v>1</v>
      </c>
      <c r="AE127" s="7" t="n">
        <f aca="false">IFERROR(IF(AB127="MSD",IF(COUNT(V127,W127,X127,Y127,Z127,AA127)&lt;6,"",(W127-Z127)/SQRT(((V127-1)*X127^2+(Y127-1)*AA127^2)/(V127+Y127-2))*AD127),IF(AB127="t",AC127*SQRT(1/V127+1/Y127)*AD127,IF(AB127="F",SQRT(AC127)*SQRT(1/V127+1/Y127)*AD127,IF(AB127="z",2*(AC127/SQRT(V127+Y127))/SQRT(1-(AC127/SQRT(V127+Y127))^2)*AD127,IF(AB127="t_paired",AC127/SQRT(V127)*AD127,""))))),"")</f>
        <v>-0.159022312655946</v>
      </c>
      <c r="AF127" s="7" t="n">
        <f aca="false">IF(AE127="","",IF(AB127="t_paired",1-3/(4*(V127-1)-1),1-3/(4*(V127+Y127)-9)))</f>
        <v>0.986547085201794</v>
      </c>
      <c r="AG127" s="7" t="n">
        <f aca="false">IF(AE127="","",AE127*AF127)</f>
        <v>-0.156882999032772</v>
      </c>
      <c r="AH127" s="7" t="n">
        <f aca="false">IF(AG127="","",IF(AB127="t_paired",1/V127+AG127^2/(2*V127),(V127+Y127)/(V127*Y127)+AG127^2/(2*(V127+Y127))))</f>
        <v>0.0901346554079612</v>
      </c>
      <c r="AI127" s="7" t="n">
        <f aca="false">IF(AH127="","",SQRT(AH127))</f>
        <v>0.300224341797865</v>
      </c>
      <c r="AJ127" s="7" t="n">
        <f aca="false">IF(AI127="","",AG127-1.96*AI127)</f>
        <v>-0.745322708956587</v>
      </c>
      <c r="AK127" s="7" t="n">
        <f aca="false">IF(AI127="","",AG127+1.96*AI127)</f>
        <v>0.431556710891043</v>
      </c>
      <c r="AL127" s="7" t="n">
        <f aca="false">IF(AI127="","",AG127/AI127)</f>
        <v>-0.522552562171652</v>
      </c>
      <c r="AM127" s="8" t="n">
        <f aca="false">IF(AL127="","",2*(1-NORMSDIST(ABS(AL127))))</f>
        <v>0.601285659618292</v>
      </c>
      <c r="AN127" s="9" t="n">
        <f aca="false">IF(COUNT(V127)=0,"",IF(AB127="t_paired",V127,V127+N(Y127)))</f>
        <v>58</v>
      </c>
      <c r="AO127" s="7" t="n">
        <f aca="false">IF(AH127="","",1/AH127)</f>
        <v>11.0945118220497</v>
      </c>
      <c r="AP127" s="5" t="s">
        <v>88</v>
      </c>
      <c r="AQ127" s="5" t="s">
        <v>167</v>
      </c>
      <c r="AR127" s="5"/>
      <c r="AS127" s="7" t="n">
        <f aca="false">IF(AND(AP127="Y",ISNUMBER(AO127)),AO127,0)</f>
        <v>11.0945118220497</v>
      </c>
      <c r="AT127" s="7" t="n">
        <f aca="false">IF(AS127&gt;0,AS127*AG127,0)</f>
        <v>-1.7405402874477</v>
      </c>
      <c r="AU127" s="7" t="n">
        <f aca="false">IF(AS127&gt;0,AS127*AG127^2,0)</f>
        <v>0.273061180232158</v>
      </c>
      <c r="AV127" s="9" t="n">
        <f aca="false">IF(AS127&gt;0,AS127^2,0)</f>
        <v>123.0881925696</v>
      </c>
      <c r="AW127" s="7" t="n">
        <f aca="false">IF(AS127&gt;0,AG127,0)</f>
        <v>-0.156882999032772</v>
      </c>
      <c r="AX127" s="7" t="n">
        <f aca="false">IF(AS127&gt;0,AH127,1)</f>
        <v>0.0901346554079612</v>
      </c>
    </row>
    <row r="128" customFormat="false" ht="15" hidden="false" customHeight="false" outlineLevel="0" collapsed="false">
      <c r="A128" s="5" t="s">
        <v>523</v>
      </c>
      <c r="B128" s="5" t="s">
        <v>524</v>
      </c>
      <c r="C128" s="5" t="s">
        <v>525</v>
      </c>
      <c r="D128" s="5" t="n">
        <v>2026</v>
      </c>
      <c r="E128" s="5" t="s">
        <v>158</v>
      </c>
      <c r="F128" s="5" t="s">
        <v>173</v>
      </c>
      <c r="G128" s="5" t="s">
        <v>476</v>
      </c>
      <c r="H128" s="5" t="s">
        <v>131</v>
      </c>
      <c r="I128" s="5" t="s">
        <v>188</v>
      </c>
      <c r="J128" s="5" t="s">
        <v>76</v>
      </c>
      <c r="K128" s="5" t="s">
        <v>163</v>
      </c>
      <c r="L128" s="5" t="s">
        <v>164</v>
      </c>
      <c r="M128" s="5"/>
      <c r="N128" s="5"/>
      <c r="O128" s="5" t="s">
        <v>81</v>
      </c>
      <c r="P128" s="10" t="s">
        <v>113</v>
      </c>
      <c r="Q128" s="10" t="s">
        <v>114</v>
      </c>
      <c r="R128" s="5" t="s">
        <v>115</v>
      </c>
      <c r="S128" s="10" t="s">
        <v>526</v>
      </c>
      <c r="T128" s="5"/>
      <c r="U128" s="10" t="s">
        <v>98</v>
      </c>
      <c r="V128" s="5" t="n">
        <v>110</v>
      </c>
      <c r="W128" s="5" t="n">
        <v>3.43</v>
      </c>
      <c r="X128" s="5" t="n">
        <v>1.86</v>
      </c>
      <c r="Y128" s="5" t="n">
        <v>113</v>
      </c>
      <c r="Z128" s="5" t="n">
        <v>3.94</v>
      </c>
      <c r="AA128" s="5" t="n">
        <v>1.64</v>
      </c>
      <c r="AB128" s="5" t="s">
        <v>99</v>
      </c>
      <c r="AC128" s="5"/>
      <c r="AD128" s="5" t="n">
        <v>1</v>
      </c>
      <c r="AE128" s="7" t="n">
        <f aca="false">IFERROR(IF(AB128="MSD",IF(COUNT(V128,W128,X128,Y128,Z128,AA128)&lt;6,"",(W128-Z128)/SQRT(((V128-1)*X128^2+(Y128-1)*AA128^2)/(V128+Y128-2))*AD128),IF(AB128="t",AC128*SQRT(1/V128+1/Y128)*AD128,IF(AB128="F",SQRT(AC128)*SQRT(1/V128+1/Y128)*AD128,IF(AB128="z",2*(AC128/SQRT(V128+Y128))/SQRT(1-(AC128/SQRT(V128+Y128))^2)*AD128,IF(AB128="t_paired",AC128/SQRT(V128)*AD128,""))))),"")</f>
        <v>-0.291102066457619</v>
      </c>
      <c r="AF128" s="7" t="n">
        <f aca="false">IF(AE128="","",IF(AB128="t_paired",1-3/(4*(V128-1)-1),1-3/(4*(V128+Y128)-9)))</f>
        <v>0.996602491506229</v>
      </c>
      <c r="AG128" s="7" t="n">
        <f aca="false">IF(AE128="","",AE128*AF128)</f>
        <v>-0.290113044714275</v>
      </c>
      <c r="AH128" s="7" t="n">
        <f aca="false">IF(AG128="","",IF(AB128="t_paired",1/V128+AG128^2/(2*V128),(V128+Y128)/(V128*Y128)+AG128^2/(2*(V128+Y128))))</f>
        <v>0.0181291786729285</v>
      </c>
      <c r="AI128" s="7" t="n">
        <f aca="false">IF(AH128="","",SQRT(AH128))</f>
        <v>0.134644638485639</v>
      </c>
      <c r="AJ128" s="7" t="n">
        <f aca="false">IF(AI128="","",AG128-1.96*AI128)</f>
        <v>-0.554016536146127</v>
      </c>
      <c r="AK128" s="7" t="n">
        <f aca="false">IF(AI128="","",AG128+1.96*AI128)</f>
        <v>-0.0262095532824218</v>
      </c>
      <c r="AL128" s="7" t="n">
        <f aca="false">IF(AI128="","",AG128/AI128)</f>
        <v>-2.15465723683619</v>
      </c>
      <c r="AM128" s="8" t="n">
        <f aca="false">IF(AL128="","",2*(1-NORMSDIST(ABS(AL128))))</f>
        <v>0.031188666486869</v>
      </c>
      <c r="AN128" s="9" t="n">
        <f aca="false">IF(COUNT(V128)=0,"",IF(AB128="t_paired",V128,V128+N(Y128)))</f>
        <v>223</v>
      </c>
      <c r="AO128" s="7" t="n">
        <f aca="false">IF(AH128="","",1/AH128)</f>
        <v>55.1596968644397</v>
      </c>
      <c r="AP128" s="5" t="s">
        <v>100</v>
      </c>
      <c r="AQ128" s="5" t="s">
        <v>227</v>
      </c>
      <c r="AR128" s="5"/>
      <c r="AS128" s="9" t="n">
        <f aca="false">IF(AND(AP128="Y",ISNUMBER(AO128)),AO128,0)</f>
        <v>0</v>
      </c>
      <c r="AT128" s="7" t="n">
        <f aca="false">IF(AS128&gt;0,AS128*AG128,0)</f>
        <v>0</v>
      </c>
      <c r="AU128" s="7" t="n">
        <f aca="false">IF(AS128&gt;0,AS128*AG128^2,0)</f>
        <v>0</v>
      </c>
      <c r="AV128" s="9" t="n">
        <f aca="false">IF(AS128&gt;0,AS128^2,0)</f>
        <v>0</v>
      </c>
      <c r="AW128" s="7" t="n">
        <f aca="false">IF(AS128&gt;0,AG128,0)</f>
        <v>0</v>
      </c>
      <c r="AX128" s="7" t="n">
        <f aca="false">IF(AS128&gt;0,AH128,1)</f>
        <v>1</v>
      </c>
    </row>
    <row r="129" customFormat="false" ht="15" hidden="false" customHeight="false" outlineLevel="0" collapsed="false">
      <c r="A129" s="5" t="s">
        <v>527</v>
      </c>
      <c r="B129" s="5" t="s">
        <v>524</v>
      </c>
      <c r="C129" s="5" t="s">
        <v>525</v>
      </c>
      <c r="D129" s="5" t="n">
        <v>2026</v>
      </c>
      <c r="E129" s="5" t="s">
        <v>158</v>
      </c>
      <c r="F129" s="5" t="s">
        <v>173</v>
      </c>
      <c r="G129" s="5" t="s">
        <v>476</v>
      </c>
      <c r="H129" s="5" t="s">
        <v>131</v>
      </c>
      <c r="I129" s="5" t="s">
        <v>188</v>
      </c>
      <c r="J129" s="5" t="s">
        <v>76</v>
      </c>
      <c r="K129" s="5" t="s">
        <v>163</v>
      </c>
      <c r="L129" s="5" t="s">
        <v>164</v>
      </c>
      <c r="M129" s="5"/>
      <c r="N129" s="5"/>
      <c r="O129" s="5" t="s">
        <v>81</v>
      </c>
      <c r="P129" s="11" t="s">
        <v>113</v>
      </c>
      <c r="Q129" s="11" t="s">
        <v>114</v>
      </c>
      <c r="R129" s="5" t="s">
        <v>115</v>
      </c>
      <c r="S129" s="11" t="s">
        <v>526</v>
      </c>
      <c r="T129" s="5"/>
      <c r="U129" s="11" t="s">
        <v>86</v>
      </c>
      <c r="V129" s="5" t="n">
        <v>110</v>
      </c>
      <c r="W129" s="5" t="n">
        <v>4.1</v>
      </c>
      <c r="X129" s="5" t="n">
        <v>1.78</v>
      </c>
      <c r="Y129" s="5" t="n">
        <v>113</v>
      </c>
      <c r="Z129" s="5" t="n">
        <v>3.95</v>
      </c>
      <c r="AA129" s="5" t="n">
        <v>1.22</v>
      </c>
      <c r="AB129" s="5" t="s">
        <v>99</v>
      </c>
      <c r="AC129" s="5"/>
      <c r="AD129" s="5" t="n">
        <v>1</v>
      </c>
      <c r="AE129" s="7" t="n">
        <f aca="false">IFERROR(IF(AB129="MSD",IF(COUNT(V129,W129,X129,Y129,Z129,AA129)&lt;6,"",(W129-Z129)/SQRT(((V129-1)*X129^2+(Y129-1)*AA129^2)/(V129+Y129-2))*AD129),IF(AB129="t",AC129*SQRT(1/V129+1/Y129)*AD129,IF(AB129="F",SQRT(AC129)*SQRT(1/V129+1/Y129)*AD129,IF(AB129="z",2*(AC129/SQRT(V129+Y129))/SQRT(1-(AC129/SQRT(V129+Y129))^2)*AD129,IF(AB129="t_paired",AC129/SQRT(V129)*AD129,""))))),"")</f>
        <v>0.0985436164969692</v>
      </c>
      <c r="AF129" s="7" t="n">
        <f aca="false">IF(AE129="","",IF(AB129="t_paired",1-3/(4*(V129-1)-1),1-3/(4*(V129+Y129)-9)))</f>
        <v>0.996602491506229</v>
      </c>
      <c r="AG129" s="7" t="n">
        <f aca="false">IF(AE129="","",AE129*AF129)</f>
        <v>0.0982088137229139</v>
      </c>
      <c r="AH129" s="7" t="n">
        <f aca="false">IF(AG129="","",IF(AB129="t_paired",1/V129+AG129^2/(2*V129),(V129+Y129)/(V129*Y129)+AG129^2/(2*(V129+Y129))))</f>
        <v>0.0179620921087569</v>
      </c>
      <c r="AI129" s="7" t="n">
        <f aca="false">IF(AH129="","",SQRT(AH129))</f>
        <v>0.134022729821314</v>
      </c>
      <c r="AJ129" s="7" t="n">
        <f aca="false">IF(AI129="","",AG129-1.96*AI129)</f>
        <v>-0.164475736726861</v>
      </c>
      <c r="AK129" s="7" t="n">
        <f aca="false">IF(AI129="","",AG129+1.96*AI129)</f>
        <v>0.360893364172689</v>
      </c>
      <c r="AL129" s="7" t="n">
        <f aca="false">IF(AI129="","",AG129/AI129)</f>
        <v>0.7327772972081</v>
      </c>
      <c r="AM129" s="8" t="n">
        <f aca="false">IF(AL129="","",2*(1-NORMSDIST(ABS(AL129))))</f>
        <v>0.46369427023009</v>
      </c>
      <c r="AN129" s="9" t="n">
        <f aca="false">IF(COUNT(V129)=0,"",IF(AB129="t_paired",V129,V129+N(Y129)))</f>
        <v>223</v>
      </c>
      <c r="AO129" s="7" t="n">
        <f aca="false">IF(AH129="","",1/AH129)</f>
        <v>55.6728021404856</v>
      </c>
      <c r="AP129" s="5" t="s">
        <v>88</v>
      </c>
      <c r="AQ129" s="5" t="s">
        <v>227</v>
      </c>
      <c r="AR129" s="5"/>
      <c r="AS129" s="7" t="n">
        <f aca="false">IF(AND(AP129="Y",ISNUMBER(AO129)),AO129,0)</f>
        <v>55.6728021404856</v>
      </c>
      <c r="AT129" s="7" t="n">
        <f aca="false">IF(AS129&gt;0,AS129*AG129,0)</f>
        <v>5.46755985484759</v>
      </c>
      <c r="AU129" s="7" t="n">
        <f aca="false">IF(AS129&gt;0,AS129*AG129^2,0)</f>
        <v>0.536962567303609</v>
      </c>
      <c r="AV129" s="9" t="n">
        <f aca="false">IF(AS129&gt;0,AS129^2,0)</f>
        <v>3099.46089817366</v>
      </c>
      <c r="AW129" s="7" t="n">
        <f aca="false">IF(AS129&gt;0,AG129,0)</f>
        <v>0.0982088137229139</v>
      </c>
      <c r="AX129" s="7" t="n">
        <f aca="false">IF(AS129&gt;0,AH129,1)</f>
        <v>0.0179620921087569</v>
      </c>
    </row>
    <row r="130" customFormat="false" ht="15" hidden="false" customHeight="false" outlineLevel="0" collapsed="false">
      <c r="A130" s="5" t="s">
        <v>528</v>
      </c>
      <c r="B130" s="5" t="s">
        <v>524</v>
      </c>
      <c r="C130" s="5" t="s">
        <v>525</v>
      </c>
      <c r="D130" s="5" t="n">
        <v>2026</v>
      </c>
      <c r="E130" s="5" t="s">
        <v>158</v>
      </c>
      <c r="F130" s="5" t="s">
        <v>173</v>
      </c>
      <c r="G130" s="5" t="s">
        <v>476</v>
      </c>
      <c r="H130" s="5" t="s">
        <v>131</v>
      </c>
      <c r="I130" s="5" t="s">
        <v>188</v>
      </c>
      <c r="J130" s="5" t="s">
        <v>76</v>
      </c>
      <c r="K130" s="5" t="s">
        <v>163</v>
      </c>
      <c r="L130" s="5" t="s">
        <v>164</v>
      </c>
      <c r="M130" s="5"/>
      <c r="N130" s="5"/>
      <c r="O130" s="5" t="s">
        <v>81</v>
      </c>
      <c r="P130" s="10" t="s">
        <v>113</v>
      </c>
      <c r="Q130" s="10" t="s">
        <v>114</v>
      </c>
      <c r="R130" s="5" t="s">
        <v>120</v>
      </c>
      <c r="S130" s="10" t="s">
        <v>529</v>
      </c>
      <c r="T130" s="5"/>
      <c r="U130" s="10" t="s">
        <v>98</v>
      </c>
      <c r="V130" s="5" t="n">
        <v>110</v>
      </c>
      <c r="W130" s="5" t="n">
        <v>3.85</v>
      </c>
      <c r="X130" s="5" t="n">
        <v>1.66</v>
      </c>
      <c r="Y130" s="5" t="n">
        <v>113</v>
      </c>
      <c r="Z130" s="5" t="n">
        <v>4.35</v>
      </c>
      <c r="AA130" s="5" t="n">
        <v>1.45</v>
      </c>
      <c r="AB130" s="5" t="s">
        <v>99</v>
      </c>
      <c r="AC130" s="5"/>
      <c r="AD130" s="5" t="n">
        <v>1</v>
      </c>
      <c r="AE130" s="7" t="n">
        <f aca="false">IFERROR(IF(AB130="MSD",IF(COUNT(V130,W130,X130,Y130,Z130,AA130)&lt;6,"",(W130-Z130)/SQRT(((V130-1)*X130^2+(Y130-1)*AA130^2)/(V130+Y130-2))*AD130),IF(AB130="t",AC130*SQRT(1/V130+1/Y130)*AD130,IF(AB130="F",SQRT(AC130)*SQRT(1/V130+1/Y130)*AD130,IF(AB130="z",2*(AC130/SQRT(V130+Y130))/SQRT(1-(AC130/SQRT(V130+Y130))^2)*AD130,IF(AB130="t_paired",AC130/SQRT(V130)*AD130,""))))),"")</f>
        <v>-0.321105995094768</v>
      </c>
      <c r="AF130" s="7" t="n">
        <f aca="false">IF(AE130="","",IF(AB130="t_paired",1-3/(4*(V130-1)-1),1-3/(4*(V130+Y130)-9)))</f>
        <v>0.996602491506229</v>
      </c>
      <c r="AG130" s="7" t="n">
        <f aca="false">IF(AE130="","",AE130*AF130)</f>
        <v>-0.320015034749033</v>
      </c>
      <c r="AH130" s="7" t="n">
        <f aca="false">IF(AG130="","",IF(AB130="t_paired",1/V130+AG130^2/(2*V130),(V130+Y130)/(V130*Y130)+AG130^2/(2*(V130+Y130))))</f>
        <v>0.0181700846006236</v>
      </c>
      <c r="AI130" s="7" t="n">
        <f aca="false">IF(AH130="","",SQRT(AH130))</f>
        <v>0.134796456187185</v>
      </c>
      <c r="AJ130" s="7" t="n">
        <f aca="false">IF(AI130="","",AG130-1.96*AI130)</f>
        <v>-0.584216088875915</v>
      </c>
      <c r="AK130" s="7" t="n">
        <f aca="false">IF(AI130="","",AG130+1.96*AI130)</f>
        <v>-0.055813980622151</v>
      </c>
      <c r="AL130" s="7" t="n">
        <f aca="false">IF(AI130="","",AG130/AI130)</f>
        <v>-2.37406118677664</v>
      </c>
      <c r="AM130" s="8" t="n">
        <f aca="false">IF(AL130="","",2*(1-NORMSDIST(ABS(AL130))))</f>
        <v>0.0175936347322361</v>
      </c>
      <c r="AN130" s="9" t="n">
        <f aca="false">IF(COUNT(V130)=0,"",IF(AB130="t_paired",V130,V130+N(Y130)))</f>
        <v>223</v>
      </c>
      <c r="AO130" s="7" t="n">
        <f aca="false">IF(AH130="","",1/AH130)</f>
        <v>55.0355170039042</v>
      </c>
      <c r="AP130" s="5" t="s">
        <v>100</v>
      </c>
      <c r="AQ130" s="5" t="s">
        <v>227</v>
      </c>
      <c r="AR130" s="5"/>
      <c r="AS130" s="9" t="n">
        <f aca="false">IF(AND(AP130="Y",ISNUMBER(AO130)),AO130,0)</f>
        <v>0</v>
      </c>
      <c r="AT130" s="7" t="n">
        <f aca="false">IF(AS130&gt;0,AS130*AG130,0)</f>
        <v>0</v>
      </c>
      <c r="AU130" s="7" t="n">
        <f aca="false">IF(AS130&gt;0,AS130*AG130^2,0)</f>
        <v>0</v>
      </c>
      <c r="AV130" s="9" t="n">
        <f aca="false">IF(AS130&gt;0,AS130^2,0)</f>
        <v>0</v>
      </c>
      <c r="AW130" s="7" t="n">
        <f aca="false">IF(AS130&gt;0,AG130,0)</f>
        <v>0</v>
      </c>
      <c r="AX130" s="7" t="n">
        <f aca="false">IF(AS130&gt;0,AH130,1)</f>
        <v>1</v>
      </c>
    </row>
    <row r="131" customFormat="false" ht="15" hidden="false" customHeight="false" outlineLevel="0" collapsed="false">
      <c r="A131" s="5" t="s">
        <v>530</v>
      </c>
      <c r="B131" s="5" t="s">
        <v>524</v>
      </c>
      <c r="C131" s="5" t="s">
        <v>525</v>
      </c>
      <c r="D131" s="5" t="n">
        <v>2026</v>
      </c>
      <c r="E131" s="5" t="s">
        <v>158</v>
      </c>
      <c r="F131" s="5" t="s">
        <v>173</v>
      </c>
      <c r="G131" s="5" t="s">
        <v>476</v>
      </c>
      <c r="H131" s="5" t="s">
        <v>131</v>
      </c>
      <c r="I131" s="5" t="s">
        <v>188</v>
      </c>
      <c r="J131" s="5" t="s">
        <v>76</v>
      </c>
      <c r="K131" s="5" t="s">
        <v>163</v>
      </c>
      <c r="L131" s="5" t="s">
        <v>164</v>
      </c>
      <c r="M131" s="5"/>
      <c r="N131" s="5"/>
      <c r="O131" s="5" t="s">
        <v>81</v>
      </c>
      <c r="P131" s="11" t="s">
        <v>113</v>
      </c>
      <c r="Q131" s="11" t="s">
        <v>114</v>
      </c>
      <c r="R131" s="5" t="s">
        <v>120</v>
      </c>
      <c r="S131" s="11" t="s">
        <v>529</v>
      </c>
      <c r="T131" s="5"/>
      <c r="U131" s="11" t="s">
        <v>86</v>
      </c>
      <c r="V131" s="5" t="n">
        <v>110</v>
      </c>
      <c r="W131" s="5" t="n">
        <v>4.18</v>
      </c>
      <c r="X131" s="5" t="n">
        <v>1.79</v>
      </c>
      <c r="Y131" s="5" t="n">
        <v>113</v>
      </c>
      <c r="Z131" s="5" t="n">
        <v>4.35</v>
      </c>
      <c r="AA131" s="5" t="n">
        <v>1.69</v>
      </c>
      <c r="AB131" s="5" t="s">
        <v>99</v>
      </c>
      <c r="AC131" s="5"/>
      <c r="AD131" s="5" t="n">
        <v>1</v>
      </c>
      <c r="AE131" s="7" t="n">
        <f aca="false">IFERROR(IF(AB131="MSD",IF(COUNT(V131,W131,X131,Y131,Z131,AA131)&lt;6,"",(W131-Z131)/SQRT(((V131-1)*X131^2+(Y131-1)*AA131^2)/(V131+Y131-2))*AD131),IF(AB131="t",AC131*SQRT(1/V131+1/Y131)*AD131,IF(AB131="F",SQRT(AC131)*SQRT(1/V131+1/Y131)*AD131,IF(AB131="z",2*(AC131/SQRT(V131+Y131))/SQRT(1-(AC131/SQRT(V131+Y131))^2)*AD131,IF(AB131="t_paired",AC131/SQRT(V131)*AD131,""))))),"")</f>
        <v>-0.0976989227140579</v>
      </c>
      <c r="AF131" s="7" t="n">
        <f aca="false">IF(AE131="","",IF(AB131="t_paired",1-3/(4*(V131-1)-1),1-3/(4*(V131+Y131)-9)))</f>
        <v>0.996602491506229</v>
      </c>
      <c r="AG131" s="7" t="n">
        <f aca="false">IF(AE131="","",AE131*AF131)</f>
        <v>-0.0973669897943046</v>
      </c>
      <c r="AH131" s="7" t="n">
        <f aca="false">IF(AG131="","",IF(AB131="t_paired",1/V131+AG131^2/(2*V131),(V131+Y131)/(V131*Y131)+AG131^2/(2*(V131+Y131))))</f>
        <v>0.0179617229598976</v>
      </c>
      <c r="AI131" s="7" t="n">
        <f aca="false">IF(AH131="","",SQRT(AH131))</f>
        <v>0.134021352626727</v>
      </c>
      <c r="AJ131" s="7" t="n">
        <f aca="false">IF(AI131="","",AG131-1.96*AI131)</f>
        <v>-0.36004884094269</v>
      </c>
      <c r="AK131" s="7" t="n">
        <f aca="false">IF(AI131="","",AG131+1.96*AI131)</f>
        <v>0.165314861354081</v>
      </c>
      <c r="AL131" s="7" t="n">
        <f aca="false">IF(AI131="","",AG131/AI131)</f>
        <v>-0.726503559962483</v>
      </c>
      <c r="AM131" s="8" t="n">
        <f aca="false">IF(AL131="","",2*(1-NORMSDIST(ABS(AL131))))</f>
        <v>0.467530125903035</v>
      </c>
      <c r="AN131" s="9" t="n">
        <f aca="false">IF(COUNT(V131)=0,"",IF(AB131="t_paired",V131,V131+N(Y131)))</f>
        <v>223</v>
      </c>
      <c r="AO131" s="7" t="n">
        <f aca="false">IF(AH131="","",1/AH131)</f>
        <v>55.6739463264555</v>
      </c>
      <c r="AP131" s="5" t="s">
        <v>88</v>
      </c>
      <c r="AQ131" s="5" t="s">
        <v>227</v>
      </c>
      <c r="AR131" s="5"/>
      <c r="AS131" s="7" t="n">
        <f aca="false">IF(AND(AP131="Y",ISNUMBER(AO131)),AO131,0)</f>
        <v>55.6739463264555</v>
      </c>
      <c r="AT131" s="7" t="n">
        <f aca="false">IF(AS131&gt;0,AS131*AG131,0)</f>
        <v>-5.42080456377665</v>
      </c>
      <c r="AU131" s="7" t="n">
        <f aca="false">IF(AS131&gt;0,AS131*AG131^2,0)</f>
        <v>0.527807422638161</v>
      </c>
      <c r="AV131" s="9" t="n">
        <f aca="false">IF(AS131&gt;0,AS131^2,0)</f>
        <v>3099.58829956104</v>
      </c>
      <c r="AW131" s="7" t="n">
        <f aca="false">IF(AS131&gt;0,AG131,0)</f>
        <v>-0.0973669897943046</v>
      </c>
      <c r="AX131" s="7" t="n">
        <f aca="false">IF(AS131&gt;0,AH131,1)</f>
        <v>0.0179617229598976</v>
      </c>
    </row>
    <row r="132" customFormat="false" ht="15" hidden="false" customHeight="false" outlineLevel="0" collapsed="false">
      <c r="A132" s="5" t="s">
        <v>531</v>
      </c>
      <c r="B132" s="5" t="s">
        <v>532</v>
      </c>
      <c r="C132" s="5" t="s">
        <v>533</v>
      </c>
      <c r="D132" s="5" t="n">
        <v>2023</v>
      </c>
      <c r="E132" s="5" t="s">
        <v>402</v>
      </c>
      <c r="F132" s="5" t="s">
        <v>173</v>
      </c>
      <c r="G132" s="5" t="s">
        <v>534</v>
      </c>
      <c r="H132" s="5" t="s">
        <v>265</v>
      </c>
      <c r="I132" s="5" t="s">
        <v>535</v>
      </c>
      <c r="J132" s="5" t="s">
        <v>76</v>
      </c>
      <c r="K132" s="5" t="s">
        <v>536</v>
      </c>
      <c r="L132" s="5" t="s">
        <v>537</v>
      </c>
      <c r="M132" s="5" t="s">
        <v>538</v>
      </c>
      <c r="N132" s="5" t="s">
        <v>408</v>
      </c>
      <c r="O132" s="5" t="s">
        <v>81</v>
      </c>
      <c r="P132" s="6" t="s">
        <v>82</v>
      </c>
      <c r="Q132" s="6" t="s">
        <v>83</v>
      </c>
      <c r="R132" s="5"/>
      <c r="S132" s="6" t="s">
        <v>539</v>
      </c>
      <c r="T132" s="5" t="s">
        <v>540</v>
      </c>
      <c r="U132" s="6" t="s">
        <v>86</v>
      </c>
      <c r="V132" s="5" t="n">
        <v>20</v>
      </c>
      <c r="W132" s="5" t="n">
        <v>3.19</v>
      </c>
      <c r="X132" s="5" t="n">
        <v>1.25</v>
      </c>
      <c r="Y132" s="5" t="n">
        <v>20</v>
      </c>
      <c r="Z132" s="5" t="n">
        <v>2.86</v>
      </c>
      <c r="AA132" s="5" t="n">
        <v>1.06</v>
      </c>
      <c r="AB132" s="5" t="s">
        <v>99</v>
      </c>
      <c r="AC132" s="5"/>
      <c r="AD132" s="5" t="n">
        <v>1</v>
      </c>
      <c r="AE132" s="7" t="n">
        <f aca="false">IFERROR(IF(AB132="MSD",IF(COUNT(V132,W132,X132,Y132,Z132,AA132)&lt;6,"",(W132-Z132)/SQRT(((V132-1)*X132^2+(Y132-1)*AA132^2)/(V132+Y132-2))*AD132),IF(AB132="t",AC132*SQRT(1/V132+1/Y132)*AD132,IF(AB132="F",SQRT(AC132)*SQRT(1/V132+1/Y132)*AD132,IF(AB132="z",2*(AC132/SQRT(V132+Y132))/SQRT(1-(AC132/SQRT(V132+Y132))^2)*AD132,IF(AB132="t_paired",AC132/SQRT(V132)*AD132,""))))),"")</f>
        <v>0.284752699063574</v>
      </c>
      <c r="AF132" s="7" t="n">
        <f aca="false">IF(AE132="","",IF(AB132="t_paired",1-3/(4*(V132-1)-1),1-3/(4*(V132+Y132)-9)))</f>
        <v>0.980132450331126</v>
      </c>
      <c r="AG132" s="7" t="n">
        <f aca="false">IF(AE132="","",AE132*AF132)</f>
        <v>0.279095360671582</v>
      </c>
      <c r="AH132" s="7" t="n">
        <f aca="false">IF(AG132="","",IF(AB132="t_paired",1/V132+AG132^2/(2*V132),(V132+Y132)/(V132*Y132)+AG132^2/(2*(V132+Y132))))</f>
        <v>0.100973677754355</v>
      </c>
      <c r="AI132" s="7" t="n">
        <f aca="false">IF(AH132="","",SQRT(AH132))</f>
        <v>0.317763556365979</v>
      </c>
      <c r="AJ132" s="7" t="n">
        <f aca="false">IF(AI132="","",AG132-1.96*AI132)</f>
        <v>-0.343721209805737</v>
      </c>
      <c r="AK132" s="7" t="n">
        <f aca="false">IF(AI132="","",AG132+1.96*AI132)</f>
        <v>0.901911931148902</v>
      </c>
      <c r="AL132" s="7" t="n">
        <f aca="false">IF(AI132="","",AG132/AI132)</f>
        <v>0.878311420804148</v>
      </c>
      <c r="AM132" s="8" t="n">
        <f aca="false">IF(AL132="","",2*(1-NORMSDIST(ABS(AL132))))</f>
        <v>0.379774739627003</v>
      </c>
      <c r="AN132" s="9" t="n">
        <f aca="false">IF(COUNT(V132)=0,"",IF(AB132="t_paired",V132,V132+N(Y132)))</f>
        <v>40</v>
      </c>
      <c r="AO132" s="7" t="n">
        <f aca="false">IF(AH132="","",1/AH132)</f>
        <v>9.90357113101063</v>
      </c>
      <c r="AP132" s="5" t="s">
        <v>88</v>
      </c>
      <c r="AQ132" s="5" t="s">
        <v>290</v>
      </c>
      <c r="AR132" s="5" t="s">
        <v>541</v>
      </c>
      <c r="AS132" s="7" t="n">
        <f aca="false">IF(AND(AP132="Y",ISNUMBER(AO132)),AO132,0)</f>
        <v>9.90357113101063</v>
      </c>
      <c r="AT132" s="7" t="n">
        <f aca="false">IF(AS132&gt;0,AS132*AG132,0)</f>
        <v>2.76404075674608</v>
      </c>
      <c r="AU132" s="7" t="n">
        <f aca="false">IF(AS132&gt;0,AS132*AG132^2,0)</f>
        <v>0.771430951915001</v>
      </c>
      <c r="AV132" s="9" t="n">
        <f aca="false">IF(AS132&gt;0,AS132^2,0)</f>
        <v>98.0807211469871</v>
      </c>
      <c r="AW132" s="7" t="n">
        <f aca="false">IF(AS132&gt;0,AG132,0)</f>
        <v>0.279095360671582</v>
      </c>
      <c r="AX132" s="7" t="n">
        <f aca="false">IF(AS132&gt;0,AH132,1)</f>
        <v>0.100973677754355</v>
      </c>
    </row>
    <row r="133" customFormat="false" ht="15" hidden="false" customHeight="false" outlineLevel="0" collapsed="false">
      <c r="A133" s="5" t="s">
        <v>542</v>
      </c>
      <c r="B133" s="5" t="s">
        <v>532</v>
      </c>
      <c r="C133" s="5" t="s">
        <v>533</v>
      </c>
      <c r="D133" s="5" t="n">
        <v>2023</v>
      </c>
      <c r="E133" s="5" t="s">
        <v>402</v>
      </c>
      <c r="F133" s="5" t="s">
        <v>173</v>
      </c>
      <c r="G133" s="5" t="s">
        <v>534</v>
      </c>
      <c r="H133" s="5" t="s">
        <v>265</v>
      </c>
      <c r="I133" s="5" t="s">
        <v>535</v>
      </c>
      <c r="J133" s="5" t="s">
        <v>76</v>
      </c>
      <c r="K133" s="5" t="s">
        <v>536</v>
      </c>
      <c r="L133" s="5" t="s">
        <v>537</v>
      </c>
      <c r="M133" s="5" t="s">
        <v>538</v>
      </c>
      <c r="N133" s="5" t="s">
        <v>408</v>
      </c>
      <c r="O133" s="5" t="s">
        <v>81</v>
      </c>
      <c r="P133" s="6" t="s">
        <v>82</v>
      </c>
      <c r="Q133" s="6" t="s">
        <v>83</v>
      </c>
      <c r="R133" s="5"/>
      <c r="S133" s="6" t="s">
        <v>543</v>
      </c>
      <c r="T133" s="5" t="s">
        <v>544</v>
      </c>
      <c r="U133" s="6" t="s">
        <v>86</v>
      </c>
      <c r="V133" s="5" t="n">
        <v>20</v>
      </c>
      <c r="W133" s="5" t="n">
        <v>2.73</v>
      </c>
      <c r="X133" s="5" t="n">
        <v>1.33</v>
      </c>
      <c r="Y133" s="5" t="n">
        <v>20</v>
      </c>
      <c r="Z133" s="5" t="n">
        <v>2.8</v>
      </c>
      <c r="AA133" s="5" t="n">
        <v>1.18</v>
      </c>
      <c r="AB133" s="5" t="s">
        <v>99</v>
      </c>
      <c r="AC133" s="5"/>
      <c r="AD133" s="5" t="n">
        <v>1</v>
      </c>
      <c r="AE133" s="7" t="n">
        <f aca="false">IFERROR(IF(AB133="MSD",IF(COUNT(V133,W133,X133,Y133,Z133,AA133)&lt;6,"",(W133-Z133)/SQRT(((V133-1)*X133^2+(Y133-1)*AA133^2)/(V133+Y133-2))*AD133),IF(AB133="t",AC133*SQRT(1/V133+1/Y133)*AD133,IF(AB133="F",SQRT(AC133)*SQRT(1/V133+1/Y133)*AD133,IF(AB133="z",2*(AC133/SQRT(V133+Y133))/SQRT(1-(AC133/SQRT(V133+Y133))^2)*AD133,IF(AB133="t_paired",AC133/SQRT(V133)*AD133,""))))),"")</f>
        <v>-0.0556775584076127</v>
      </c>
      <c r="AF133" s="7" t="n">
        <f aca="false">IF(AE133="","",IF(AB133="t_paired",1-3/(4*(V133-1)-1),1-3/(4*(V133+Y133)-9)))</f>
        <v>0.980132450331126</v>
      </c>
      <c r="AG133" s="7" t="n">
        <f aca="false">IF(AE133="","",AE133*AF133)</f>
        <v>-0.0545713817505078</v>
      </c>
      <c r="AH133" s="7" t="n">
        <f aca="false">IF(AG133="","",IF(AB133="t_paired",1/V133+AG133^2/(2*V133),(V133+Y133)/(V133*Y133)+AG133^2/(2*(V133+Y133))))</f>
        <v>0.100037225446327</v>
      </c>
      <c r="AI133" s="7" t="n">
        <f aca="false">IF(AH133="","",SQRT(AH133))</f>
        <v>0.316286619138918</v>
      </c>
      <c r="AJ133" s="7" t="n">
        <f aca="false">IF(AI133="","",AG133-1.96*AI133)</f>
        <v>-0.674493155262787</v>
      </c>
      <c r="AK133" s="7" t="n">
        <f aca="false">IF(AI133="","",AG133+1.96*AI133)</f>
        <v>0.565350391761772</v>
      </c>
      <c r="AL133" s="7" t="n">
        <f aca="false">IF(AI133="","",AG133/AI133)</f>
        <v>-0.172537750408401</v>
      </c>
      <c r="AM133" s="8" t="n">
        <f aca="false">IF(AL133="","",2*(1-NORMSDIST(ABS(AL133))))</f>
        <v>0.863014785807604</v>
      </c>
      <c r="AN133" s="9" t="n">
        <f aca="false">IF(COUNT(V133)=0,"",IF(AB133="t_paired",V133,V133+N(Y133)))</f>
        <v>40</v>
      </c>
      <c r="AO133" s="7" t="n">
        <f aca="false">IF(AH133="","",1/AH133)</f>
        <v>9.9962788405855</v>
      </c>
      <c r="AP133" s="5" t="s">
        <v>88</v>
      </c>
      <c r="AQ133" s="5" t="s">
        <v>290</v>
      </c>
      <c r="AR133" s="5" t="s">
        <v>298</v>
      </c>
      <c r="AS133" s="7" t="n">
        <f aca="false">IF(AND(AP133="Y",ISNUMBER(AO133)),AO133,0)</f>
        <v>9.9962788405855</v>
      </c>
      <c r="AT133" s="7" t="n">
        <f aca="false">IF(AS133&gt;0,AS133*AG133,0)</f>
        <v>-0.545510748694114</v>
      </c>
      <c r="AU133" s="7" t="n">
        <f aca="false">IF(AS133&gt;0,AS133*AG133^2,0)</f>
        <v>0.0297692753159918</v>
      </c>
      <c r="AV133" s="9" t="n">
        <f aca="false">IF(AS133&gt;0,AS133^2,0)</f>
        <v>99.9255906587374</v>
      </c>
      <c r="AW133" s="7" t="n">
        <f aca="false">IF(AS133&gt;0,AG133,0)</f>
        <v>-0.0545713817505078</v>
      </c>
      <c r="AX133" s="7" t="n">
        <f aca="false">IF(AS133&gt;0,AH133,1)</f>
        <v>0.100037225446327</v>
      </c>
    </row>
    <row r="134" customFormat="false" ht="15" hidden="false" customHeight="false" outlineLevel="0" collapsed="false">
      <c r="A134" s="5" t="s">
        <v>545</v>
      </c>
      <c r="B134" s="5" t="s">
        <v>532</v>
      </c>
      <c r="C134" s="5" t="s">
        <v>533</v>
      </c>
      <c r="D134" s="5" t="n">
        <v>2023</v>
      </c>
      <c r="E134" s="5" t="s">
        <v>402</v>
      </c>
      <c r="F134" s="5" t="s">
        <v>173</v>
      </c>
      <c r="G134" s="5" t="s">
        <v>534</v>
      </c>
      <c r="H134" s="5" t="s">
        <v>265</v>
      </c>
      <c r="I134" s="5" t="s">
        <v>535</v>
      </c>
      <c r="J134" s="5" t="s">
        <v>76</v>
      </c>
      <c r="K134" s="5" t="s">
        <v>536</v>
      </c>
      <c r="L134" s="5" t="s">
        <v>537</v>
      </c>
      <c r="M134" s="5" t="s">
        <v>538</v>
      </c>
      <c r="N134" s="5" t="s">
        <v>408</v>
      </c>
      <c r="O134" s="5" t="s">
        <v>81</v>
      </c>
      <c r="P134" s="6" t="s">
        <v>82</v>
      </c>
      <c r="Q134" s="6" t="s">
        <v>191</v>
      </c>
      <c r="R134" s="5"/>
      <c r="S134" s="6" t="s">
        <v>546</v>
      </c>
      <c r="T134" s="5" t="s">
        <v>547</v>
      </c>
      <c r="U134" s="6" t="s">
        <v>86</v>
      </c>
      <c r="V134" s="5" t="n">
        <v>20</v>
      </c>
      <c r="W134" s="5" t="n">
        <v>9.46</v>
      </c>
      <c r="X134" s="5" t="n">
        <v>2.82</v>
      </c>
      <c r="Y134" s="5" t="n">
        <v>20</v>
      </c>
      <c r="Z134" s="5" t="n">
        <v>8.7</v>
      </c>
      <c r="AA134" s="5" t="n">
        <v>3.21</v>
      </c>
      <c r="AB134" s="5" t="s">
        <v>99</v>
      </c>
      <c r="AC134" s="5"/>
      <c r="AD134" s="5" t="n">
        <v>1</v>
      </c>
      <c r="AE134" s="7" t="n">
        <f aca="false">IFERROR(IF(AB134="MSD",IF(COUNT(V134,W134,X134,Y134,Z134,AA134)&lt;6,"",(W134-Z134)/SQRT(((V134-1)*X134^2+(Y134-1)*AA134^2)/(V134+Y134-2))*AD134),IF(AB134="t",AC134*SQRT(1/V134+1/Y134)*AD134,IF(AB134="F",SQRT(AC134)*SQRT(1/V134+1/Y134)*AD134,IF(AB134="z",2*(AC134/SQRT(V134+Y134))/SQRT(1-(AC134/SQRT(V134+Y134))^2)*AD134,IF(AB134="t_paired",AC134/SQRT(V134)*AD134,""))))),"")</f>
        <v>0.251547398011131</v>
      </c>
      <c r="AF134" s="7" t="n">
        <f aca="false">IF(AE134="","",IF(AB134="t_paired",1-3/(4*(V134-1)-1),1-3/(4*(V134+Y134)-9)))</f>
        <v>0.980132450331126</v>
      </c>
      <c r="AG134" s="7" t="n">
        <f aca="false">IF(AE134="","",AE134*AF134)</f>
        <v>0.246549767587068</v>
      </c>
      <c r="AH134" s="7" t="n">
        <f aca="false">IF(AG134="","",IF(AB134="t_paired",1/V134+AG134^2/(2*V134),(V134+Y134)/(V134*Y134)+AG134^2/(2*(V134+Y134))))</f>
        <v>0.100759834848715</v>
      </c>
      <c r="AI134" s="7" t="n">
        <f aca="false">IF(AH134="","",SQRT(AH134))</f>
        <v>0.31742689685771</v>
      </c>
      <c r="AJ134" s="7" t="n">
        <f aca="false">IF(AI134="","",AG134-1.96*AI134)</f>
        <v>-0.375606950254044</v>
      </c>
      <c r="AK134" s="7" t="n">
        <f aca="false">IF(AI134="","",AG134+1.96*AI134)</f>
        <v>0.868706485428181</v>
      </c>
      <c r="AL134" s="7" t="n">
        <f aca="false">IF(AI134="","",AG134/AI134)</f>
        <v>0.776713536337743</v>
      </c>
      <c r="AM134" s="8" t="n">
        <f aca="false">IF(AL134="","",2*(1-NORMSDIST(ABS(AL134))))</f>
        <v>0.437327798793688</v>
      </c>
      <c r="AN134" s="9" t="n">
        <f aca="false">IF(COUNT(V134)=0,"",IF(AB134="t_paired",V134,V134+N(Y134)))</f>
        <v>40</v>
      </c>
      <c r="AO134" s="7" t="n">
        <f aca="false">IF(AH134="","",1/AH134)</f>
        <v>9.92458951030871</v>
      </c>
      <c r="AP134" s="5" t="s">
        <v>88</v>
      </c>
      <c r="AQ134" s="5" t="s">
        <v>290</v>
      </c>
      <c r="AR134" s="5" t="s">
        <v>298</v>
      </c>
      <c r="AS134" s="7" t="n">
        <f aca="false">IF(AND(AP134="Y",ISNUMBER(AO134)),AO134,0)</f>
        <v>9.92458951030871</v>
      </c>
      <c r="AT134" s="7" t="n">
        <f aca="false">IF(AS134&gt;0,AS134*AG134,0)</f>
        <v>2.44690523716367</v>
      </c>
      <c r="AU134" s="7" t="n">
        <f aca="false">IF(AS134&gt;0,AS134*AG134^2,0)</f>
        <v>0.603283917530283</v>
      </c>
      <c r="AV134" s="9" t="n">
        <f aca="false">IF(AS134&gt;0,AS134^2,0)</f>
        <v>98.4974769481298</v>
      </c>
      <c r="AW134" s="7" t="n">
        <f aca="false">IF(AS134&gt;0,AG134,0)</f>
        <v>0.246549767587068</v>
      </c>
      <c r="AX134" s="7" t="n">
        <f aca="false">IF(AS134&gt;0,AH134,1)</f>
        <v>0.100759834848715</v>
      </c>
    </row>
    <row r="135" customFormat="false" ht="15" hidden="false" customHeight="false" outlineLevel="0" collapsed="false">
      <c r="A135" s="5" t="s">
        <v>548</v>
      </c>
      <c r="B135" s="5" t="s">
        <v>532</v>
      </c>
      <c r="C135" s="5" t="s">
        <v>533</v>
      </c>
      <c r="D135" s="5" t="n">
        <v>2023</v>
      </c>
      <c r="E135" s="5" t="s">
        <v>402</v>
      </c>
      <c r="F135" s="5" t="s">
        <v>173</v>
      </c>
      <c r="G135" s="5" t="s">
        <v>534</v>
      </c>
      <c r="H135" s="5" t="s">
        <v>265</v>
      </c>
      <c r="I135" s="5" t="s">
        <v>535</v>
      </c>
      <c r="J135" s="5" t="s">
        <v>76</v>
      </c>
      <c r="K135" s="5" t="s">
        <v>536</v>
      </c>
      <c r="L135" s="5" t="s">
        <v>537</v>
      </c>
      <c r="M135" s="5" t="s">
        <v>538</v>
      </c>
      <c r="N135" s="5" t="s">
        <v>408</v>
      </c>
      <c r="O135" s="5" t="s">
        <v>81</v>
      </c>
      <c r="P135" s="6" t="s">
        <v>82</v>
      </c>
      <c r="Q135" s="6" t="s">
        <v>191</v>
      </c>
      <c r="R135" s="5"/>
      <c r="S135" s="6" t="s">
        <v>549</v>
      </c>
      <c r="T135" s="5" t="s">
        <v>544</v>
      </c>
      <c r="U135" s="6" t="s">
        <v>86</v>
      </c>
      <c r="V135" s="5" t="n">
        <v>20</v>
      </c>
      <c r="W135" s="5" t="n">
        <v>3.54</v>
      </c>
      <c r="X135" s="5" t="n">
        <v>1.04</v>
      </c>
      <c r="Y135" s="5" t="n">
        <v>20</v>
      </c>
      <c r="Z135" s="5" t="n">
        <v>3.04</v>
      </c>
      <c r="AA135" s="5" t="n">
        <v>1.45</v>
      </c>
      <c r="AB135" s="5" t="s">
        <v>99</v>
      </c>
      <c r="AC135" s="5"/>
      <c r="AD135" s="5" t="n">
        <v>1</v>
      </c>
      <c r="AE135" s="7" t="n">
        <f aca="false">IFERROR(IF(AB135="MSD",IF(COUNT(V135,W135,X135,Y135,Z135,AA135)&lt;6,"",(W135-Z135)/SQRT(((V135-1)*X135^2+(Y135-1)*AA135^2)/(V135+Y135-2))*AD135),IF(AB135="t",AC135*SQRT(1/V135+1/Y135)*AD135,IF(AB135="F",SQRT(AC135)*SQRT(1/V135+1/Y135)*AD135,IF(AB135="z",2*(AC135/SQRT(V135+Y135))/SQRT(1-(AC135/SQRT(V135+Y135))^2)*AD135,IF(AB135="t_paired",AC135/SQRT(V135)*AD135,""))))),"")</f>
        <v>0.396270417802035</v>
      </c>
      <c r="AF135" s="7" t="n">
        <f aca="false">IF(AE135="","",IF(AB135="t_paired",1-3/(4*(V135-1)-1),1-3/(4*(V135+Y135)-9)))</f>
        <v>0.980132450331126</v>
      </c>
      <c r="AG135" s="7" t="n">
        <f aca="false">IF(AE135="","",AE135*AF135)</f>
        <v>0.388397495594047</v>
      </c>
      <c r="AH135" s="7" t="n">
        <f aca="false">IF(AG135="","",IF(AB135="t_paired",1/V135+AG135^2/(2*V135),(V135+Y135)/(V135*Y135)+AG135^2/(2*(V135+Y135))))</f>
        <v>0.101885657682297</v>
      </c>
      <c r="AI135" s="7" t="n">
        <f aca="false">IF(AH135="","",SQRT(AH135))</f>
        <v>0.319195328415528</v>
      </c>
      <c r="AJ135" s="7" t="n">
        <f aca="false">IF(AI135="","",AG135-1.96*AI135)</f>
        <v>-0.237225348100387</v>
      </c>
      <c r="AK135" s="7" t="n">
        <f aca="false">IF(AI135="","",AG135+1.96*AI135)</f>
        <v>1.01402033928848</v>
      </c>
      <c r="AL135" s="7" t="n">
        <f aca="false">IF(AI135="","",AG135/AI135)</f>
        <v>1.2168019423155</v>
      </c>
      <c r="AM135" s="8" t="n">
        <f aca="false">IF(AL135="","",2*(1-NORMSDIST(ABS(AL135))))</f>
        <v>0.223679580859583</v>
      </c>
      <c r="AN135" s="9" t="n">
        <f aca="false">IF(COUNT(V135)=0,"",IF(AB135="t_paired",V135,V135+N(Y135)))</f>
        <v>40</v>
      </c>
      <c r="AO135" s="7" t="n">
        <f aca="false">IF(AH135="","",1/AH135)</f>
        <v>9.81492412914715</v>
      </c>
      <c r="AP135" s="5" t="s">
        <v>88</v>
      </c>
      <c r="AQ135" s="5" t="s">
        <v>290</v>
      </c>
      <c r="AR135" s="5" t="s">
        <v>298</v>
      </c>
      <c r="AS135" s="7" t="n">
        <f aca="false">IF(AND(AP135="Y",ISNUMBER(AO135)),AO135,0)</f>
        <v>9.81492412914715</v>
      </c>
      <c r="AT135" s="7" t="n">
        <f aca="false">IF(AS135&gt;0,AS135*AG135,0)</f>
        <v>3.81209195120634</v>
      </c>
      <c r="AU135" s="7" t="n">
        <f aca="false">IF(AS135&gt;0,AS135*AG135^2,0)</f>
        <v>1.48060696682277</v>
      </c>
      <c r="AV135" s="9" t="n">
        <f aca="false">IF(AS135&gt;0,AS135^2,0)</f>
        <v>96.332735660915</v>
      </c>
      <c r="AW135" s="7" t="n">
        <f aca="false">IF(AS135&gt;0,AG135,0)</f>
        <v>0.388397495594047</v>
      </c>
      <c r="AX135" s="7" t="n">
        <f aca="false">IF(AS135&gt;0,AH135,1)</f>
        <v>0.101885657682297</v>
      </c>
    </row>
    <row r="136" customFormat="false" ht="15" hidden="false" customHeight="false" outlineLevel="0" collapsed="false">
      <c r="A136" s="5" t="s">
        <v>550</v>
      </c>
      <c r="B136" s="5" t="s">
        <v>551</v>
      </c>
      <c r="C136" s="5" t="s">
        <v>552</v>
      </c>
      <c r="D136" s="5" t="n">
        <v>2025</v>
      </c>
      <c r="E136" s="5" t="s">
        <v>553</v>
      </c>
      <c r="F136" s="5" t="s">
        <v>199</v>
      </c>
      <c r="G136" s="5" t="s">
        <v>160</v>
      </c>
      <c r="H136" s="5" t="s">
        <v>74</v>
      </c>
      <c r="I136" s="5" t="s">
        <v>200</v>
      </c>
      <c r="J136" s="5" t="s">
        <v>162</v>
      </c>
      <c r="K136" s="5" t="s">
        <v>163</v>
      </c>
      <c r="L136" s="5" t="s">
        <v>164</v>
      </c>
      <c r="M136" s="5"/>
      <c r="N136" s="5" t="n">
        <v>20</v>
      </c>
      <c r="O136" s="5" t="s">
        <v>162</v>
      </c>
      <c r="P136" s="6" t="s">
        <v>82</v>
      </c>
      <c r="Q136" s="6" t="s">
        <v>103</v>
      </c>
      <c r="R136" s="5"/>
      <c r="S136" s="6" t="s">
        <v>201</v>
      </c>
      <c r="T136" s="5" t="s">
        <v>217</v>
      </c>
      <c r="U136" s="6" t="s">
        <v>86</v>
      </c>
      <c r="V136" s="5" t="n">
        <v>53</v>
      </c>
      <c r="W136" s="5" t="n">
        <v>2.43</v>
      </c>
      <c r="X136" s="5" t="n">
        <v>0.83</v>
      </c>
      <c r="Y136" s="5" t="n">
        <v>53</v>
      </c>
      <c r="Z136" s="5" t="n">
        <v>2.52</v>
      </c>
      <c r="AA136" s="5" t="n">
        <v>1.1</v>
      </c>
      <c r="AB136" s="5" t="s">
        <v>99</v>
      </c>
      <c r="AC136" s="5"/>
      <c r="AD136" s="5" t="n">
        <v>1</v>
      </c>
      <c r="AE136" s="7" t="n">
        <f aca="false">IFERROR(IF(AB136="MSD",IF(COUNT(V136,W136,X136,Y136,Z136,AA136)&lt;6,"",(W136-Z136)/SQRT(((V136-1)*X136^2+(Y136-1)*AA136^2)/(V136+Y136-2))*AD136),IF(AB136="t",AC136*SQRT(1/V136+1/Y136)*AD136,IF(AB136="F",SQRT(AC136)*SQRT(1/V136+1/Y136)*AD136,IF(AB136="z",2*(AC136/SQRT(V136+Y136))/SQRT(1-(AC136/SQRT(V136+Y136))^2)*AD136,IF(AB136="t_paired",AC136/SQRT(V136)*AD136,""))))),"")</f>
        <v>-0.0923647927354834</v>
      </c>
      <c r="AF136" s="7" t="n">
        <f aca="false">IF(AE136="","",IF(AB136="t_paired",1-3/(4*(V136-1)-1),1-3/(4*(V136+Y136)-9)))</f>
        <v>0.992771084337349</v>
      </c>
      <c r="AG136" s="7" t="n">
        <f aca="false">IF(AE136="","",AE136*AF136)</f>
        <v>-0.0916970954386004</v>
      </c>
      <c r="AH136" s="7" t="n">
        <f aca="false">IF(AG136="","",IF(AB136="t_paired",1/V136+AG136^2/(2*V136),(V136+Y136)/(V136*Y136)+AG136^2/(2*(V136+Y136))))</f>
        <v>0.0377755111193956</v>
      </c>
      <c r="AI136" s="7" t="n">
        <f aca="false">IF(AH136="","",SQRT(AH136))</f>
        <v>0.194359232143461</v>
      </c>
      <c r="AJ136" s="7" t="n">
        <f aca="false">IF(AI136="","",AG136-1.96*AI136)</f>
        <v>-0.472641190439783</v>
      </c>
      <c r="AK136" s="7" t="n">
        <f aca="false">IF(AI136="","",AG136+1.96*AI136)</f>
        <v>0.289246999562583</v>
      </c>
      <c r="AL136" s="7" t="n">
        <f aca="false">IF(AI136="","",AG136/AI136)</f>
        <v>-0.471791817797041</v>
      </c>
      <c r="AM136" s="8" t="n">
        <f aca="false">IF(AL136="","",2*(1-NORMSDIST(ABS(AL136))))</f>
        <v>0.637075391756258</v>
      </c>
      <c r="AN136" s="9" t="n">
        <f aca="false">IF(COUNT(V136)=0,"",IF(AB136="t_paired",V136,V136+N(Y136)))</f>
        <v>106</v>
      </c>
      <c r="AO136" s="7" t="n">
        <f aca="false">IF(AH136="","",1/AH136)</f>
        <v>26.4721765600825</v>
      </c>
      <c r="AP136" s="5" t="s">
        <v>88</v>
      </c>
      <c r="AQ136" s="5" t="s">
        <v>167</v>
      </c>
      <c r="AR136" s="5"/>
      <c r="AS136" s="7" t="n">
        <f aca="false">IF(AND(AP136="Y",ISNUMBER(AO136)),AO136,0)</f>
        <v>26.4721765600825</v>
      </c>
      <c r="AT136" s="7" t="n">
        <f aca="false">IF(AS136&gt;0,AS136*AG136,0)</f>
        <v>-2.42742170049736</v>
      </c>
      <c r="AU136" s="7" t="n">
        <f aca="false">IF(AS136&gt;0,AS136*AG136^2,0)</f>
        <v>0.222587519340236</v>
      </c>
      <c r="AV136" s="9" t="n">
        <f aca="false">IF(AS136&gt;0,AS136^2,0)</f>
        <v>700.77613182818</v>
      </c>
      <c r="AW136" s="7" t="n">
        <f aca="false">IF(AS136&gt;0,AG136,0)</f>
        <v>-0.0916970954386004</v>
      </c>
      <c r="AX136" s="7" t="n">
        <f aca="false">IF(AS136&gt;0,AH136,1)</f>
        <v>0.0377755111193956</v>
      </c>
    </row>
    <row r="137" customFormat="false" ht="15" hidden="false" customHeight="false" outlineLevel="0" collapsed="false">
      <c r="A137" s="5" t="s">
        <v>554</v>
      </c>
      <c r="B137" s="5" t="s">
        <v>555</v>
      </c>
      <c r="C137" s="5" t="s">
        <v>556</v>
      </c>
      <c r="D137" s="5" t="n">
        <v>2024</v>
      </c>
      <c r="E137" s="5" t="s">
        <v>557</v>
      </c>
      <c r="F137" s="5" t="s">
        <v>173</v>
      </c>
      <c r="G137" s="5" t="s">
        <v>395</v>
      </c>
      <c r="H137" s="5" t="s">
        <v>131</v>
      </c>
      <c r="I137" s="5" t="s">
        <v>188</v>
      </c>
      <c r="J137" s="5" t="s">
        <v>76</v>
      </c>
      <c r="K137" s="5" t="s">
        <v>163</v>
      </c>
      <c r="L137" s="5" t="s">
        <v>164</v>
      </c>
      <c r="M137" s="5"/>
      <c r="N137" s="5"/>
      <c r="O137" s="5" t="s">
        <v>81</v>
      </c>
      <c r="P137" s="11" t="s">
        <v>113</v>
      </c>
      <c r="Q137" s="11" t="s">
        <v>114</v>
      </c>
      <c r="R137" s="5" t="s">
        <v>125</v>
      </c>
      <c r="S137" s="11" t="s">
        <v>114</v>
      </c>
      <c r="T137" s="5"/>
      <c r="U137" s="11" t="s">
        <v>86</v>
      </c>
      <c r="V137" s="5" t="n">
        <v>16</v>
      </c>
      <c r="W137" s="5" t="n">
        <v>8.4</v>
      </c>
      <c r="X137" s="5" t="n">
        <v>6.7</v>
      </c>
      <c r="Y137" s="5" t="n">
        <v>13</v>
      </c>
      <c r="Z137" s="5" t="n">
        <v>4.75</v>
      </c>
      <c r="AA137" s="5" t="n">
        <v>3.16</v>
      </c>
      <c r="AB137" s="5" t="s">
        <v>99</v>
      </c>
      <c r="AC137" s="5"/>
      <c r="AD137" s="5" t="n">
        <v>1</v>
      </c>
      <c r="AE137" s="7" t="n">
        <f aca="false">IFERROR(IF(AB137="MSD",IF(COUNT(V137,W137,X137,Y137,Z137,AA137)&lt;6,"",(W137-Z137)/SQRT(((V137-1)*X137^2+(Y137-1)*AA137^2)/(V137+Y137-2))*AD137),IF(AB137="t",AC137*SQRT(1/V137+1/Y137)*AD137,IF(AB137="F",SQRT(AC137)*SQRT(1/V137+1/Y137)*AD137,IF(AB137="z",2*(AC137/SQRT(V137+Y137))/SQRT(1-(AC137/SQRT(V137+Y137))^2)*AD137,IF(AB137="t_paired",AC137/SQRT(V137)*AD137,""))))),"")</f>
        <v>0.673425621269094</v>
      </c>
      <c r="AF137" s="7" t="n">
        <f aca="false">IF(AE137="","",IF(AB137="t_paired",1-3/(4*(V137-1)-1),1-3/(4*(V137+Y137)-9)))</f>
        <v>0.97196261682243</v>
      </c>
      <c r="AG137" s="7" t="n">
        <f aca="false">IF(AE137="","",AE137*AF137)</f>
        <v>0.654544529083979</v>
      </c>
      <c r="AH137" s="7" t="n">
        <f aca="false">IF(AG137="","",IF(AB137="t_paired",1/V137+AG137^2/(2*V137),(V137+Y137)/(V137*Y137)+AG137^2/(2*(V137+Y137))))</f>
        <v>0.146809775898142</v>
      </c>
      <c r="AI137" s="7" t="n">
        <f aca="false">IF(AH137="","",SQRT(AH137))</f>
        <v>0.383157638444207</v>
      </c>
      <c r="AJ137" s="7" t="n">
        <f aca="false">IF(AI137="","",AG137-1.96*AI137)</f>
        <v>-0.0964444422666676</v>
      </c>
      <c r="AK137" s="7" t="n">
        <f aca="false">IF(AI137="","",AG137+1.96*AI137)</f>
        <v>1.40553350043463</v>
      </c>
      <c r="AL137" s="7" t="n">
        <f aca="false">IF(AI137="","",AG137/AI137)</f>
        <v>1.70829043560693</v>
      </c>
      <c r="AM137" s="8" t="n">
        <f aca="false">IF(AL137="","",2*(1-NORMSDIST(ABS(AL137))))</f>
        <v>0.087582465108544</v>
      </c>
      <c r="AN137" s="9" t="n">
        <f aca="false">IF(COUNT(V137)=0,"",IF(AB137="t_paired",V137,V137+N(Y137)))</f>
        <v>29</v>
      </c>
      <c r="AO137" s="7" t="n">
        <f aca="false">IF(AH137="","",1/AH137)</f>
        <v>6.81153549811158</v>
      </c>
      <c r="AP137" s="5" t="s">
        <v>88</v>
      </c>
      <c r="AQ137" s="5" t="s">
        <v>227</v>
      </c>
      <c r="AR137" s="5"/>
      <c r="AS137" s="7" t="n">
        <f aca="false">IF(AND(AP137="Y",ISNUMBER(AO137)),AO137,0)</f>
        <v>6.81153549811158</v>
      </c>
      <c r="AT137" s="7" t="n">
        <f aca="false">IF(AS137&gt;0,AS137*AG137,0)</f>
        <v>4.45845329495025</v>
      </c>
      <c r="AU137" s="7" t="n">
        <f aca="false">IF(AS137&gt;0,AS137*AG137^2,0)</f>
        <v>2.91825621238613</v>
      </c>
      <c r="AV137" s="9" t="n">
        <f aca="false">IF(AS137&gt;0,AS137^2,0)</f>
        <v>46.3970158420342</v>
      </c>
      <c r="AW137" s="7" t="n">
        <f aca="false">IF(AS137&gt;0,AG137,0)</f>
        <v>0.654544529083979</v>
      </c>
      <c r="AX137" s="7" t="n">
        <f aca="false">IF(AS137&gt;0,AH137,1)</f>
        <v>0.146809775898142</v>
      </c>
    </row>
    <row r="138" customFormat="false" ht="15" hidden="false" customHeight="false" outlineLevel="0" collapsed="false">
      <c r="A138" s="5" t="s">
        <v>558</v>
      </c>
      <c r="B138" s="5" t="s">
        <v>559</v>
      </c>
      <c r="C138" s="5" t="s">
        <v>560</v>
      </c>
      <c r="D138" s="5" t="n">
        <v>2023</v>
      </c>
      <c r="E138" s="5" t="s">
        <v>402</v>
      </c>
      <c r="F138" s="5" t="s">
        <v>199</v>
      </c>
      <c r="G138" s="5" t="s">
        <v>160</v>
      </c>
      <c r="H138" s="5" t="s">
        <v>74</v>
      </c>
      <c r="I138" s="5" t="s">
        <v>200</v>
      </c>
      <c r="J138" s="5" t="s">
        <v>162</v>
      </c>
      <c r="K138" s="5" t="s">
        <v>163</v>
      </c>
      <c r="L138" s="5" t="s">
        <v>164</v>
      </c>
      <c r="M138" s="5" t="s">
        <v>561</v>
      </c>
      <c r="N138" s="5" t="n">
        <v>15</v>
      </c>
      <c r="O138" s="5" t="s">
        <v>261</v>
      </c>
      <c r="P138" s="10" t="s">
        <v>82</v>
      </c>
      <c r="Q138" s="10" t="s">
        <v>191</v>
      </c>
      <c r="R138" s="5"/>
      <c r="S138" s="10" t="s">
        <v>562</v>
      </c>
      <c r="T138" s="5" t="s">
        <v>563</v>
      </c>
      <c r="U138" s="10" t="s">
        <v>98</v>
      </c>
      <c r="V138" s="5" t="n">
        <v>37</v>
      </c>
      <c r="W138" s="5" t="n">
        <v>2.3</v>
      </c>
      <c r="X138" s="5" t="n">
        <v>0.74</v>
      </c>
      <c r="Y138" s="5" t="n">
        <v>38</v>
      </c>
      <c r="Z138" s="5" t="n">
        <v>2.42</v>
      </c>
      <c r="AA138" s="5" t="n">
        <v>0.6</v>
      </c>
      <c r="AB138" s="5" t="s">
        <v>99</v>
      </c>
      <c r="AC138" s="5"/>
      <c r="AD138" s="5" t="n">
        <v>1</v>
      </c>
      <c r="AE138" s="7" t="n">
        <f aca="false">IFERROR(IF(AB138="MSD",IF(COUNT(V138,W138,X138,Y138,Z138,AA138)&lt;6,"",(W138-Z138)/SQRT(((V138-1)*X138^2+(Y138-1)*AA138^2)/(V138+Y138-2))*AD138),IF(AB138="t",AC138*SQRT(1/V138+1/Y138)*AD138,IF(AB138="F",SQRT(AC138)*SQRT(1/V138+1/Y138)*AD138,IF(AB138="z",2*(AC138/SQRT(V138+Y138))/SQRT(1-(AC138/SQRT(V138+Y138))^2)*AD138,IF(AB138="t_paired",AC138/SQRT(V138)*AD138,""))))),"")</f>
        <v>-0.178387624922164</v>
      </c>
      <c r="AF138" s="7" t="n">
        <f aca="false">IF(AE138="","",IF(AB138="t_paired",1-3/(4*(V138-1)-1),1-3/(4*(V138+Y138)-9)))</f>
        <v>0.989690721649485</v>
      </c>
      <c r="AG138" s="7" t="n">
        <f aca="false">IF(AE138="","",AE138*AF138)</f>
        <v>-0.176548577242554</v>
      </c>
      <c r="AH138" s="7" t="n">
        <f aca="false">IF(AG138="","",IF(AB138="t_paired",1/V138+AG138^2/(2*V138),(V138+Y138)/(V138*Y138)+AG138^2/(2*(V138+Y138))))</f>
        <v>0.0535506125015537</v>
      </c>
      <c r="AI138" s="7" t="n">
        <f aca="false">IF(AH138="","",SQRT(AH138))</f>
        <v>0.231410052723631</v>
      </c>
      <c r="AJ138" s="7" t="n">
        <f aca="false">IF(AI138="","",AG138-1.96*AI138)</f>
        <v>-0.630112280580871</v>
      </c>
      <c r="AK138" s="7" t="n">
        <f aca="false">IF(AI138="","",AG138+1.96*AI138)</f>
        <v>0.277015126095763</v>
      </c>
      <c r="AL138" s="7" t="n">
        <f aca="false">IF(AI138="","",AG138/AI138)</f>
        <v>-0.76292527124309</v>
      </c>
      <c r="AM138" s="8" t="n">
        <f aca="false">IF(AL138="","",2*(1-NORMSDIST(ABS(AL138))))</f>
        <v>0.4455079639283</v>
      </c>
      <c r="AN138" s="9" t="n">
        <f aca="false">IF(COUNT(V138)=0,"",IF(AB138="t_paired",V138,V138+N(Y138)))</f>
        <v>75</v>
      </c>
      <c r="AO138" s="7" t="n">
        <f aca="false">IF(AH138="","",1/AH138)</f>
        <v>18.6739227300339</v>
      </c>
      <c r="AP138" s="5" t="s">
        <v>100</v>
      </c>
      <c r="AQ138" s="5" t="s">
        <v>167</v>
      </c>
      <c r="AR138" s="5"/>
      <c r="AS138" s="9" t="n">
        <f aca="false">IF(AND(AP138="Y",ISNUMBER(AO138)),AO138,0)</f>
        <v>0</v>
      </c>
      <c r="AT138" s="7" t="n">
        <f aca="false">IF(AS138&gt;0,AS138*AG138,0)</f>
        <v>0</v>
      </c>
      <c r="AU138" s="7" t="n">
        <f aca="false">IF(AS138&gt;0,AS138*AG138^2,0)</f>
        <v>0</v>
      </c>
      <c r="AV138" s="9" t="n">
        <f aca="false">IF(AS138&gt;0,AS138^2,0)</f>
        <v>0</v>
      </c>
      <c r="AW138" s="7" t="n">
        <f aca="false">IF(AS138&gt;0,AG138,0)</f>
        <v>0</v>
      </c>
      <c r="AX138" s="7" t="n">
        <f aca="false">IF(AS138&gt;0,AH138,1)</f>
        <v>1</v>
      </c>
    </row>
    <row r="139" customFormat="false" ht="15" hidden="false" customHeight="false" outlineLevel="0" collapsed="false">
      <c r="A139" s="5" t="s">
        <v>564</v>
      </c>
      <c r="B139" s="5" t="s">
        <v>559</v>
      </c>
      <c r="C139" s="5" t="s">
        <v>560</v>
      </c>
      <c r="D139" s="5" t="n">
        <v>2023</v>
      </c>
      <c r="E139" s="5" t="s">
        <v>402</v>
      </c>
      <c r="F139" s="5" t="s">
        <v>199</v>
      </c>
      <c r="G139" s="5" t="s">
        <v>160</v>
      </c>
      <c r="H139" s="5" t="s">
        <v>74</v>
      </c>
      <c r="I139" s="5" t="s">
        <v>200</v>
      </c>
      <c r="J139" s="5" t="s">
        <v>162</v>
      </c>
      <c r="K139" s="5" t="s">
        <v>163</v>
      </c>
      <c r="L139" s="5" t="s">
        <v>164</v>
      </c>
      <c r="M139" s="5" t="s">
        <v>561</v>
      </c>
      <c r="N139" s="5" t="n">
        <v>15</v>
      </c>
      <c r="O139" s="5" t="s">
        <v>261</v>
      </c>
      <c r="P139" s="6" t="s">
        <v>82</v>
      </c>
      <c r="Q139" s="6" t="s">
        <v>191</v>
      </c>
      <c r="R139" s="5"/>
      <c r="S139" s="6" t="s">
        <v>562</v>
      </c>
      <c r="T139" s="5" t="s">
        <v>563</v>
      </c>
      <c r="U139" s="6" t="s">
        <v>86</v>
      </c>
      <c r="V139" s="5" t="n">
        <v>37</v>
      </c>
      <c r="W139" s="5" t="n">
        <v>2.11</v>
      </c>
      <c r="X139" s="5" t="n">
        <v>0.61</v>
      </c>
      <c r="Y139" s="5" t="n">
        <v>38</v>
      </c>
      <c r="Z139" s="5" t="n">
        <v>1.74</v>
      </c>
      <c r="AA139" s="5" t="n">
        <v>0.76</v>
      </c>
      <c r="AB139" s="5" t="s">
        <v>99</v>
      </c>
      <c r="AC139" s="5"/>
      <c r="AD139" s="5" t="n">
        <v>1</v>
      </c>
      <c r="AE139" s="7" t="n">
        <f aca="false">IFERROR(IF(AB139="MSD",IF(COUNT(V139,W139,X139,Y139,Z139,AA139)&lt;6,"",(W139-Z139)/SQRT(((V139-1)*X139^2+(Y139-1)*AA139^2)/(V139+Y139-2))*AD139),IF(AB139="t",AC139*SQRT(1/V139+1/Y139)*AD139,IF(AB139="F",SQRT(AC139)*SQRT(1/V139+1/Y139)*AD139,IF(AB139="z",2*(AC139/SQRT(V139+Y139))/SQRT(1-(AC139/SQRT(V139+Y139))^2)*AD139,IF(AB139="t_paired",AC139/SQRT(V139)*AD139,""))))),"")</f>
        <v>0.536143190581776</v>
      </c>
      <c r="AF139" s="7" t="n">
        <f aca="false">IF(AE139="","",IF(AB139="t_paired",1-3/(4*(V139-1)-1),1-3/(4*(V139+Y139)-9)))</f>
        <v>0.989690721649485</v>
      </c>
      <c r="AG139" s="7" t="n">
        <f aca="false">IF(AE139="","",AE139*AF139)</f>
        <v>0.530615941194335</v>
      </c>
      <c r="AH139" s="7" t="n">
        <f aca="false">IF(AG139="","",IF(AB139="t_paired",1/V139+AG139^2/(2*V139),(V139+Y139)/(V139*Y139)+AG139^2/(2*(V139+Y139))))</f>
        <v>0.0552198383477082</v>
      </c>
      <c r="AI139" s="7" t="n">
        <f aca="false">IF(AH139="","",SQRT(AH139))</f>
        <v>0.234989017504453</v>
      </c>
      <c r="AJ139" s="7" t="n">
        <f aca="false">IF(AI139="","",AG139-1.96*AI139)</f>
        <v>0.0700374668856067</v>
      </c>
      <c r="AK139" s="7" t="n">
        <f aca="false">IF(AI139="","",AG139+1.96*AI139)</f>
        <v>0.991194415503063</v>
      </c>
      <c r="AL139" s="7" t="n">
        <f aca="false">IF(AI139="","",AG139/AI139)</f>
        <v>2.25804570285622</v>
      </c>
      <c r="AM139" s="8" t="n">
        <f aca="false">IF(AL139="","",2*(1-NORMSDIST(ABS(AL139))))</f>
        <v>0.0239428102415935</v>
      </c>
      <c r="AN139" s="9" t="n">
        <f aca="false">IF(COUNT(V139)=0,"",IF(AB139="t_paired",V139,V139+N(Y139)))</f>
        <v>75</v>
      </c>
      <c r="AO139" s="7" t="n">
        <f aca="false">IF(AH139="","",1/AH139)</f>
        <v>18.109433673152</v>
      </c>
      <c r="AP139" s="5" t="s">
        <v>88</v>
      </c>
      <c r="AQ139" s="5" t="s">
        <v>167</v>
      </c>
      <c r="AR139" s="5"/>
      <c r="AS139" s="7" t="n">
        <f aca="false">IF(AND(AP139="Y",ISNUMBER(AO139)),AO139,0)</f>
        <v>18.109433673152</v>
      </c>
      <c r="AT139" s="7" t="n">
        <f aca="false">IF(AS139&gt;0,AS139*AG139,0)</f>
        <v>9.60915419297596</v>
      </c>
      <c r="AU139" s="7" t="n">
        <f aca="false">IF(AS139&gt;0,AS139*AG139^2,0)</f>
        <v>5.09877039618743</v>
      </c>
      <c r="AV139" s="9" t="n">
        <f aca="false">IF(AS139&gt;0,AS139^2,0)</f>
        <v>327.951587962293</v>
      </c>
      <c r="AW139" s="7" t="n">
        <f aca="false">IF(AS139&gt;0,AG139,0)</f>
        <v>0.530615941194335</v>
      </c>
      <c r="AX139" s="7" t="n">
        <f aca="false">IF(AS139&gt;0,AH139,1)</f>
        <v>0.0552198383477082</v>
      </c>
    </row>
    <row r="140" customFormat="false" ht="15" hidden="false" customHeight="false" outlineLevel="0" collapsed="false">
      <c r="A140" s="5" t="s">
        <v>565</v>
      </c>
      <c r="B140" s="5" t="s">
        <v>566</v>
      </c>
      <c r="C140" s="5" t="s">
        <v>567</v>
      </c>
      <c r="D140" s="5" t="n">
        <v>2025</v>
      </c>
      <c r="E140" s="5" t="s">
        <v>553</v>
      </c>
      <c r="F140" s="5" t="s">
        <v>568</v>
      </c>
      <c r="G140" s="5" t="s">
        <v>569</v>
      </c>
      <c r="H140" s="5" t="s">
        <v>74</v>
      </c>
      <c r="I140" s="5" t="s">
        <v>207</v>
      </c>
      <c r="J140" s="5" t="s">
        <v>189</v>
      </c>
      <c r="K140" s="5" t="s">
        <v>570</v>
      </c>
      <c r="L140" s="5" t="s">
        <v>571</v>
      </c>
      <c r="M140" s="5"/>
      <c r="N140" s="5"/>
      <c r="O140" s="5" t="s">
        <v>81</v>
      </c>
      <c r="P140" s="11" t="s">
        <v>113</v>
      </c>
      <c r="Q140" s="11" t="s">
        <v>114</v>
      </c>
      <c r="R140" s="5" t="s">
        <v>125</v>
      </c>
      <c r="S140" s="11" t="s">
        <v>572</v>
      </c>
      <c r="T140" s="5" t="s">
        <v>573</v>
      </c>
      <c r="U140" s="11" t="s">
        <v>86</v>
      </c>
      <c r="V140" s="5" t="n">
        <v>104</v>
      </c>
      <c r="W140" s="5" t="n">
        <v>2.24</v>
      </c>
      <c r="X140" s="5" t="n">
        <v>0.88</v>
      </c>
      <c r="Y140" s="5" t="n">
        <v>110</v>
      </c>
      <c r="Z140" s="5" t="n">
        <v>2.38</v>
      </c>
      <c r="AA140" s="5" t="n">
        <v>0.95</v>
      </c>
      <c r="AB140" s="5" t="s">
        <v>99</v>
      </c>
      <c r="AC140" s="5"/>
      <c r="AD140" s="5" t="n">
        <v>1</v>
      </c>
      <c r="AE140" s="7" t="n">
        <f aca="false">IFERROR(IF(AB140="MSD",IF(COUNT(V140,W140,X140,Y140,Z140,AA140)&lt;6,"",(W140-Z140)/SQRT(((V140-1)*X140^2+(Y140-1)*AA140^2)/(V140+Y140-2))*AD140),IF(AB140="t",AC140*SQRT(1/V140+1/Y140)*AD140,IF(AB140="F",SQRT(AC140)*SQRT(1/V140+1/Y140)*AD140,IF(AB140="z",2*(AC140/SQRT(V140+Y140))/SQRT(1-(AC140/SQRT(V140+Y140))^2)*AD140,IF(AB140="t_paired",AC140/SQRT(V140)*AD140,""))))),"")</f>
        <v>-0.152728639741642</v>
      </c>
      <c r="AF140" s="7" t="n">
        <f aca="false">IF(AE140="","",IF(AB140="t_paired",1-3/(4*(V140-1)-1),1-3/(4*(V140+Y140)-9)))</f>
        <v>0.996458087367178</v>
      </c>
      <c r="AG140" s="7" t="n">
        <f aca="false">IF(AE140="","",AE140*AF140)</f>
        <v>-0.152187688243148</v>
      </c>
      <c r="AH140" s="7" t="n">
        <f aca="false">IF(AG140="","",IF(AB140="t_paired",1/V140+AG140^2/(2*V140),(V140+Y140)/(V140*Y140)+AG140^2/(2*(V140+Y140))))</f>
        <v>0.0187604084082862</v>
      </c>
      <c r="AI140" s="7" t="n">
        <f aca="false">IF(AH140="","",SQRT(AH140))</f>
        <v>0.136968640236684</v>
      </c>
      <c r="AJ140" s="7" t="n">
        <f aca="false">IF(AI140="","",AG140-1.96*AI140)</f>
        <v>-0.420646223107049</v>
      </c>
      <c r="AK140" s="7" t="n">
        <f aca="false">IF(AI140="","",AG140+1.96*AI140)</f>
        <v>0.116270846620753</v>
      </c>
      <c r="AL140" s="7" t="n">
        <f aca="false">IF(AI140="","",AG140/AI140)</f>
        <v>-1.11111337588053</v>
      </c>
      <c r="AM140" s="8" t="n">
        <f aca="false">IF(AL140="","",2*(1-NORMSDIST(ABS(AL140))))</f>
        <v>0.266519551083628</v>
      </c>
      <c r="AN140" s="9" t="n">
        <f aca="false">IF(COUNT(V140)=0,"",IF(AB140="t_paired",V140,V140+N(Y140)))</f>
        <v>214</v>
      </c>
      <c r="AO140" s="7" t="n">
        <f aca="false">IF(AH140="","",1/AH140)</f>
        <v>53.3037436199051</v>
      </c>
      <c r="AP140" s="5" t="s">
        <v>88</v>
      </c>
      <c r="AQ140" s="5" t="s">
        <v>227</v>
      </c>
      <c r="AR140" s="5"/>
      <c r="AS140" s="7" t="n">
        <f aca="false">IF(AND(AP140="Y",ISNUMBER(AO140)),AO140,0)</f>
        <v>53.3037436199051</v>
      </c>
      <c r="AT140" s="7" t="n">
        <f aca="false">IF(AS140&gt;0,AS140*AG140,0)</f>
        <v>-8.11217351621879</v>
      </c>
      <c r="AU140" s="7" t="n">
        <f aca="false">IF(AS140&gt;0,AS140*AG140^2,0)</f>
        <v>1.23457293406062</v>
      </c>
      <c r="AV140" s="9" t="n">
        <f aca="false">IF(AS140&gt;0,AS140^2,0)</f>
        <v>2841.28908389657</v>
      </c>
      <c r="AW140" s="7" t="n">
        <f aca="false">IF(AS140&gt;0,AG140,0)</f>
        <v>-0.152187688243148</v>
      </c>
      <c r="AX140" s="7" t="n">
        <f aca="false">IF(AS140&gt;0,AH140,1)</f>
        <v>0.0187604084082862</v>
      </c>
    </row>
    <row r="141" customFormat="false" ht="15" hidden="false" customHeight="false" outlineLevel="0" collapsed="false">
      <c r="A141" s="5" t="s">
        <v>574</v>
      </c>
      <c r="B141" s="5" t="s">
        <v>575</v>
      </c>
      <c r="C141" s="5" t="s">
        <v>576</v>
      </c>
      <c r="D141" s="5" t="n">
        <v>2022</v>
      </c>
      <c r="E141" s="5" t="s">
        <v>206</v>
      </c>
      <c r="F141" s="5" t="s">
        <v>173</v>
      </c>
      <c r="G141" s="5" t="s">
        <v>187</v>
      </c>
      <c r="H141" s="5" t="s">
        <v>74</v>
      </c>
      <c r="I141" s="5" t="s">
        <v>207</v>
      </c>
      <c r="J141" s="5" t="s">
        <v>189</v>
      </c>
      <c r="K141" s="5" t="s">
        <v>163</v>
      </c>
      <c r="L141" s="5" t="s">
        <v>164</v>
      </c>
      <c r="M141" s="5"/>
      <c r="N141" s="5"/>
      <c r="O141" s="5" t="s">
        <v>190</v>
      </c>
      <c r="P141" s="6" t="s">
        <v>82</v>
      </c>
      <c r="Q141" s="6" t="s">
        <v>103</v>
      </c>
      <c r="R141" s="5"/>
      <c r="S141" s="6" t="s">
        <v>212</v>
      </c>
      <c r="T141" s="5"/>
      <c r="U141" s="6" t="s">
        <v>86</v>
      </c>
      <c r="V141" s="5" t="n">
        <v>18</v>
      </c>
      <c r="W141" s="5" t="n">
        <v>66.33</v>
      </c>
      <c r="X141" s="5" t="n">
        <v>10.39</v>
      </c>
      <c r="Y141" s="5" t="n">
        <v>20</v>
      </c>
      <c r="Z141" s="5" t="n">
        <v>57.4</v>
      </c>
      <c r="AA141" s="5" t="n">
        <v>12.33</v>
      </c>
      <c r="AB141" s="5" t="s">
        <v>99</v>
      </c>
      <c r="AC141" s="5"/>
      <c r="AD141" s="5" t="n">
        <v>1</v>
      </c>
      <c r="AE141" s="7" t="n">
        <f aca="false">IFERROR(IF(AB141="MSD",IF(COUNT(V141,W141,X141,Y141,Z141,AA141)&lt;6,"",(W141-Z141)/SQRT(((V141-1)*X141^2+(Y141-1)*AA141^2)/(V141+Y141-2))*AD141),IF(AB141="t",AC141*SQRT(1/V141+1/Y141)*AD141,IF(AB141="F",SQRT(AC141)*SQRT(1/V141+1/Y141)*AD141,IF(AB141="z",2*(AC141/SQRT(V141+Y141))/SQRT(1-(AC141/SQRT(V141+Y141))^2)*AD141,IF(AB141="t_paired",AC141/SQRT(V141)*AD141,""))))),"")</f>
        <v>0.779578683709812</v>
      </c>
      <c r="AF141" s="7" t="n">
        <f aca="false">IF(AE141="","",IF(AB141="t_paired",1-3/(4*(V141-1)-1),1-3/(4*(V141+Y141)-9)))</f>
        <v>0.979020979020979</v>
      </c>
      <c r="AG141" s="7" t="n">
        <f aca="false">IF(AE141="","",AE141*AF141)</f>
        <v>0.763223886149466</v>
      </c>
      <c r="AH141" s="7" t="n">
        <f aca="false">IF(AG141="","",IF(AB141="t_paired",1/V141+AG141^2/(2*V141),(V141+Y141)/(V141*Y141)+AG141^2/(2*(V141+Y141))))</f>
        <v>0.113220170034359</v>
      </c>
      <c r="AI141" s="7" t="n">
        <f aca="false">IF(AH141="","",SQRT(AH141))</f>
        <v>0.336482050092363</v>
      </c>
      <c r="AJ141" s="7" t="n">
        <f aca="false">IF(AI141="","",AG141-1.96*AI141)</f>
        <v>0.103719067968435</v>
      </c>
      <c r="AK141" s="7" t="n">
        <f aca="false">IF(AI141="","",AG141+1.96*AI141)</f>
        <v>1.4227287043305</v>
      </c>
      <c r="AL141" s="7" t="n">
        <f aca="false">IF(AI141="","",AG141/AI141)</f>
        <v>2.26824547086528</v>
      </c>
      <c r="AM141" s="8" t="n">
        <f aca="false">IF(AL141="","",2*(1-NORMSDIST(ABS(AL141))))</f>
        <v>0.0233142494202085</v>
      </c>
      <c r="AN141" s="9" t="n">
        <f aca="false">IF(COUNT(V141)=0,"",IF(AB141="t_paired",V141,V141+N(Y141)))</f>
        <v>38</v>
      </c>
      <c r="AO141" s="7" t="n">
        <f aca="false">IF(AH141="","",1/AH141)</f>
        <v>8.8323485090733</v>
      </c>
      <c r="AP141" s="5" t="s">
        <v>88</v>
      </c>
      <c r="AQ141" s="5" t="s">
        <v>210</v>
      </c>
      <c r="AR141" s="5"/>
      <c r="AS141" s="7" t="n">
        <f aca="false">IF(AND(AP141="Y",ISNUMBER(AO141)),AO141,0)</f>
        <v>8.8323485090733</v>
      </c>
      <c r="AT141" s="7" t="n">
        <f aca="false">IF(AS141&gt;0,AS141*AG141,0)</f>
        <v>6.74105935292137</v>
      </c>
      <c r="AU141" s="7" t="n">
        <f aca="false">IF(AS141&gt;0,AS141*AG141^2,0)</f>
        <v>5.14493751610085</v>
      </c>
      <c r="AV141" s="9" t="n">
        <f aca="false">IF(AS141&gt;0,AS141^2,0)</f>
        <v>78.0103801857294</v>
      </c>
      <c r="AW141" s="7" t="n">
        <f aca="false">IF(AS141&gt;0,AG141,0)</f>
        <v>0.763223886149466</v>
      </c>
      <c r="AX141" s="7" t="n">
        <f aca="false">IF(AS141&gt;0,AH141,1)</f>
        <v>0.113220170034359</v>
      </c>
    </row>
    <row r="142" customFormat="false" ht="15" hidden="false" customHeight="false" outlineLevel="0" collapsed="false">
      <c r="A142" s="5" t="s">
        <v>577</v>
      </c>
      <c r="B142" s="5" t="s">
        <v>575</v>
      </c>
      <c r="C142" s="5" t="s">
        <v>576</v>
      </c>
      <c r="D142" s="5" t="n">
        <v>2022</v>
      </c>
      <c r="E142" s="5" t="s">
        <v>206</v>
      </c>
      <c r="F142" s="5" t="s">
        <v>173</v>
      </c>
      <c r="G142" s="5" t="s">
        <v>187</v>
      </c>
      <c r="H142" s="5" t="s">
        <v>74</v>
      </c>
      <c r="I142" s="5" t="s">
        <v>207</v>
      </c>
      <c r="J142" s="5" t="s">
        <v>189</v>
      </c>
      <c r="K142" s="5" t="s">
        <v>163</v>
      </c>
      <c r="L142" s="5" t="s">
        <v>164</v>
      </c>
      <c r="M142" s="5"/>
      <c r="N142" s="5"/>
      <c r="O142" s="5" t="s">
        <v>190</v>
      </c>
      <c r="P142" s="11" t="s">
        <v>113</v>
      </c>
      <c r="Q142" s="11" t="s">
        <v>114</v>
      </c>
      <c r="R142" s="5" t="s">
        <v>125</v>
      </c>
      <c r="S142" s="11" t="s">
        <v>235</v>
      </c>
      <c r="T142" s="5"/>
      <c r="U142" s="11" t="s">
        <v>86</v>
      </c>
      <c r="V142" s="5" t="n">
        <v>18</v>
      </c>
      <c r="W142" s="5" t="n">
        <v>4.22</v>
      </c>
      <c r="X142" s="5" t="n">
        <v>0.52</v>
      </c>
      <c r="Y142" s="5" t="n">
        <v>20</v>
      </c>
      <c r="Z142" s="5" t="n">
        <v>3.67</v>
      </c>
      <c r="AA142" s="5" t="n">
        <v>0.36</v>
      </c>
      <c r="AB142" s="5" t="s">
        <v>99</v>
      </c>
      <c r="AC142" s="5"/>
      <c r="AD142" s="5" t="n">
        <v>1</v>
      </c>
      <c r="AE142" s="7" t="n">
        <f aca="false">IFERROR(IF(AB142="MSD",IF(COUNT(V142,W142,X142,Y142,Z142,AA142)&lt;6,"",(W142-Z142)/SQRT(((V142-1)*X142^2+(Y142-1)*AA142^2)/(V142+Y142-2))*AD142),IF(AB142="t",AC142*SQRT(1/V142+1/Y142)*AD142,IF(AB142="F",SQRT(AC142)*SQRT(1/V142+1/Y142)*AD142,IF(AB142="z",2*(AC142/SQRT(V142+Y142))/SQRT(1-(AC142/SQRT(V142+Y142))^2)*AD142,IF(AB142="t_paired",AC142/SQRT(V142)*AD142,""))))),"")</f>
        <v>1.24204175629809</v>
      </c>
      <c r="AF142" s="7" t="n">
        <f aca="false">IF(AE142="","",IF(AB142="t_paired",1-3/(4*(V142-1)-1),1-3/(4*(V142+Y142)-9)))</f>
        <v>0.979020979020979</v>
      </c>
      <c r="AG142" s="7" t="n">
        <f aca="false">IF(AE142="","",AE142*AF142)</f>
        <v>1.21598493623589</v>
      </c>
      <c r="AH142" s="7" t="n">
        <f aca="false">IF(AG142="","",IF(AB142="t_paired",1/V142+AG142^2/(2*V142),(V142+Y142)/(V142*Y142)+AG142^2/(2*(V142+Y142))))</f>
        <v>0.12501107351809</v>
      </c>
      <c r="AI142" s="7" t="n">
        <f aca="false">IF(AH142="","",SQRT(AH142))</f>
        <v>0.353569050565925</v>
      </c>
      <c r="AJ142" s="7" t="n">
        <f aca="false">IF(AI142="","",AG142-1.96*AI142)</f>
        <v>0.522989597126674</v>
      </c>
      <c r="AK142" s="7" t="n">
        <f aca="false">IF(AI142="","",AG142+1.96*AI142)</f>
        <v>1.9089802753451</v>
      </c>
      <c r="AL142" s="7" t="n">
        <f aca="false">IF(AI142="","",AG142/AI142)</f>
        <v>3.43917244535282</v>
      </c>
      <c r="AM142" s="8" t="n">
        <f aca="false">IF(AL142="","",2*(1-NORMSDIST(ABS(AL142))))</f>
        <v>0.000583495422409319</v>
      </c>
      <c r="AN142" s="9" t="n">
        <f aca="false">IF(COUNT(V142)=0,"",IF(AB142="t_paired",V142,V142+N(Y142)))</f>
        <v>38</v>
      </c>
      <c r="AO142" s="7" t="n">
        <f aca="false">IF(AH142="","",1/AH142)</f>
        <v>7.99929135761957</v>
      </c>
      <c r="AP142" s="5" t="s">
        <v>88</v>
      </c>
      <c r="AQ142" s="5" t="s">
        <v>227</v>
      </c>
      <c r="AR142" s="5"/>
      <c r="AS142" s="7" t="n">
        <f aca="false">IF(AND(AP142="Y",ISNUMBER(AO142)),AO142,0)</f>
        <v>7.99929135761957</v>
      </c>
      <c r="AT142" s="7" t="n">
        <f aca="false">IF(AS142&gt;0,AS142*AG142,0)</f>
        <v>9.72701779142732</v>
      </c>
      <c r="AU142" s="7" t="n">
        <f aca="false">IF(AS142&gt;0,AS142*AG142^2,0)</f>
        <v>11.8279071088741</v>
      </c>
      <c r="AV142" s="9" t="n">
        <f aca="false">IF(AS142&gt;0,AS142^2,0)</f>
        <v>63.9886622240872</v>
      </c>
      <c r="AW142" s="7" t="n">
        <f aca="false">IF(AS142&gt;0,AG142,0)</f>
        <v>1.21598493623589</v>
      </c>
      <c r="AX142" s="7" t="n">
        <f aca="false">IF(AS142&gt;0,AH142,1)</f>
        <v>0.12501107351809</v>
      </c>
    </row>
    <row r="143" customFormat="false" ht="15" hidden="false" customHeight="false" outlineLevel="0" collapsed="false">
      <c r="A143" s="5" t="s">
        <v>578</v>
      </c>
      <c r="B143" s="5" t="s">
        <v>579</v>
      </c>
      <c r="C143" s="5" t="s">
        <v>580</v>
      </c>
      <c r="D143" s="5" t="n">
        <v>2024</v>
      </c>
      <c r="E143" s="5" t="s">
        <v>221</v>
      </c>
      <c r="F143" s="5" t="s">
        <v>199</v>
      </c>
      <c r="G143" s="5" t="s">
        <v>160</v>
      </c>
      <c r="H143" s="5" t="s">
        <v>74</v>
      </c>
      <c r="I143" s="5" t="s">
        <v>200</v>
      </c>
      <c r="J143" s="5" t="s">
        <v>162</v>
      </c>
      <c r="K143" s="5" t="s">
        <v>163</v>
      </c>
      <c r="L143" s="5" t="s">
        <v>164</v>
      </c>
      <c r="M143" s="5"/>
      <c r="N143" s="5" t="n">
        <v>60</v>
      </c>
      <c r="O143" s="5" t="s">
        <v>162</v>
      </c>
      <c r="P143" s="6" t="s">
        <v>82</v>
      </c>
      <c r="Q143" s="6" t="s">
        <v>83</v>
      </c>
      <c r="R143" s="5"/>
      <c r="S143" s="6" t="s">
        <v>212</v>
      </c>
      <c r="T143" s="5" t="s">
        <v>213</v>
      </c>
      <c r="U143" s="6" t="s">
        <v>86</v>
      </c>
      <c r="V143" s="5" t="n">
        <v>17</v>
      </c>
      <c r="W143" s="5" t="n">
        <v>67.82</v>
      </c>
      <c r="X143" s="5" t="n">
        <v>19.06</v>
      </c>
      <c r="Y143" s="5" t="n">
        <v>22</v>
      </c>
      <c r="Z143" s="5" t="n">
        <v>66</v>
      </c>
      <c r="AA143" s="5" t="n">
        <v>23.37</v>
      </c>
      <c r="AB143" s="5" t="s">
        <v>99</v>
      </c>
      <c r="AC143" s="5"/>
      <c r="AD143" s="5" t="n">
        <v>1</v>
      </c>
      <c r="AE143" s="7" t="n">
        <f aca="false">IFERROR(IF(AB143="MSD",IF(COUNT(V143,W143,X143,Y143,Z143,AA143)&lt;6,"",(W143-Z143)/SQRT(((V143-1)*X143^2+(Y143-1)*AA143^2)/(V143+Y143-2))*AD143),IF(AB143="t",AC143*SQRT(1/V143+1/Y143)*AD143,IF(AB143="F",SQRT(AC143)*SQRT(1/V143+1/Y143)*AD143,IF(AB143="z",2*(AC143/SQRT(V143+Y143))/SQRT(1-(AC143/SQRT(V143+Y143))^2)*AD143,IF(AB143="t_paired",AC143/SQRT(V143)*AD143,""))))),"")</f>
        <v>0.0842126539415687</v>
      </c>
      <c r="AF143" s="7" t="n">
        <f aca="false">IF(AE143="","",IF(AB143="t_paired",1-3/(4*(V143-1)-1),1-3/(4*(V143+Y143)-9)))</f>
        <v>0.979591836734694</v>
      </c>
      <c r="AG143" s="7" t="n">
        <f aca="false">IF(AE143="","",AE143*AF143)</f>
        <v>0.0824940283509244</v>
      </c>
      <c r="AH143" s="7" t="n">
        <f aca="false">IF(AG143="","",IF(AB143="t_paired",1/V143+AG143^2/(2*V143),(V143+Y143)/(V143*Y143)+AG143^2/(2*(V143+Y143))))</f>
        <v>0.104365321849817</v>
      </c>
      <c r="AI143" s="7" t="n">
        <f aca="false">IF(AH143="","",SQRT(AH143))</f>
        <v>0.323056220880851</v>
      </c>
      <c r="AJ143" s="7" t="n">
        <f aca="false">IF(AI143="","",AG143-1.96*AI143)</f>
        <v>-0.550696164575544</v>
      </c>
      <c r="AK143" s="7" t="n">
        <f aca="false">IF(AI143="","",AG143+1.96*AI143)</f>
        <v>0.715684221277393</v>
      </c>
      <c r="AL143" s="7" t="n">
        <f aca="false">IF(AI143="","",AG143/AI143)</f>
        <v>0.255355021878219</v>
      </c>
      <c r="AM143" s="8" t="n">
        <f aca="false">IF(AL143="","",2*(1-NORMSDIST(ABS(AL143))))</f>
        <v>0.798448906768716</v>
      </c>
      <c r="AN143" s="9" t="n">
        <f aca="false">IF(COUNT(V143)=0,"",IF(AB143="t_paired",V143,V143+N(Y143)))</f>
        <v>39</v>
      </c>
      <c r="AO143" s="7" t="n">
        <f aca="false">IF(AH143="","",1/AH143)</f>
        <v>9.58172678697823</v>
      </c>
      <c r="AP143" s="5" t="s">
        <v>88</v>
      </c>
      <c r="AQ143" s="5" t="s">
        <v>167</v>
      </c>
      <c r="AR143" s="5"/>
      <c r="AS143" s="7" t="n">
        <f aca="false">IF(AND(AP143="Y",ISNUMBER(AO143)),AO143,0)</f>
        <v>9.58172678697823</v>
      </c>
      <c r="AT143" s="7" t="n">
        <f aca="false">IF(AS143&gt;0,AS143*AG143,0)</f>
        <v>0.790435241215794</v>
      </c>
      <c r="AU143" s="7" t="n">
        <f aca="false">IF(AS143&gt;0,AS143*AG143^2,0)</f>
        <v>0.0652061871984255</v>
      </c>
      <c r="AV143" s="9" t="n">
        <f aca="false">IF(AS143&gt;0,AS143^2,0)</f>
        <v>91.8094882202962</v>
      </c>
      <c r="AW143" s="7" t="n">
        <f aca="false">IF(AS143&gt;0,AG143,0)</f>
        <v>0.0824940283509244</v>
      </c>
      <c r="AX143" s="7" t="n">
        <f aca="false">IF(AS143&gt;0,AH143,1)</f>
        <v>0.104365321849817</v>
      </c>
    </row>
    <row r="144" customFormat="false" ht="15" hidden="false" customHeight="false" outlineLevel="0" collapsed="false">
      <c r="A144" s="5" t="s">
        <v>581</v>
      </c>
      <c r="B144" s="5" t="s">
        <v>582</v>
      </c>
      <c r="C144" s="5" t="s">
        <v>583</v>
      </c>
      <c r="D144" s="5" t="n">
        <v>2025</v>
      </c>
      <c r="E144" s="5" t="s">
        <v>402</v>
      </c>
      <c r="F144" s="5" t="s">
        <v>199</v>
      </c>
      <c r="G144" s="5" t="s">
        <v>160</v>
      </c>
      <c r="H144" s="5" t="s">
        <v>162</v>
      </c>
      <c r="I144" s="5"/>
      <c r="J144" s="5" t="s">
        <v>162</v>
      </c>
      <c r="K144" s="5" t="s">
        <v>163</v>
      </c>
      <c r="L144" s="5" t="s">
        <v>164</v>
      </c>
      <c r="M144" s="5"/>
      <c r="N144" s="5"/>
      <c r="O144" s="5" t="s">
        <v>162</v>
      </c>
      <c r="P144" s="10" t="s">
        <v>82</v>
      </c>
      <c r="Q144" s="10" t="s">
        <v>83</v>
      </c>
      <c r="R144" s="5"/>
      <c r="S144" s="10" t="s">
        <v>584</v>
      </c>
      <c r="T144" s="5"/>
      <c r="U144" s="10" t="s">
        <v>98</v>
      </c>
      <c r="V144" s="5" t="n">
        <v>21</v>
      </c>
      <c r="W144" s="5" t="n">
        <v>6.43</v>
      </c>
      <c r="X144" s="5" t="n">
        <v>3.34</v>
      </c>
      <c r="Y144" s="5" t="n">
        <v>20</v>
      </c>
      <c r="Z144" s="5" t="n">
        <v>3.9</v>
      </c>
      <c r="AA144" s="5" t="n">
        <v>2.67</v>
      </c>
      <c r="AB144" s="5" t="s">
        <v>99</v>
      </c>
      <c r="AC144" s="5"/>
      <c r="AD144" s="5" t="n">
        <v>1</v>
      </c>
      <c r="AE144" s="7" t="n">
        <f aca="false">IFERROR(IF(AB144="MSD",IF(COUNT(V144,W144,X144,Y144,Z144,AA144)&lt;6,"",(W144-Z144)/SQRT(((V144-1)*X144^2+(Y144-1)*AA144^2)/(V144+Y144-2))*AD144),IF(AB144="t",AC144*SQRT(1/V144+1/Y144)*AD144,IF(AB144="F",SQRT(AC144)*SQRT(1/V144+1/Y144)*AD144,IF(AB144="z",2*(AC144/SQRT(V144+Y144))/SQRT(1-(AC144/SQRT(V144+Y144))^2)*AD144,IF(AB144="t_paired",AC144/SQRT(V144)*AD144,""))))),"")</f>
        <v>0.834394127649004</v>
      </c>
      <c r="AF144" s="7" t="n">
        <f aca="false">IF(AE144="","",IF(AB144="t_paired",1-3/(4*(V144-1)-1),1-3/(4*(V144+Y144)-9)))</f>
        <v>0.980645161290323</v>
      </c>
      <c r="AG144" s="7" t="n">
        <f aca="false">IF(AE144="","",AE144*AF144)</f>
        <v>0.818244563888055</v>
      </c>
      <c r="AH144" s="7" t="n">
        <f aca="false">IF(AG144="","",IF(AB144="t_paired",1/V144+AG144^2/(2*V144),(V144+Y144)/(V144*Y144)+AG144^2/(2*(V144+Y144))))</f>
        <v>0.105783976476759</v>
      </c>
      <c r="AI144" s="7" t="n">
        <f aca="false">IF(AH144="","",SQRT(AH144))</f>
        <v>0.325244487235002</v>
      </c>
      <c r="AJ144" s="7" t="n">
        <f aca="false">IF(AI144="","",AG144-1.96*AI144)</f>
        <v>0.180765368907452</v>
      </c>
      <c r="AK144" s="7" t="n">
        <f aca="false">IF(AI144="","",AG144+1.96*AI144)</f>
        <v>1.45572375886866</v>
      </c>
      <c r="AL144" s="7" t="n">
        <f aca="false">IF(AI144="","",AG144/AI144)</f>
        <v>2.51578303707525</v>
      </c>
      <c r="AM144" s="8" t="n">
        <f aca="false">IF(AL144="","",2*(1-NORMSDIST(ABS(AL144))))</f>
        <v>0.011876827088716</v>
      </c>
      <c r="AN144" s="9" t="n">
        <f aca="false">IF(COUNT(V144)=0,"",IF(AB144="t_paired",V144,V144+N(Y144)))</f>
        <v>41</v>
      </c>
      <c r="AO144" s="7" t="n">
        <f aca="false">IF(AH144="","",1/AH144)</f>
        <v>9.45322754263922</v>
      </c>
      <c r="AP144" s="5" t="s">
        <v>100</v>
      </c>
      <c r="AQ144" s="5" t="s">
        <v>210</v>
      </c>
      <c r="AR144" s="5"/>
      <c r="AS144" s="9" t="n">
        <f aca="false">IF(AND(AP144="Y",ISNUMBER(AO144)),AO144,0)</f>
        <v>0</v>
      </c>
      <c r="AT144" s="7" t="n">
        <f aca="false">IF(AS144&gt;0,AS144*AG144,0)</f>
        <v>0</v>
      </c>
      <c r="AU144" s="7" t="n">
        <f aca="false">IF(AS144&gt;0,AS144*AG144^2,0)</f>
        <v>0</v>
      </c>
      <c r="AV144" s="9" t="n">
        <f aca="false">IF(AS144&gt;0,AS144^2,0)</f>
        <v>0</v>
      </c>
      <c r="AW144" s="7" t="n">
        <f aca="false">IF(AS144&gt;0,AG144,0)</f>
        <v>0</v>
      </c>
      <c r="AX144" s="7" t="n">
        <f aca="false">IF(AS144&gt;0,AH144,1)</f>
        <v>1</v>
      </c>
    </row>
    <row r="145" customFormat="false" ht="15" hidden="false" customHeight="false" outlineLevel="0" collapsed="false">
      <c r="A145" s="5" t="s">
        <v>585</v>
      </c>
      <c r="B145" s="5" t="s">
        <v>582</v>
      </c>
      <c r="C145" s="5" t="s">
        <v>583</v>
      </c>
      <c r="D145" s="5" t="n">
        <v>2025</v>
      </c>
      <c r="E145" s="5" t="s">
        <v>402</v>
      </c>
      <c r="F145" s="5" t="s">
        <v>199</v>
      </c>
      <c r="G145" s="5" t="s">
        <v>160</v>
      </c>
      <c r="H145" s="5" t="s">
        <v>162</v>
      </c>
      <c r="I145" s="5"/>
      <c r="J145" s="5" t="s">
        <v>162</v>
      </c>
      <c r="K145" s="5" t="s">
        <v>163</v>
      </c>
      <c r="L145" s="5" t="s">
        <v>164</v>
      </c>
      <c r="M145" s="5"/>
      <c r="N145" s="5"/>
      <c r="O145" s="5" t="s">
        <v>162</v>
      </c>
      <c r="P145" s="6" t="s">
        <v>82</v>
      </c>
      <c r="Q145" s="6" t="s">
        <v>83</v>
      </c>
      <c r="R145" s="5"/>
      <c r="S145" s="6" t="s">
        <v>584</v>
      </c>
      <c r="T145" s="5"/>
      <c r="U145" s="6" t="s">
        <v>86</v>
      </c>
      <c r="V145" s="5" t="n">
        <v>21</v>
      </c>
      <c r="W145" s="5" t="n">
        <v>12.1</v>
      </c>
      <c r="X145" s="5" t="n">
        <v>4.73</v>
      </c>
      <c r="Y145" s="5" t="n">
        <v>20</v>
      </c>
      <c r="Z145" s="5" t="n">
        <v>4.25</v>
      </c>
      <c r="AA145" s="5" t="n">
        <v>1.8</v>
      </c>
      <c r="AB145" s="5" t="s">
        <v>99</v>
      </c>
      <c r="AC145" s="5"/>
      <c r="AD145" s="5" t="n">
        <v>1</v>
      </c>
      <c r="AE145" s="7" t="n">
        <f aca="false">IFERROR(IF(AB145="MSD",IF(COUNT(V145,W145,X145,Y145,Z145,AA145)&lt;6,"",(W145-Z145)/SQRT(((V145-1)*X145^2+(Y145-1)*AA145^2)/(V145+Y145-2))*AD145),IF(AB145="t",AC145*SQRT(1/V145+1/Y145)*AD145,IF(AB145="F",SQRT(AC145)*SQRT(1/V145+1/Y145)*AD145,IF(AB145="z",2*(AC145/SQRT(V145+Y145))/SQRT(1-(AC145/SQRT(V145+Y145))^2)*AD145,IF(AB145="t_paired",AC145/SQRT(V145)*AD145,""))))),"")</f>
        <v>2.17287823695183</v>
      </c>
      <c r="AF145" s="7" t="n">
        <f aca="false">IF(AE145="","",IF(AB145="t_paired",1-3/(4*(V145-1)-1),1-3/(4*(V145+Y145)-9)))</f>
        <v>0.980645161290323</v>
      </c>
      <c r="AG145" s="7" t="n">
        <f aca="false">IF(AE145="","",AE145*AF145)</f>
        <v>2.13082252913986</v>
      </c>
      <c r="AH145" s="7" t="n">
        <f aca="false">IF(AG145="","",IF(AB145="t_paired",1/V145+AG145^2/(2*V145),(V145+Y145)/(V145*Y145)+AG145^2/(2*(V145+Y145))))</f>
        <v>0.152989836042096</v>
      </c>
      <c r="AI145" s="7" t="n">
        <f aca="false">IF(AH145="","",SQRT(AH145))</f>
        <v>0.391139151763277</v>
      </c>
      <c r="AJ145" s="7" t="n">
        <f aca="false">IF(AI145="","",AG145-1.96*AI145)</f>
        <v>1.36418979168383</v>
      </c>
      <c r="AK145" s="7" t="n">
        <f aca="false">IF(AI145="","",AG145+1.96*AI145)</f>
        <v>2.89745526659588</v>
      </c>
      <c r="AL145" s="7" t="n">
        <f aca="false">IF(AI145="","",AG145/AI145)</f>
        <v>5.44773521017773</v>
      </c>
      <c r="AM145" s="8" t="n">
        <f aca="false">IF(AL145="","",2*(1-NORMSDIST(ABS(AL145))))</f>
        <v>5.10152287080956E-008</v>
      </c>
      <c r="AN145" s="9" t="n">
        <f aca="false">IF(COUNT(V145)=0,"",IF(AB145="t_paired",V145,V145+N(Y145)))</f>
        <v>41</v>
      </c>
      <c r="AO145" s="7" t="n">
        <f aca="false">IF(AH145="","",1/AH145)</f>
        <v>6.5363819314431</v>
      </c>
      <c r="AP145" s="5" t="s">
        <v>88</v>
      </c>
      <c r="AQ145" s="5" t="s">
        <v>210</v>
      </c>
      <c r="AR145" s="5"/>
      <c r="AS145" s="7" t="n">
        <f aca="false">IF(AND(AP145="Y",ISNUMBER(AO145)),AO145,0)</f>
        <v>6.5363819314431</v>
      </c>
      <c r="AT145" s="7" t="n">
        <f aca="false">IF(AS145&gt;0,AS145*AG145,0)</f>
        <v>13.9278698785817</v>
      </c>
      <c r="AU145" s="7" t="n">
        <f aca="false">IF(AS145&gt;0,AS145*AG145^2,0)</f>
        <v>29.6778189202102</v>
      </c>
      <c r="AV145" s="9" t="n">
        <f aca="false">IF(AS145&gt;0,AS145^2,0)</f>
        <v>42.7242887536959</v>
      </c>
      <c r="AW145" s="7" t="n">
        <f aca="false">IF(AS145&gt;0,AG145,0)</f>
        <v>2.13082252913986</v>
      </c>
      <c r="AX145" s="7" t="n">
        <f aca="false">IF(AS145&gt;0,AH145,1)</f>
        <v>0.152989836042096</v>
      </c>
    </row>
    <row r="146" customFormat="false" ht="15" hidden="false" customHeight="false" outlineLevel="0" collapsed="false">
      <c r="A146" s="5" t="s">
        <v>586</v>
      </c>
      <c r="B146" s="5" t="s">
        <v>582</v>
      </c>
      <c r="C146" s="5" t="s">
        <v>583</v>
      </c>
      <c r="D146" s="5" t="n">
        <v>2025</v>
      </c>
      <c r="E146" s="5" t="s">
        <v>402</v>
      </c>
      <c r="F146" s="5" t="s">
        <v>199</v>
      </c>
      <c r="G146" s="5" t="s">
        <v>160</v>
      </c>
      <c r="H146" s="5" t="s">
        <v>162</v>
      </c>
      <c r="I146" s="5"/>
      <c r="J146" s="5" t="s">
        <v>162</v>
      </c>
      <c r="K146" s="5" t="s">
        <v>163</v>
      </c>
      <c r="L146" s="5" t="s">
        <v>164</v>
      </c>
      <c r="M146" s="5"/>
      <c r="N146" s="5"/>
      <c r="O146" s="5" t="s">
        <v>162</v>
      </c>
      <c r="P146" s="10" t="s">
        <v>82</v>
      </c>
      <c r="Q146" s="10" t="s">
        <v>83</v>
      </c>
      <c r="R146" s="5"/>
      <c r="S146" s="10" t="s">
        <v>587</v>
      </c>
      <c r="T146" s="5"/>
      <c r="U146" s="10" t="s">
        <v>98</v>
      </c>
      <c r="V146" s="5" t="n">
        <v>21</v>
      </c>
      <c r="W146" s="5" t="n">
        <v>1.95</v>
      </c>
      <c r="X146" s="5" t="n">
        <v>0.67</v>
      </c>
      <c r="Y146" s="5" t="n">
        <v>20</v>
      </c>
      <c r="Z146" s="5" t="n">
        <v>1.6</v>
      </c>
      <c r="AA146" s="5" t="n">
        <v>0.82</v>
      </c>
      <c r="AB146" s="5" t="s">
        <v>99</v>
      </c>
      <c r="AC146" s="5"/>
      <c r="AD146" s="5" t="n">
        <v>1</v>
      </c>
      <c r="AE146" s="7" t="n">
        <f aca="false">IFERROR(IF(AB146="MSD",IF(COUNT(V146,W146,X146,Y146,Z146,AA146)&lt;6,"",(W146-Z146)/SQRT(((V146-1)*X146^2+(Y146-1)*AA146^2)/(V146+Y146-2))*AD146),IF(AB146="t",AC146*SQRT(1/V146+1/Y146)*AD146,IF(AB146="F",SQRT(AC146)*SQRT(1/V146+1/Y146)*AD146,IF(AB146="z",2*(AC146/SQRT(V146+Y146))/SQRT(1-(AC146/SQRT(V146+Y146))^2)*AD146,IF(AB146="t_paired",AC146/SQRT(V146)*AD146,""))))),"")</f>
        <v>0.468635062401724</v>
      </c>
      <c r="AF146" s="7" t="n">
        <f aca="false">IF(AE146="","",IF(AB146="t_paired",1-3/(4*(V146-1)-1),1-3/(4*(V146+Y146)-9)))</f>
        <v>0.980645161290323</v>
      </c>
      <c r="AG146" s="7" t="n">
        <f aca="false">IF(AE146="","",AE146*AF146)</f>
        <v>0.459564706355239</v>
      </c>
      <c r="AH146" s="7" t="n">
        <f aca="false">IF(AG146="","",IF(AB146="t_paired",1/V146+AG146^2/(2*V146),(V146+Y146)/(V146*Y146)+AG146^2/(2*(V146+Y146))))</f>
        <v>0.100194653952308</v>
      </c>
      <c r="AI146" s="7" t="n">
        <f aca="false">IF(AH146="","",SQRT(AH146))</f>
        <v>0.316535391310843</v>
      </c>
      <c r="AJ146" s="7" t="n">
        <f aca="false">IF(AI146="","",AG146-1.96*AI146)</f>
        <v>-0.160844660614012</v>
      </c>
      <c r="AK146" s="7" t="n">
        <f aca="false">IF(AI146="","",AG146+1.96*AI146)</f>
        <v>1.07997407332449</v>
      </c>
      <c r="AL146" s="7" t="n">
        <f aca="false">IF(AI146="","",AG146/AI146)</f>
        <v>1.45185884097219</v>
      </c>
      <c r="AM146" s="8" t="n">
        <f aca="false">IF(AL146="","",2*(1-NORMSDIST(ABS(AL146))))</f>
        <v>0.146540858961499</v>
      </c>
      <c r="AN146" s="9" t="n">
        <f aca="false">IF(COUNT(V146)=0,"",IF(AB146="t_paired",V146,V146+N(Y146)))</f>
        <v>41</v>
      </c>
      <c r="AO146" s="7" t="n">
        <f aca="false">IF(AH146="","",1/AH146)</f>
        <v>9.98057242131891</v>
      </c>
      <c r="AP146" s="5" t="s">
        <v>100</v>
      </c>
      <c r="AQ146" s="5" t="s">
        <v>210</v>
      </c>
      <c r="AR146" s="5"/>
      <c r="AS146" s="9" t="n">
        <f aca="false">IF(AND(AP146="Y",ISNUMBER(AO146)),AO146,0)</f>
        <v>0</v>
      </c>
      <c r="AT146" s="7" t="n">
        <f aca="false">IF(AS146&gt;0,AS146*AG146,0)</f>
        <v>0</v>
      </c>
      <c r="AU146" s="7" t="n">
        <f aca="false">IF(AS146&gt;0,AS146*AG146^2,0)</f>
        <v>0</v>
      </c>
      <c r="AV146" s="9" t="n">
        <f aca="false">IF(AS146&gt;0,AS146^2,0)</f>
        <v>0</v>
      </c>
      <c r="AW146" s="7" t="n">
        <f aca="false">IF(AS146&gt;0,AG146,0)</f>
        <v>0</v>
      </c>
      <c r="AX146" s="7" t="n">
        <f aca="false">IF(AS146&gt;0,AH146,1)</f>
        <v>1</v>
      </c>
    </row>
    <row r="147" customFormat="false" ht="15" hidden="false" customHeight="false" outlineLevel="0" collapsed="false">
      <c r="A147" s="5" t="s">
        <v>588</v>
      </c>
      <c r="B147" s="5" t="s">
        <v>582</v>
      </c>
      <c r="C147" s="5" t="s">
        <v>583</v>
      </c>
      <c r="D147" s="5" t="n">
        <v>2025</v>
      </c>
      <c r="E147" s="5" t="s">
        <v>402</v>
      </c>
      <c r="F147" s="5" t="s">
        <v>199</v>
      </c>
      <c r="G147" s="5" t="s">
        <v>160</v>
      </c>
      <c r="H147" s="5" t="s">
        <v>162</v>
      </c>
      <c r="I147" s="5"/>
      <c r="J147" s="5" t="s">
        <v>162</v>
      </c>
      <c r="K147" s="5" t="s">
        <v>163</v>
      </c>
      <c r="L147" s="5" t="s">
        <v>164</v>
      </c>
      <c r="M147" s="5"/>
      <c r="N147" s="5"/>
      <c r="O147" s="5" t="s">
        <v>162</v>
      </c>
      <c r="P147" s="6" t="s">
        <v>82</v>
      </c>
      <c r="Q147" s="6" t="s">
        <v>83</v>
      </c>
      <c r="R147" s="5"/>
      <c r="S147" s="6" t="s">
        <v>587</v>
      </c>
      <c r="T147" s="5"/>
      <c r="U147" s="6" t="s">
        <v>86</v>
      </c>
      <c r="V147" s="5" t="n">
        <v>21</v>
      </c>
      <c r="W147" s="5" t="n">
        <v>2.67</v>
      </c>
      <c r="X147" s="5" t="n">
        <v>0.66</v>
      </c>
      <c r="Y147" s="5" t="n">
        <v>20</v>
      </c>
      <c r="Z147" s="5" t="n">
        <v>1.15</v>
      </c>
      <c r="AA147" s="5" t="n">
        <v>0.49</v>
      </c>
      <c r="AB147" s="5" t="s">
        <v>99</v>
      </c>
      <c r="AC147" s="5"/>
      <c r="AD147" s="5" t="n">
        <v>1</v>
      </c>
      <c r="AE147" s="7" t="n">
        <f aca="false">IFERROR(IF(AB147="MSD",IF(COUNT(V147,W147,X147,Y147,Z147,AA147)&lt;6,"",(W147-Z147)/SQRT(((V147-1)*X147^2+(Y147-1)*AA147^2)/(V147+Y147-2))*AD147),IF(AB147="t",AC147*SQRT(1/V147+1/Y147)*AD147,IF(AB147="F",SQRT(AC147)*SQRT(1/V147+1/Y147)*AD147,IF(AB147="z",2*(AC147/SQRT(V147+Y147))/SQRT(1-(AC147/SQRT(V147+Y147))^2)*AD147,IF(AB147="t_paired",AC147/SQRT(V147)*AD147,""))))),"")</f>
        <v>2.60541326948214</v>
      </c>
      <c r="AF147" s="7" t="n">
        <f aca="false">IF(AE147="","",IF(AB147="t_paired",1-3/(4*(V147-1)-1),1-3/(4*(V147+Y147)-9)))</f>
        <v>0.980645161290323</v>
      </c>
      <c r="AG147" s="7" t="n">
        <f aca="false">IF(AE147="","",AE147*AF147)</f>
        <v>2.55498591587926</v>
      </c>
      <c r="AH147" s="7" t="n">
        <f aca="false">IF(AG147="","",IF(AB147="t_paired",1/V147+AG147^2/(2*V147),(V147+Y147)/(V147*Y147)+AG147^2/(2*(V147+Y147))))</f>
        <v>0.177228230915894</v>
      </c>
      <c r="AI147" s="7" t="n">
        <f aca="false">IF(AH147="","",SQRT(AH147))</f>
        <v>0.420984834543827</v>
      </c>
      <c r="AJ147" s="7" t="n">
        <f aca="false">IF(AI147="","",AG147-1.96*AI147)</f>
        <v>1.72985564017336</v>
      </c>
      <c r="AK147" s="7" t="n">
        <f aca="false">IF(AI147="","",AG147+1.96*AI147)</f>
        <v>3.38011619158516</v>
      </c>
      <c r="AL147" s="7" t="n">
        <f aca="false">IF(AI147="","",AG147/AI147)</f>
        <v>6.06906877927753</v>
      </c>
      <c r="AM147" s="8" t="n">
        <f aca="false">IF(AL147="","",2*(1-NORMSDIST(ABS(AL147))))</f>
        <v>1.28654042974574E-009</v>
      </c>
      <c r="AN147" s="9" t="n">
        <f aca="false">IF(COUNT(V147)=0,"",IF(AB147="t_paired",V147,V147+N(Y147)))</f>
        <v>41</v>
      </c>
      <c r="AO147" s="7" t="n">
        <f aca="false">IF(AH147="","",1/AH147)</f>
        <v>5.6424419226673</v>
      </c>
      <c r="AP147" s="5" t="s">
        <v>88</v>
      </c>
      <c r="AQ147" s="5" t="s">
        <v>210</v>
      </c>
      <c r="AR147" s="5"/>
      <c r="AS147" s="7" t="n">
        <f aca="false">IF(AND(AP147="Y",ISNUMBER(AO147)),AO147,0)</f>
        <v>5.6424419226673</v>
      </c>
      <c r="AT147" s="7" t="n">
        <f aca="false">IF(AS147&gt;0,AS147*AG147,0)</f>
        <v>14.4163596435817</v>
      </c>
      <c r="AU147" s="7" t="n">
        <f aca="false">IF(AS147&gt;0,AS147*AG147^2,0)</f>
        <v>36.8335958476013</v>
      </c>
      <c r="AV147" s="9" t="n">
        <f aca="false">IF(AS147&gt;0,AS147^2,0)</f>
        <v>31.8371508506735</v>
      </c>
      <c r="AW147" s="7" t="n">
        <f aca="false">IF(AS147&gt;0,AG147,0)</f>
        <v>2.55498591587926</v>
      </c>
      <c r="AX147" s="7" t="n">
        <f aca="false">IF(AS147&gt;0,AH147,1)</f>
        <v>0.177228230915894</v>
      </c>
    </row>
    <row r="148" customFormat="false" ht="15" hidden="false" customHeight="false" outlineLevel="0" collapsed="false">
      <c r="A148" s="5" t="s">
        <v>589</v>
      </c>
      <c r="B148" s="5" t="s">
        <v>582</v>
      </c>
      <c r="C148" s="5" t="s">
        <v>583</v>
      </c>
      <c r="D148" s="5" t="n">
        <v>2025</v>
      </c>
      <c r="E148" s="5" t="s">
        <v>402</v>
      </c>
      <c r="F148" s="5" t="s">
        <v>199</v>
      </c>
      <c r="G148" s="5" t="s">
        <v>160</v>
      </c>
      <c r="H148" s="5" t="s">
        <v>162</v>
      </c>
      <c r="I148" s="5"/>
      <c r="J148" s="5" t="s">
        <v>162</v>
      </c>
      <c r="K148" s="5" t="s">
        <v>163</v>
      </c>
      <c r="L148" s="5" t="s">
        <v>164</v>
      </c>
      <c r="M148" s="5"/>
      <c r="N148" s="5"/>
      <c r="O148" s="5" t="s">
        <v>162</v>
      </c>
      <c r="P148" s="10" t="s">
        <v>82</v>
      </c>
      <c r="Q148" s="10" t="s">
        <v>83</v>
      </c>
      <c r="R148" s="5"/>
      <c r="S148" s="10" t="s">
        <v>590</v>
      </c>
      <c r="T148" s="5"/>
      <c r="U148" s="10" t="s">
        <v>98</v>
      </c>
      <c r="V148" s="5" t="n">
        <v>21</v>
      </c>
      <c r="W148" s="5" t="n">
        <v>2.62</v>
      </c>
      <c r="X148" s="5" t="n">
        <v>0.51</v>
      </c>
      <c r="Y148" s="5" t="n">
        <v>20</v>
      </c>
      <c r="Z148" s="5" t="n">
        <v>2.2</v>
      </c>
      <c r="AA148" s="5" t="n">
        <v>0.62</v>
      </c>
      <c r="AB148" s="5" t="s">
        <v>99</v>
      </c>
      <c r="AC148" s="5"/>
      <c r="AD148" s="5" t="n">
        <v>1</v>
      </c>
      <c r="AE148" s="7" t="n">
        <f aca="false">IFERROR(IF(AB148="MSD",IF(COUNT(V148,W148,X148,Y148,Z148,AA148)&lt;6,"",(W148-Z148)/SQRT(((V148-1)*X148^2+(Y148-1)*AA148^2)/(V148+Y148-2))*AD148),IF(AB148="t",AC148*SQRT(1/V148+1/Y148)*AD148,IF(AB148="F",SQRT(AC148)*SQRT(1/V148+1/Y148)*AD148,IF(AB148="z",2*(AC148/SQRT(V148+Y148))/SQRT(1-(AC148/SQRT(V148+Y148))^2)*AD148,IF(AB148="t_paired",AC148/SQRT(V148)*AD148,""))))),"")</f>
        <v>0.741701790174188</v>
      </c>
      <c r="AF148" s="7" t="n">
        <f aca="false">IF(AE148="","",IF(AB148="t_paired",1-3/(4*(V148-1)-1),1-3/(4*(V148+Y148)-9)))</f>
        <v>0.980645161290323</v>
      </c>
      <c r="AG148" s="7" t="n">
        <f aca="false">IF(AE148="","",AE148*AF148)</f>
        <v>0.727346271654687</v>
      </c>
      <c r="AH148" s="7" t="n">
        <f aca="false">IF(AG148="","",IF(AB148="t_paired",1/V148+AG148^2/(2*V148),(V148+Y148)/(V148*Y148)+AG148^2/(2*(V148+Y148))))</f>
        <v>0.104070664678681</v>
      </c>
      <c r="AI148" s="7" t="n">
        <f aca="false">IF(AH148="","",SQRT(AH148))</f>
        <v>0.322599852260787</v>
      </c>
      <c r="AJ148" s="7" t="n">
        <f aca="false">IF(AI148="","",AG148-1.96*AI148)</f>
        <v>0.0950505612235451</v>
      </c>
      <c r="AK148" s="7" t="n">
        <f aca="false">IF(AI148="","",AG148+1.96*AI148)</f>
        <v>1.35964198208583</v>
      </c>
      <c r="AL148" s="7" t="n">
        <f aca="false">IF(AI148="","",AG148/AI148)</f>
        <v>2.25463919638347</v>
      </c>
      <c r="AM148" s="8" t="n">
        <f aca="false">IF(AL148="","",2*(1-NORMSDIST(ABS(AL148))))</f>
        <v>0.024155985055313</v>
      </c>
      <c r="AN148" s="9" t="n">
        <f aca="false">IF(COUNT(V148)=0,"",IF(AB148="t_paired",V148,V148+N(Y148)))</f>
        <v>41</v>
      </c>
      <c r="AO148" s="7" t="n">
        <f aca="false">IF(AH148="","",1/AH148)</f>
        <v>9.60885570479927</v>
      </c>
      <c r="AP148" s="5" t="s">
        <v>100</v>
      </c>
      <c r="AQ148" s="5" t="s">
        <v>210</v>
      </c>
      <c r="AR148" s="5"/>
      <c r="AS148" s="9" t="n">
        <f aca="false">IF(AND(AP148="Y",ISNUMBER(AO148)),AO148,0)</f>
        <v>0</v>
      </c>
      <c r="AT148" s="7" t="n">
        <f aca="false">IF(AS148&gt;0,AS148*AG148,0)</f>
        <v>0</v>
      </c>
      <c r="AU148" s="7" t="n">
        <f aca="false">IF(AS148&gt;0,AS148*AG148^2,0)</f>
        <v>0</v>
      </c>
      <c r="AV148" s="9" t="n">
        <f aca="false">IF(AS148&gt;0,AS148^2,0)</f>
        <v>0</v>
      </c>
      <c r="AW148" s="7" t="n">
        <f aca="false">IF(AS148&gt;0,AG148,0)</f>
        <v>0</v>
      </c>
      <c r="AX148" s="7" t="n">
        <f aca="false">IF(AS148&gt;0,AH148,1)</f>
        <v>1</v>
      </c>
    </row>
    <row r="149" customFormat="false" ht="15" hidden="false" customHeight="false" outlineLevel="0" collapsed="false">
      <c r="A149" s="5" t="s">
        <v>591</v>
      </c>
      <c r="B149" s="5" t="s">
        <v>582</v>
      </c>
      <c r="C149" s="5" t="s">
        <v>583</v>
      </c>
      <c r="D149" s="5" t="n">
        <v>2025</v>
      </c>
      <c r="E149" s="5" t="s">
        <v>402</v>
      </c>
      <c r="F149" s="5" t="s">
        <v>199</v>
      </c>
      <c r="G149" s="5" t="s">
        <v>160</v>
      </c>
      <c r="H149" s="5" t="s">
        <v>162</v>
      </c>
      <c r="I149" s="5"/>
      <c r="J149" s="5" t="s">
        <v>162</v>
      </c>
      <c r="K149" s="5" t="s">
        <v>163</v>
      </c>
      <c r="L149" s="5" t="s">
        <v>164</v>
      </c>
      <c r="M149" s="5"/>
      <c r="N149" s="5"/>
      <c r="O149" s="5" t="s">
        <v>162</v>
      </c>
      <c r="P149" s="6" t="s">
        <v>82</v>
      </c>
      <c r="Q149" s="6" t="s">
        <v>83</v>
      </c>
      <c r="R149" s="5"/>
      <c r="S149" s="6" t="s">
        <v>590</v>
      </c>
      <c r="T149" s="5"/>
      <c r="U149" s="6" t="s">
        <v>86</v>
      </c>
      <c r="V149" s="5" t="n">
        <v>21</v>
      </c>
      <c r="W149" s="5" t="n">
        <v>2.76</v>
      </c>
      <c r="X149" s="5" t="n">
        <v>0.44</v>
      </c>
      <c r="Y149" s="5" t="n">
        <v>20</v>
      </c>
      <c r="Z149" s="5" t="n">
        <v>2.75</v>
      </c>
      <c r="AA149" s="5" t="n">
        <v>0.64</v>
      </c>
      <c r="AB149" s="5" t="s">
        <v>99</v>
      </c>
      <c r="AC149" s="5"/>
      <c r="AD149" s="5" t="n">
        <v>1</v>
      </c>
      <c r="AE149" s="7" t="n">
        <f aca="false">IFERROR(IF(AB149="MSD",IF(COUNT(V149,W149,X149,Y149,Z149,AA149)&lt;6,"",(W149-Z149)/SQRT(((V149-1)*X149^2+(Y149-1)*AA149^2)/(V149+Y149-2))*AD149),IF(AB149="t",AC149*SQRT(1/V149+1/Y149)*AD149,IF(AB149="F",SQRT(AC149)*SQRT(1/V149+1/Y149)*AD149,IF(AB149="z",2*(AC149/SQRT(V149+Y149))/SQRT(1-(AC149/SQRT(V149+Y149))^2)*AD149,IF(AB149="t_paired",AC149/SQRT(V149)*AD149,""))))),"")</f>
        <v>0.0182931014805918</v>
      </c>
      <c r="AF149" s="7" t="n">
        <f aca="false">IF(AE149="","",IF(AB149="t_paired",1-3/(4*(V149-1)-1),1-3/(4*(V149+Y149)-9)))</f>
        <v>0.980645161290323</v>
      </c>
      <c r="AG149" s="7" t="n">
        <f aca="false">IF(AE149="","",AE149*AF149)</f>
        <v>0.0179390414519351</v>
      </c>
      <c r="AH149" s="7" t="n">
        <f aca="false">IF(AG149="","",IF(AB149="t_paired",1/V149+AG149^2/(2*V149),(V149+Y149)/(V149*Y149)+AG149^2/(2*(V149+Y149))))</f>
        <v>0.0976229721215868</v>
      </c>
      <c r="AI149" s="7" t="n">
        <f aca="false">IF(AH149="","",SQRT(AH149))</f>
        <v>0.312446750857785</v>
      </c>
      <c r="AJ149" s="7" t="n">
        <f aca="false">IF(AI149="","",AG149-1.96*AI149)</f>
        <v>-0.594456590229324</v>
      </c>
      <c r="AK149" s="7" t="n">
        <f aca="false">IF(AI149="","",AG149+1.96*AI149)</f>
        <v>0.630334673133194</v>
      </c>
      <c r="AL149" s="7" t="n">
        <f aca="false">IF(AI149="","",AG149/AI149)</f>
        <v>0.057414715956193</v>
      </c>
      <c r="AM149" s="8" t="n">
        <f aca="false">IF(AL149="","",2*(1-NORMSDIST(ABS(AL149))))</f>
        <v>0.954214840701574</v>
      </c>
      <c r="AN149" s="9" t="n">
        <f aca="false">IF(COUNT(V149)=0,"",IF(AB149="t_paired",V149,V149+N(Y149)))</f>
        <v>41</v>
      </c>
      <c r="AO149" s="7" t="n">
        <f aca="false">IF(AH149="","",1/AH149)</f>
        <v>10.243490627949</v>
      </c>
      <c r="AP149" s="5" t="s">
        <v>88</v>
      </c>
      <c r="AQ149" s="5" t="s">
        <v>210</v>
      </c>
      <c r="AR149" s="5"/>
      <c r="AS149" s="7" t="n">
        <f aca="false">IF(AND(AP149="Y",ISNUMBER(AO149)),AO149,0)</f>
        <v>10.243490627949</v>
      </c>
      <c r="AT149" s="7" t="n">
        <f aca="false">IF(AS149&gt;0,AS149*AG149,0)</f>
        <v>0.183758402987286</v>
      </c>
      <c r="AU149" s="7" t="n">
        <f aca="false">IF(AS149&gt;0,AS149*AG149^2,0)</f>
        <v>0.00329644960833032</v>
      </c>
      <c r="AV149" s="9" t="n">
        <f aca="false">IF(AS149&gt;0,AS149^2,0)</f>
        <v>104.929100244879</v>
      </c>
      <c r="AW149" s="7" t="n">
        <f aca="false">IF(AS149&gt;0,AG149,0)</f>
        <v>0.0179390414519351</v>
      </c>
      <c r="AX149" s="7" t="n">
        <f aca="false">IF(AS149&gt;0,AH149,1)</f>
        <v>0.0976229721215868</v>
      </c>
    </row>
    <row r="150" customFormat="false" ht="15" hidden="false" customHeight="false" outlineLevel="0" collapsed="false">
      <c r="A150" s="5" t="s">
        <v>592</v>
      </c>
      <c r="B150" s="5" t="s">
        <v>582</v>
      </c>
      <c r="C150" s="5" t="s">
        <v>583</v>
      </c>
      <c r="D150" s="5" t="n">
        <v>2025</v>
      </c>
      <c r="E150" s="5" t="s">
        <v>402</v>
      </c>
      <c r="F150" s="5" t="s">
        <v>199</v>
      </c>
      <c r="G150" s="5" t="s">
        <v>160</v>
      </c>
      <c r="H150" s="5" t="s">
        <v>162</v>
      </c>
      <c r="I150" s="5"/>
      <c r="J150" s="5" t="s">
        <v>162</v>
      </c>
      <c r="K150" s="5" t="s">
        <v>163</v>
      </c>
      <c r="L150" s="5" t="s">
        <v>164</v>
      </c>
      <c r="M150" s="5"/>
      <c r="N150" s="5"/>
      <c r="O150" s="5" t="s">
        <v>162</v>
      </c>
      <c r="P150" s="10" t="s">
        <v>82</v>
      </c>
      <c r="Q150" s="10" t="s">
        <v>83</v>
      </c>
      <c r="R150" s="5"/>
      <c r="S150" s="10" t="s">
        <v>593</v>
      </c>
      <c r="T150" s="5"/>
      <c r="U150" s="10" t="s">
        <v>98</v>
      </c>
      <c r="V150" s="5" t="n">
        <v>21</v>
      </c>
      <c r="W150" s="5" t="n">
        <v>4.38</v>
      </c>
      <c r="X150" s="5" t="n">
        <v>1.28</v>
      </c>
      <c r="Y150" s="5" t="n">
        <v>20</v>
      </c>
      <c r="Z150" s="5" t="n">
        <v>5</v>
      </c>
      <c r="AA150" s="5" t="n">
        <v>2.22</v>
      </c>
      <c r="AB150" s="5" t="s">
        <v>99</v>
      </c>
      <c r="AC150" s="5"/>
      <c r="AD150" s="5" t="n">
        <v>1</v>
      </c>
      <c r="AE150" s="7" t="n">
        <f aca="false">IFERROR(IF(AB150="MSD",IF(COUNT(V150,W150,X150,Y150,Z150,AA150)&lt;6,"",(W150-Z150)/SQRT(((V150-1)*X150^2+(Y150-1)*AA150^2)/(V150+Y150-2))*AD150),IF(AB150="t",AC150*SQRT(1/V150+1/Y150)*AD150,IF(AB150="F",SQRT(AC150)*SQRT(1/V150+1/Y150)*AD150,IF(AB150="z",2*(AC150/SQRT(V150+Y150))/SQRT(1-(AC150/SQRT(V150+Y150))^2)*AD150,IF(AB150="t_paired",AC150/SQRT(V150)*AD150,""))))),"")</f>
        <v>-0.344379586400615</v>
      </c>
      <c r="AF150" s="7" t="n">
        <f aca="false">IF(AE150="","",IF(AB150="t_paired",1-3/(4*(V150-1)-1),1-3/(4*(V150+Y150)-9)))</f>
        <v>0.980645161290323</v>
      </c>
      <c r="AG150" s="7" t="n">
        <f aca="false">IF(AE150="","",AE150*AF150)</f>
        <v>-0.337714175050926</v>
      </c>
      <c r="AH150" s="7" t="n">
        <f aca="false">IF(AG150="","",IF(AB150="t_paired",1/V150+AG150^2/(2*V150),(V150+Y150)/(V150*Y150)+AG150^2/(2*(V150+Y150))))</f>
        <v>0.0990099118145394</v>
      </c>
      <c r="AI150" s="7" t="n">
        <f aca="false">IF(AH150="","",SQRT(AH150))</f>
        <v>0.314658404964081</v>
      </c>
      <c r="AJ150" s="7" t="n">
        <f aca="false">IF(AI150="","",AG150-1.96*AI150)</f>
        <v>-0.954444648780524</v>
      </c>
      <c r="AK150" s="7" t="n">
        <f aca="false">IF(AI150="","",AG150+1.96*AI150)</f>
        <v>0.279016298678673</v>
      </c>
      <c r="AL150" s="7" t="n">
        <f aca="false">IF(AI150="","",AG150/AI150)</f>
        <v>-1.07327237958089</v>
      </c>
      <c r="AM150" s="8" t="n">
        <f aca="false">IF(AL150="","",2*(1-NORMSDIST(ABS(AL150))))</f>
        <v>0.283148924003726</v>
      </c>
      <c r="AN150" s="9" t="n">
        <f aca="false">IF(COUNT(V150)=0,"",IF(AB150="t_paired",V150,V150+N(Y150)))</f>
        <v>41</v>
      </c>
      <c r="AO150" s="7" t="n">
        <f aca="false">IF(AH150="","",1/AH150)</f>
        <v>10.099998895799</v>
      </c>
      <c r="AP150" s="5" t="s">
        <v>100</v>
      </c>
      <c r="AQ150" s="5" t="s">
        <v>210</v>
      </c>
      <c r="AR150" s="5"/>
      <c r="AS150" s="9" t="n">
        <f aca="false">IF(AND(AP150="Y",ISNUMBER(AO150)),AO150,0)</f>
        <v>0</v>
      </c>
      <c r="AT150" s="7" t="n">
        <f aca="false">IF(AS150&gt;0,AS150*AG150,0)</f>
        <v>0</v>
      </c>
      <c r="AU150" s="7" t="n">
        <f aca="false">IF(AS150&gt;0,AS150*AG150^2,0)</f>
        <v>0</v>
      </c>
      <c r="AV150" s="9" t="n">
        <f aca="false">IF(AS150&gt;0,AS150^2,0)</f>
        <v>0</v>
      </c>
      <c r="AW150" s="7" t="n">
        <f aca="false">IF(AS150&gt;0,AG150,0)</f>
        <v>0</v>
      </c>
      <c r="AX150" s="7" t="n">
        <f aca="false">IF(AS150&gt;0,AH150,1)</f>
        <v>1</v>
      </c>
    </row>
    <row r="151" customFormat="false" ht="15" hidden="false" customHeight="false" outlineLevel="0" collapsed="false">
      <c r="A151" s="5" t="s">
        <v>594</v>
      </c>
      <c r="B151" s="5" t="s">
        <v>582</v>
      </c>
      <c r="C151" s="5" t="s">
        <v>583</v>
      </c>
      <c r="D151" s="5" t="n">
        <v>2025</v>
      </c>
      <c r="E151" s="5" t="s">
        <v>402</v>
      </c>
      <c r="F151" s="5" t="s">
        <v>199</v>
      </c>
      <c r="G151" s="5" t="s">
        <v>160</v>
      </c>
      <c r="H151" s="5" t="s">
        <v>162</v>
      </c>
      <c r="I151" s="5"/>
      <c r="J151" s="5" t="s">
        <v>162</v>
      </c>
      <c r="K151" s="5" t="s">
        <v>163</v>
      </c>
      <c r="L151" s="5" t="s">
        <v>164</v>
      </c>
      <c r="M151" s="5"/>
      <c r="N151" s="5"/>
      <c r="O151" s="5" t="s">
        <v>162</v>
      </c>
      <c r="P151" s="6" t="s">
        <v>82</v>
      </c>
      <c r="Q151" s="6" t="s">
        <v>83</v>
      </c>
      <c r="R151" s="5"/>
      <c r="S151" s="6" t="s">
        <v>593</v>
      </c>
      <c r="T151" s="5"/>
      <c r="U151" s="6" t="s">
        <v>86</v>
      </c>
      <c r="V151" s="5" t="n">
        <v>21</v>
      </c>
      <c r="W151" s="5" t="n">
        <v>6.52</v>
      </c>
      <c r="X151" s="5" t="n">
        <v>1.69</v>
      </c>
      <c r="Y151" s="5" t="n">
        <v>20</v>
      </c>
      <c r="Z151" s="5" t="n">
        <v>3.35</v>
      </c>
      <c r="AA151" s="5" t="n">
        <v>1.42</v>
      </c>
      <c r="AB151" s="5" t="s">
        <v>99</v>
      </c>
      <c r="AC151" s="5"/>
      <c r="AD151" s="5" t="n">
        <v>1</v>
      </c>
      <c r="AE151" s="7" t="n">
        <f aca="false">IFERROR(IF(AB151="MSD",IF(COUNT(V151,W151,X151,Y151,Z151,AA151)&lt;6,"",(W151-Z151)/SQRT(((V151-1)*X151^2+(Y151-1)*AA151^2)/(V151+Y151-2))*AD151),IF(AB151="t",AC151*SQRT(1/V151+1/Y151)*AD151,IF(AB151="F",SQRT(AC151)*SQRT(1/V151+1/Y151)*AD151,IF(AB151="z",2*(AC151/SQRT(V151+Y151))/SQRT(1-(AC151/SQRT(V151+Y151))^2)*AD151,IF(AB151="t_paired",AC151/SQRT(V151)*AD151,""))))),"")</f>
        <v>2.02647342265898</v>
      </c>
      <c r="AF151" s="7" t="n">
        <f aca="false">IF(AE151="","",IF(AB151="t_paired",1-3/(4*(V151-1)-1),1-3/(4*(V151+Y151)-9)))</f>
        <v>0.980645161290323</v>
      </c>
      <c r="AG151" s="7" t="n">
        <f aca="false">IF(AE151="","",AE151*AF151)</f>
        <v>1.98725135641396</v>
      </c>
      <c r="AH151" s="7" t="n">
        <f aca="false">IF(AG151="","",IF(AB151="t_paired",1/V151+AG151^2/(2*V151),(V151+Y151)/(V151*Y151)+AG151^2/(2*(V151+Y151))))</f>
        <v>0.145779632418671</v>
      </c>
      <c r="AI151" s="7" t="n">
        <f aca="false">IF(AH151="","",SQRT(AH151))</f>
        <v>0.381810990437247</v>
      </c>
      <c r="AJ151" s="7" t="n">
        <f aca="false">IF(AI151="","",AG151-1.96*AI151)</f>
        <v>1.23890181515696</v>
      </c>
      <c r="AK151" s="7" t="n">
        <f aca="false">IF(AI151="","",AG151+1.96*AI151)</f>
        <v>2.73560089767097</v>
      </c>
      <c r="AL151" s="7" t="n">
        <f aca="false">IF(AI151="","",AG151/AI151)</f>
        <v>5.20480396370513</v>
      </c>
      <c r="AM151" s="8" t="n">
        <f aca="false">IF(AL151="","",2*(1-NORMSDIST(ABS(AL151))))</f>
        <v>1.94201505099301E-007</v>
      </c>
      <c r="AN151" s="9" t="n">
        <f aca="false">IF(COUNT(V151)=0,"",IF(AB151="t_paired",V151,V151+N(Y151)))</f>
        <v>41</v>
      </c>
      <c r="AO151" s="7" t="n">
        <f aca="false">IF(AH151="","",1/AH151)</f>
        <v>6.85966882621884</v>
      </c>
      <c r="AP151" s="5" t="s">
        <v>88</v>
      </c>
      <c r="AQ151" s="5" t="s">
        <v>210</v>
      </c>
      <c r="AR151" s="5"/>
      <c r="AS151" s="7" t="n">
        <f aca="false">IF(AND(AP151="Y",ISNUMBER(AO151)),AO151,0)</f>
        <v>6.85966882621884</v>
      </c>
      <c r="AT151" s="7" t="n">
        <f aca="false">IF(AS151&gt;0,AS151*AG151,0)</f>
        <v>13.631886179454</v>
      </c>
      <c r="AU151" s="7" t="n">
        <f aca="false">IF(AS151&gt;0,AS151*AG151^2,0)</f>
        <v>27.0899843006006</v>
      </c>
      <c r="AV151" s="9" t="n">
        <f aca="false">IF(AS151&gt;0,AS151^2,0)</f>
        <v>47.0550564053985</v>
      </c>
      <c r="AW151" s="7" t="n">
        <f aca="false">IF(AS151&gt;0,AG151,0)</f>
        <v>1.98725135641396</v>
      </c>
      <c r="AX151" s="7" t="n">
        <f aca="false">IF(AS151&gt;0,AH151,1)</f>
        <v>0.145779632418671</v>
      </c>
    </row>
    <row r="152" customFormat="false" ht="15" hidden="false" customHeight="false" outlineLevel="0" collapsed="false">
      <c r="A152" s="5" t="s">
        <v>595</v>
      </c>
      <c r="B152" s="5" t="s">
        <v>582</v>
      </c>
      <c r="C152" s="5" t="s">
        <v>583</v>
      </c>
      <c r="D152" s="5" t="n">
        <v>2025</v>
      </c>
      <c r="E152" s="5" t="s">
        <v>402</v>
      </c>
      <c r="F152" s="5" t="s">
        <v>199</v>
      </c>
      <c r="G152" s="5" t="s">
        <v>160</v>
      </c>
      <c r="H152" s="5" t="s">
        <v>162</v>
      </c>
      <c r="I152" s="5"/>
      <c r="J152" s="5" t="s">
        <v>162</v>
      </c>
      <c r="K152" s="5" t="s">
        <v>163</v>
      </c>
      <c r="L152" s="5" t="s">
        <v>164</v>
      </c>
      <c r="M152" s="5"/>
      <c r="N152" s="5"/>
      <c r="O152" s="5" t="s">
        <v>162</v>
      </c>
      <c r="P152" s="10" t="s">
        <v>82</v>
      </c>
      <c r="Q152" s="10" t="s">
        <v>83</v>
      </c>
      <c r="R152" s="5"/>
      <c r="S152" s="10" t="s">
        <v>596</v>
      </c>
      <c r="T152" s="5"/>
      <c r="U152" s="10" t="s">
        <v>98</v>
      </c>
      <c r="V152" s="5" t="n">
        <v>21</v>
      </c>
      <c r="W152" s="5" t="n">
        <v>2.62</v>
      </c>
      <c r="X152" s="5" t="n">
        <v>0.51</v>
      </c>
      <c r="Y152" s="5" t="n">
        <v>20</v>
      </c>
      <c r="Z152" s="5" t="n">
        <v>2.2</v>
      </c>
      <c r="AA152" s="5" t="n">
        <v>0.62</v>
      </c>
      <c r="AB152" s="5" t="s">
        <v>99</v>
      </c>
      <c r="AC152" s="5"/>
      <c r="AD152" s="5" t="n">
        <v>1</v>
      </c>
      <c r="AE152" s="7" t="n">
        <f aca="false">IFERROR(IF(AB152="MSD",IF(COUNT(V152,W152,X152,Y152,Z152,AA152)&lt;6,"",(W152-Z152)/SQRT(((V152-1)*X152^2+(Y152-1)*AA152^2)/(V152+Y152-2))*AD152),IF(AB152="t",AC152*SQRT(1/V152+1/Y152)*AD152,IF(AB152="F",SQRT(AC152)*SQRT(1/V152+1/Y152)*AD152,IF(AB152="z",2*(AC152/SQRT(V152+Y152))/SQRT(1-(AC152/SQRT(V152+Y152))^2)*AD152,IF(AB152="t_paired",AC152/SQRT(V152)*AD152,""))))),"")</f>
        <v>0.741701790174188</v>
      </c>
      <c r="AF152" s="7" t="n">
        <f aca="false">IF(AE152="","",IF(AB152="t_paired",1-3/(4*(V152-1)-1),1-3/(4*(V152+Y152)-9)))</f>
        <v>0.980645161290323</v>
      </c>
      <c r="AG152" s="7" t="n">
        <f aca="false">IF(AE152="","",AE152*AF152)</f>
        <v>0.727346271654687</v>
      </c>
      <c r="AH152" s="7" t="n">
        <f aca="false">IF(AG152="","",IF(AB152="t_paired",1/V152+AG152^2/(2*V152),(V152+Y152)/(V152*Y152)+AG152^2/(2*(V152+Y152))))</f>
        <v>0.104070664678681</v>
      </c>
      <c r="AI152" s="7" t="n">
        <f aca="false">IF(AH152="","",SQRT(AH152))</f>
        <v>0.322599852260787</v>
      </c>
      <c r="AJ152" s="7" t="n">
        <f aca="false">IF(AI152="","",AG152-1.96*AI152)</f>
        <v>0.0950505612235451</v>
      </c>
      <c r="AK152" s="7" t="n">
        <f aca="false">IF(AI152="","",AG152+1.96*AI152)</f>
        <v>1.35964198208583</v>
      </c>
      <c r="AL152" s="7" t="n">
        <f aca="false">IF(AI152="","",AG152/AI152)</f>
        <v>2.25463919638347</v>
      </c>
      <c r="AM152" s="8" t="n">
        <f aca="false">IF(AL152="","",2*(1-NORMSDIST(ABS(AL152))))</f>
        <v>0.024155985055313</v>
      </c>
      <c r="AN152" s="9" t="n">
        <f aca="false">IF(COUNT(V152)=0,"",IF(AB152="t_paired",V152,V152+N(Y152)))</f>
        <v>41</v>
      </c>
      <c r="AO152" s="7" t="n">
        <f aca="false">IF(AH152="","",1/AH152)</f>
        <v>9.60885570479927</v>
      </c>
      <c r="AP152" s="5" t="s">
        <v>100</v>
      </c>
      <c r="AQ152" s="5" t="s">
        <v>210</v>
      </c>
      <c r="AR152" s="5"/>
      <c r="AS152" s="9" t="n">
        <f aca="false">IF(AND(AP152="Y",ISNUMBER(AO152)),AO152,0)</f>
        <v>0</v>
      </c>
      <c r="AT152" s="7" t="n">
        <f aca="false">IF(AS152&gt;0,AS152*AG152,0)</f>
        <v>0</v>
      </c>
      <c r="AU152" s="7" t="n">
        <f aca="false">IF(AS152&gt;0,AS152*AG152^2,0)</f>
        <v>0</v>
      </c>
      <c r="AV152" s="9" t="n">
        <f aca="false">IF(AS152&gt;0,AS152^2,0)</f>
        <v>0</v>
      </c>
      <c r="AW152" s="7" t="n">
        <f aca="false">IF(AS152&gt;0,AG152,0)</f>
        <v>0</v>
      </c>
      <c r="AX152" s="7" t="n">
        <f aca="false">IF(AS152&gt;0,AH152,1)</f>
        <v>1</v>
      </c>
    </row>
    <row r="153" customFormat="false" ht="15" hidden="false" customHeight="false" outlineLevel="0" collapsed="false">
      <c r="A153" s="5" t="s">
        <v>597</v>
      </c>
      <c r="B153" s="5" t="s">
        <v>582</v>
      </c>
      <c r="C153" s="5" t="s">
        <v>583</v>
      </c>
      <c r="D153" s="5" t="n">
        <v>2025</v>
      </c>
      <c r="E153" s="5" t="s">
        <v>402</v>
      </c>
      <c r="F153" s="5" t="s">
        <v>199</v>
      </c>
      <c r="G153" s="5" t="s">
        <v>160</v>
      </c>
      <c r="H153" s="5" t="s">
        <v>162</v>
      </c>
      <c r="I153" s="5"/>
      <c r="J153" s="5" t="s">
        <v>162</v>
      </c>
      <c r="K153" s="5" t="s">
        <v>163</v>
      </c>
      <c r="L153" s="5" t="s">
        <v>164</v>
      </c>
      <c r="M153" s="5"/>
      <c r="N153" s="5"/>
      <c r="O153" s="5" t="s">
        <v>162</v>
      </c>
      <c r="P153" s="6" t="s">
        <v>82</v>
      </c>
      <c r="Q153" s="6" t="s">
        <v>83</v>
      </c>
      <c r="R153" s="5"/>
      <c r="S153" s="6" t="s">
        <v>596</v>
      </c>
      <c r="T153" s="5"/>
      <c r="U153" s="6" t="s">
        <v>86</v>
      </c>
      <c r="V153" s="5" t="n">
        <v>21</v>
      </c>
      <c r="W153" s="5" t="n">
        <v>2.76</v>
      </c>
      <c r="X153" s="5" t="n">
        <v>0.44</v>
      </c>
      <c r="Y153" s="5" t="n">
        <v>20</v>
      </c>
      <c r="Z153" s="5" t="n">
        <v>2.65</v>
      </c>
      <c r="AA153" s="5" t="n">
        <v>0.49</v>
      </c>
      <c r="AB153" s="5" t="s">
        <v>99</v>
      </c>
      <c r="AC153" s="5"/>
      <c r="AD153" s="5" t="n">
        <v>1</v>
      </c>
      <c r="AE153" s="7" t="n">
        <f aca="false">IFERROR(IF(AB153="MSD",IF(COUNT(V153,W153,X153,Y153,Z153,AA153)&lt;6,"",(W153-Z153)/SQRT(((V153-1)*X153^2+(Y153-1)*AA153^2)/(V153+Y153-2))*AD153),IF(AB153="t",AC153*SQRT(1/V153+1/Y153)*AD153,IF(AB153="F",SQRT(AC153)*SQRT(1/V153+1/Y153)*AD153,IF(AB153="z",2*(AC153/SQRT(V153+Y153))/SQRT(1-(AC153/SQRT(V153+Y153))^2)*AD153,IF(AB153="t_paired",AC153/SQRT(V153)*AD153,""))))),"")</f>
        <v>0.236543361917791</v>
      </c>
      <c r="AF153" s="7" t="n">
        <f aca="false">IF(AE153="","",IF(AB153="t_paired",1-3/(4*(V153-1)-1),1-3/(4*(V153+Y153)-9)))</f>
        <v>0.980645161290323</v>
      </c>
      <c r="AG153" s="7" t="n">
        <f aca="false">IF(AE153="","",AE153*AF153)</f>
        <v>0.231965103300027</v>
      </c>
      <c r="AH153" s="7" t="n">
        <f aca="false">IF(AG153="","",IF(AB153="t_paired",1/V153+AG153^2/(2*V153),(V153+Y153)/(V153*Y153)+AG153^2/(2*(V153+Y153))))</f>
        <v>0.0982752404135475</v>
      </c>
      <c r="AI153" s="7" t="n">
        <f aca="false">IF(AH153="","",SQRT(AH153))</f>
        <v>0.313488820236938</v>
      </c>
      <c r="AJ153" s="7" t="n">
        <f aca="false">IF(AI153="","",AG153-1.96*AI153)</f>
        <v>-0.382472984364373</v>
      </c>
      <c r="AK153" s="7" t="n">
        <f aca="false">IF(AI153="","",AG153+1.96*AI153)</f>
        <v>0.846403190964426</v>
      </c>
      <c r="AL153" s="7" t="n">
        <f aca="false">IF(AI153="","",AG153/AI153)</f>
        <v>0.739946972031427</v>
      </c>
      <c r="AM153" s="8" t="n">
        <f aca="false">IF(AL153="","",2*(1-NORMSDIST(ABS(AL153))))</f>
        <v>0.459332171195692</v>
      </c>
      <c r="AN153" s="9" t="n">
        <f aca="false">IF(COUNT(V153)=0,"",IF(AB153="t_paired",V153,V153+N(Y153)))</f>
        <v>41</v>
      </c>
      <c r="AO153" s="7" t="n">
        <f aca="false">IF(AH153="","",1/AH153)</f>
        <v>10.175502962821</v>
      </c>
      <c r="AP153" s="5" t="s">
        <v>88</v>
      </c>
      <c r="AQ153" s="5" t="s">
        <v>210</v>
      </c>
      <c r="AR153" s="5"/>
      <c r="AS153" s="7" t="n">
        <f aca="false">IF(AND(AP153="Y",ISNUMBER(AO153)),AO153,0)</f>
        <v>10.175502962821</v>
      </c>
      <c r="AT153" s="7" t="n">
        <f aca="false">IF(AS153&gt;0,AS153*AG153,0)</f>
        <v>2.36036159590051</v>
      </c>
      <c r="AU153" s="7" t="n">
        <f aca="false">IF(AS153&gt;0,AS153*AG153^2,0)</f>
        <v>0.547521521418477</v>
      </c>
      <c r="AV153" s="9" t="n">
        <f aca="false">IF(AS153&gt;0,AS153^2,0)</f>
        <v>103.540860546379</v>
      </c>
      <c r="AW153" s="7" t="n">
        <f aca="false">IF(AS153&gt;0,AG153,0)</f>
        <v>0.231965103300027</v>
      </c>
      <c r="AX153" s="7" t="n">
        <f aca="false">IF(AS153&gt;0,AH153,1)</f>
        <v>0.0982752404135475</v>
      </c>
    </row>
    <row r="154" customFormat="false" ht="15" hidden="false" customHeight="false" outlineLevel="0" collapsed="false">
      <c r="A154" s="5" t="s">
        <v>598</v>
      </c>
      <c r="B154" s="5" t="s">
        <v>582</v>
      </c>
      <c r="C154" s="5" t="s">
        <v>583</v>
      </c>
      <c r="D154" s="5" t="n">
        <v>2025</v>
      </c>
      <c r="E154" s="5" t="s">
        <v>402</v>
      </c>
      <c r="F154" s="5" t="s">
        <v>199</v>
      </c>
      <c r="G154" s="5" t="s">
        <v>160</v>
      </c>
      <c r="H154" s="5" t="s">
        <v>162</v>
      </c>
      <c r="I154" s="5"/>
      <c r="J154" s="5" t="s">
        <v>162</v>
      </c>
      <c r="K154" s="5" t="s">
        <v>163</v>
      </c>
      <c r="L154" s="5" t="s">
        <v>164</v>
      </c>
      <c r="M154" s="5"/>
      <c r="N154" s="5"/>
      <c r="O154" s="5" t="s">
        <v>162</v>
      </c>
      <c r="P154" s="10" t="s">
        <v>82</v>
      </c>
      <c r="Q154" s="10" t="s">
        <v>83</v>
      </c>
      <c r="R154" s="5"/>
      <c r="S154" s="10" t="s">
        <v>599</v>
      </c>
      <c r="T154" s="5"/>
      <c r="U154" s="10" t="s">
        <v>98</v>
      </c>
      <c r="V154" s="5" t="n">
        <v>21</v>
      </c>
      <c r="W154" s="5" t="n">
        <v>2.24</v>
      </c>
      <c r="X154" s="5" t="n">
        <v>0.63</v>
      </c>
      <c r="Y154" s="5" t="n">
        <v>20</v>
      </c>
      <c r="Z154" s="5" t="n">
        <v>2.05</v>
      </c>
      <c r="AA154" s="5" t="n">
        <v>0.76</v>
      </c>
      <c r="AB154" s="5" t="s">
        <v>99</v>
      </c>
      <c r="AC154" s="5"/>
      <c r="AD154" s="5" t="n">
        <v>1</v>
      </c>
      <c r="AE154" s="7" t="n">
        <f aca="false">IFERROR(IF(AB154="MSD",IF(COUNT(V154,W154,X154,Y154,Z154,AA154)&lt;6,"",(W154-Z154)/SQRT(((V154-1)*X154^2+(Y154-1)*AA154^2)/(V154+Y154-2))*AD154),IF(AB154="t",AC154*SQRT(1/V154+1/Y154)*AD154,IF(AB154="F",SQRT(AC154)*SQRT(1/V154+1/Y154)*AD154,IF(AB154="z",2*(AC154/SQRT(V154+Y154))/SQRT(1-(AC154/SQRT(V154+Y154))^2)*AD154,IF(AB154="t_paired",AC154/SQRT(V154)*AD154,""))))),"")</f>
        <v>0.272842853005304</v>
      </c>
      <c r="AF154" s="7" t="n">
        <f aca="false">IF(AE154="","",IF(AB154="t_paired",1-3/(4*(V154-1)-1),1-3/(4*(V154+Y154)-9)))</f>
        <v>0.980645161290323</v>
      </c>
      <c r="AG154" s="7" t="n">
        <f aca="false">IF(AE154="","",AE154*AF154)</f>
        <v>0.267562023592298</v>
      </c>
      <c r="AH154" s="7" t="n">
        <f aca="false">IF(AG154="","",IF(AB154="t_paired",1/V154+AG154^2/(2*V154),(V154+Y154)/(V154*Y154)+AG154^2/(2*(V154+Y154))))</f>
        <v>0.0984920895272038</v>
      </c>
      <c r="AI154" s="7" t="n">
        <f aca="false">IF(AH154="","",SQRT(AH154))</f>
        <v>0.313834493845409</v>
      </c>
      <c r="AJ154" s="7" t="n">
        <f aca="false">IF(AI154="","",AG154-1.96*AI154)</f>
        <v>-0.347553584344703</v>
      </c>
      <c r="AK154" s="7" t="n">
        <f aca="false">IF(AI154="","",AG154+1.96*AI154)</f>
        <v>0.882677631529299</v>
      </c>
      <c r="AL154" s="7" t="n">
        <f aca="false">IF(AI154="","",AG154/AI154)</f>
        <v>0.852557729757062</v>
      </c>
      <c r="AM154" s="8" t="n">
        <f aca="false">IF(AL154="","",2*(1-NORMSDIST(ABS(AL154))))</f>
        <v>0.393904612029368</v>
      </c>
      <c r="AN154" s="9" t="n">
        <f aca="false">IF(COUNT(V154)=0,"",IF(AB154="t_paired",V154,V154+N(Y154)))</f>
        <v>41</v>
      </c>
      <c r="AO154" s="7" t="n">
        <f aca="false">IF(AH154="","",1/AH154)</f>
        <v>10.1530996529807</v>
      </c>
      <c r="AP154" s="5" t="s">
        <v>100</v>
      </c>
      <c r="AQ154" s="5" t="s">
        <v>210</v>
      </c>
      <c r="AR154" s="5"/>
      <c r="AS154" s="9" t="n">
        <f aca="false">IF(AND(AP154="Y",ISNUMBER(AO154)),AO154,0)</f>
        <v>0</v>
      </c>
      <c r="AT154" s="7" t="n">
        <f aca="false">IF(AS154&gt;0,AS154*AG154,0)</f>
        <v>0</v>
      </c>
      <c r="AU154" s="7" t="n">
        <f aca="false">IF(AS154&gt;0,AS154*AG154^2,0)</f>
        <v>0</v>
      </c>
      <c r="AV154" s="9" t="n">
        <f aca="false">IF(AS154&gt;0,AS154^2,0)</f>
        <v>0</v>
      </c>
      <c r="AW154" s="7" t="n">
        <f aca="false">IF(AS154&gt;0,AG154,0)</f>
        <v>0</v>
      </c>
      <c r="AX154" s="7" t="n">
        <f aca="false">IF(AS154&gt;0,AH154,1)</f>
        <v>1</v>
      </c>
    </row>
    <row r="155" customFormat="false" ht="15" hidden="false" customHeight="false" outlineLevel="0" collapsed="false">
      <c r="A155" s="5" t="s">
        <v>600</v>
      </c>
      <c r="B155" s="5" t="s">
        <v>582</v>
      </c>
      <c r="C155" s="5" t="s">
        <v>583</v>
      </c>
      <c r="D155" s="5" t="n">
        <v>2025</v>
      </c>
      <c r="E155" s="5" t="s">
        <v>402</v>
      </c>
      <c r="F155" s="5" t="s">
        <v>199</v>
      </c>
      <c r="G155" s="5" t="s">
        <v>160</v>
      </c>
      <c r="H155" s="5" t="s">
        <v>162</v>
      </c>
      <c r="I155" s="5"/>
      <c r="J155" s="5" t="s">
        <v>162</v>
      </c>
      <c r="K155" s="5" t="s">
        <v>163</v>
      </c>
      <c r="L155" s="5" t="s">
        <v>164</v>
      </c>
      <c r="M155" s="5"/>
      <c r="N155" s="5"/>
      <c r="O155" s="5" t="s">
        <v>162</v>
      </c>
      <c r="P155" s="6" t="s">
        <v>82</v>
      </c>
      <c r="Q155" s="6" t="s">
        <v>83</v>
      </c>
      <c r="R155" s="5"/>
      <c r="S155" s="6" t="s">
        <v>599</v>
      </c>
      <c r="T155" s="5"/>
      <c r="U155" s="6" t="s">
        <v>86</v>
      </c>
      <c r="V155" s="5" t="n">
        <v>21</v>
      </c>
      <c r="W155" s="5" t="n">
        <v>2.67</v>
      </c>
      <c r="X155" s="5" t="n">
        <v>0.48</v>
      </c>
      <c r="Y155" s="5" t="n">
        <v>20</v>
      </c>
      <c r="Z155" s="5" t="n">
        <v>2.53</v>
      </c>
      <c r="AA155" s="5" t="n">
        <v>0.51</v>
      </c>
      <c r="AB155" s="5" t="s">
        <v>99</v>
      </c>
      <c r="AC155" s="5"/>
      <c r="AD155" s="5" t="n">
        <v>1</v>
      </c>
      <c r="AE155" s="7" t="n">
        <f aca="false">IFERROR(IF(AB155="MSD",IF(COUNT(V155,W155,X155,Y155,Z155,AA155)&lt;6,"",(W155-Z155)/SQRT(((V155-1)*X155^2+(Y155-1)*AA155^2)/(V155+Y155-2))*AD155),IF(AB155="t",AC155*SQRT(1/V155+1/Y155)*AD155,IF(AB155="F",SQRT(AC155)*SQRT(1/V155+1/Y155)*AD155,IF(AB155="z",2*(AC155/SQRT(V155+Y155))/SQRT(1-(AC155/SQRT(V155+Y155))^2)*AD155,IF(AB155="t_paired",AC155/SQRT(V155)*AD155,""))))),"")</f>
        <v>0.282918226631743</v>
      </c>
      <c r="AF155" s="7" t="n">
        <f aca="false">IF(AE155="","",IF(AB155="t_paired",1-3/(4*(V155-1)-1),1-3/(4*(V155+Y155)-9)))</f>
        <v>0.980645161290323</v>
      </c>
      <c r="AG155" s="7" t="n">
        <f aca="false">IF(AE155="","",AE155*AF155)</f>
        <v>0.277442389987257</v>
      </c>
      <c r="AH155" s="7" t="n">
        <f aca="false">IF(AG155="","",IF(AB155="t_paired",1/V155+AG155^2/(2*V155),(V155+Y155)/(V155*Y155)+AG155^2/(2*(V155+Y155))))</f>
        <v>0.0985577583478506</v>
      </c>
      <c r="AI155" s="7" t="n">
        <f aca="false">IF(AH155="","",SQRT(AH155))</f>
        <v>0.313939099743645</v>
      </c>
      <c r="AJ155" s="7" t="n">
        <f aca="false">IF(AI155="","",AG155-1.96*AI155)</f>
        <v>-0.337878245510288</v>
      </c>
      <c r="AK155" s="7" t="n">
        <f aca="false">IF(AI155="","",AG155+1.96*AI155)</f>
        <v>0.892763025484802</v>
      </c>
      <c r="AL155" s="7" t="n">
        <f aca="false">IF(AI155="","",AG155/AI155)</f>
        <v>0.883745892798347</v>
      </c>
      <c r="AM155" s="8" t="n">
        <f aca="false">IF(AL155="","",2*(1-NORMSDIST(ABS(AL155))))</f>
        <v>0.37683340041598</v>
      </c>
      <c r="AN155" s="9" t="n">
        <f aca="false">IF(COUNT(V155)=0,"",IF(AB155="t_paired",V155,V155+N(Y155)))</f>
        <v>41</v>
      </c>
      <c r="AO155" s="7" t="n">
        <f aca="false">IF(AH155="","",1/AH155)</f>
        <v>10.1463346647008</v>
      </c>
      <c r="AP155" s="5" t="s">
        <v>88</v>
      </c>
      <c r="AQ155" s="5" t="s">
        <v>210</v>
      </c>
      <c r="AR155" s="5"/>
      <c r="AS155" s="7" t="n">
        <f aca="false">IF(AND(AP155="Y",ISNUMBER(AO155)),AO155,0)</f>
        <v>10.1463346647008</v>
      </c>
      <c r="AT155" s="7" t="n">
        <f aca="false">IF(AS155&gt;0,AS155*AG155,0)</f>
        <v>2.81502333898514</v>
      </c>
      <c r="AU155" s="7" t="n">
        <f aca="false">IF(AS155&gt;0,AS155*AG155^2,0)</f>
        <v>0.781006803037947</v>
      </c>
      <c r="AV155" s="9" t="n">
        <f aca="false">IF(AS155&gt;0,AS155^2,0)</f>
        <v>102.948107128109</v>
      </c>
      <c r="AW155" s="7" t="n">
        <f aca="false">IF(AS155&gt;0,AG155,0)</f>
        <v>0.277442389987257</v>
      </c>
      <c r="AX155" s="7" t="n">
        <f aca="false">IF(AS155&gt;0,AH155,1)</f>
        <v>0.0985577583478506</v>
      </c>
    </row>
    <row r="156" customFormat="false" ht="15" hidden="false" customHeight="false" outlineLevel="0" collapsed="false">
      <c r="A156" s="5" t="s">
        <v>601</v>
      </c>
      <c r="B156" s="5" t="s">
        <v>602</v>
      </c>
      <c r="C156" s="5" t="s">
        <v>603</v>
      </c>
      <c r="D156" s="5" t="n">
        <v>2024</v>
      </c>
      <c r="E156" s="5" t="s">
        <v>221</v>
      </c>
      <c r="F156" s="5" t="s">
        <v>72</v>
      </c>
      <c r="G156" s="5" t="s">
        <v>187</v>
      </c>
      <c r="H156" s="5" t="s">
        <v>74</v>
      </c>
      <c r="I156" s="5" t="s">
        <v>207</v>
      </c>
      <c r="J156" s="5" t="s">
        <v>76</v>
      </c>
      <c r="K156" s="5" t="s">
        <v>163</v>
      </c>
      <c r="L156" s="5" t="s">
        <v>164</v>
      </c>
      <c r="M156" s="5" t="n">
        <v>5</v>
      </c>
      <c r="N156" s="5" t="n">
        <v>40</v>
      </c>
      <c r="O156" s="5" t="s">
        <v>261</v>
      </c>
      <c r="P156" s="6" t="s">
        <v>82</v>
      </c>
      <c r="Q156" s="6" t="s">
        <v>191</v>
      </c>
      <c r="R156" s="5"/>
      <c r="S156" s="6" t="s">
        <v>353</v>
      </c>
      <c r="T156" s="5" t="s">
        <v>213</v>
      </c>
      <c r="U156" s="6" t="s">
        <v>86</v>
      </c>
      <c r="V156" s="5" t="n">
        <v>28</v>
      </c>
      <c r="W156" s="5" t="n">
        <v>3.87</v>
      </c>
      <c r="X156" s="5" t="n">
        <v>0.79</v>
      </c>
      <c r="Y156" s="5" t="n">
        <v>24</v>
      </c>
      <c r="Z156" s="5" t="n">
        <v>3.39</v>
      </c>
      <c r="AA156" s="5" t="n">
        <v>0.57</v>
      </c>
      <c r="AB156" s="5" t="s">
        <v>99</v>
      </c>
      <c r="AC156" s="5"/>
      <c r="AD156" s="5" t="n">
        <v>1</v>
      </c>
      <c r="AE156" s="7" t="n">
        <f aca="false">IFERROR(IF(AB156="MSD",IF(COUNT(V156,W156,X156,Y156,Z156,AA156)&lt;6,"",(W156-Z156)/SQRT(((V156-1)*X156^2+(Y156-1)*AA156^2)/(V156+Y156-2))*AD156),IF(AB156="t",AC156*SQRT(1/V156+1/Y156)*AD156,IF(AB156="F",SQRT(AC156)*SQRT(1/V156+1/Y156)*AD156,IF(AB156="z",2*(AC156/SQRT(V156+Y156))/SQRT(1-(AC156/SQRT(V156+Y156))^2)*AD156,IF(AB156="t_paired",AC156/SQRT(V156)*AD156,""))))),"")</f>
        <v>0.688199097270481</v>
      </c>
      <c r="AF156" s="7" t="n">
        <f aca="false">IF(AE156="","",IF(AB156="t_paired",1-3/(4*(V156-1)-1),1-3/(4*(V156+Y156)-9)))</f>
        <v>0.984924623115578</v>
      </c>
      <c r="AG156" s="7" t="n">
        <f aca="false">IF(AE156="","",AE156*AF156)</f>
        <v>0.677824236507609</v>
      </c>
      <c r="AH156" s="7" t="n">
        <f aca="false">IF(AG156="","",IF(AB156="t_paired",1/V156+AG156^2/(2*V156),(V156+Y156)/(V156*Y156)+AG156^2/(2*(V156+Y156))))</f>
        <v>0.0817986994540016</v>
      </c>
      <c r="AI156" s="7" t="n">
        <f aca="false">IF(AH156="","",SQRT(AH156))</f>
        <v>0.286004719286241</v>
      </c>
      <c r="AJ156" s="7" t="n">
        <f aca="false">IF(AI156="","",AG156-1.96*AI156)</f>
        <v>0.117254986706576</v>
      </c>
      <c r="AK156" s="7" t="n">
        <f aca="false">IF(AI156="","",AG156+1.96*AI156)</f>
        <v>1.23839348630864</v>
      </c>
      <c r="AL156" s="7" t="n">
        <f aca="false">IF(AI156="","",AG156/AI156)</f>
        <v>2.36997570599254</v>
      </c>
      <c r="AM156" s="8" t="n">
        <f aca="false">IF(AL156="","",2*(1-NORMSDIST(ABS(AL156))))</f>
        <v>0.0177892541069209</v>
      </c>
      <c r="AN156" s="9" t="n">
        <f aca="false">IF(COUNT(V156)=0,"",IF(AB156="t_paired",V156,V156+N(Y156)))</f>
        <v>52</v>
      </c>
      <c r="AO156" s="7" t="n">
        <f aca="false">IF(AH156="","",1/AH156)</f>
        <v>12.2251332438645</v>
      </c>
      <c r="AP156" s="5" t="s">
        <v>88</v>
      </c>
      <c r="AQ156" s="5" t="s">
        <v>167</v>
      </c>
      <c r="AR156" s="5"/>
      <c r="AS156" s="7" t="n">
        <f aca="false">IF(AND(AP156="Y",ISNUMBER(AO156)),AO156,0)</f>
        <v>12.2251332438645</v>
      </c>
      <c r="AT156" s="7" t="n">
        <f aca="false">IF(AS156&gt;0,AS156*AG156,0)</f>
        <v>8.28649160722627</v>
      </c>
      <c r="AU156" s="7" t="n">
        <f aca="false">IF(AS156&gt;0,AS156*AG156^2,0)</f>
        <v>5.61678484699486</v>
      </c>
      <c r="AV156" s="9" t="n">
        <f aca="false">IF(AS156&gt;0,AS156^2,0)</f>
        <v>149.453882830242</v>
      </c>
      <c r="AW156" s="7" t="n">
        <f aca="false">IF(AS156&gt;0,AG156,0)</f>
        <v>0.677824236507609</v>
      </c>
      <c r="AX156" s="7" t="n">
        <f aca="false">IF(AS156&gt;0,AH156,1)</f>
        <v>0.0817986994540016</v>
      </c>
    </row>
    <row r="157" customFormat="false" ht="15" hidden="false" customHeight="false" outlineLevel="0" collapsed="false">
      <c r="A157" s="5" t="s">
        <v>604</v>
      </c>
      <c r="B157" s="5" t="s">
        <v>602</v>
      </c>
      <c r="C157" s="5" t="s">
        <v>603</v>
      </c>
      <c r="D157" s="5" t="n">
        <v>2024</v>
      </c>
      <c r="E157" s="5" t="s">
        <v>221</v>
      </c>
      <c r="F157" s="5" t="s">
        <v>72</v>
      </c>
      <c r="G157" s="5" t="s">
        <v>187</v>
      </c>
      <c r="H157" s="5" t="s">
        <v>74</v>
      </c>
      <c r="I157" s="5" t="s">
        <v>207</v>
      </c>
      <c r="J157" s="5" t="s">
        <v>76</v>
      </c>
      <c r="K157" s="5" t="s">
        <v>163</v>
      </c>
      <c r="L157" s="5" t="s">
        <v>164</v>
      </c>
      <c r="M157" s="5" t="n">
        <v>5</v>
      </c>
      <c r="N157" s="5" t="n">
        <v>40</v>
      </c>
      <c r="O157" s="5" t="s">
        <v>261</v>
      </c>
      <c r="P157" s="11" t="s">
        <v>113</v>
      </c>
      <c r="Q157" s="11" t="s">
        <v>114</v>
      </c>
      <c r="R157" s="5" t="s">
        <v>125</v>
      </c>
      <c r="S157" s="11" t="s">
        <v>235</v>
      </c>
      <c r="T157" s="5"/>
      <c r="U157" s="11" t="s">
        <v>86</v>
      </c>
      <c r="V157" s="5" t="n">
        <v>28</v>
      </c>
      <c r="W157" s="5" t="n">
        <v>4.53</v>
      </c>
      <c r="X157" s="5" t="n">
        <v>0.72</v>
      </c>
      <c r="Y157" s="5" t="n">
        <v>24</v>
      </c>
      <c r="Z157" s="5" t="n">
        <v>3.95</v>
      </c>
      <c r="AA157" s="5" t="n">
        <v>0.84</v>
      </c>
      <c r="AB157" s="5" t="s">
        <v>99</v>
      </c>
      <c r="AC157" s="5"/>
      <c r="AD157" s="5" t="n">
        <v>1</v>
      </c>
      <c r="AE157" s="7" t="n">
        <f aca="false">IFERROR(IF(AB157="MSD",IF(COUNT(V157,W157,X157,Y157,Z157,AA157)&lt;6,"",(W157-Z157)/SQRT(((V157-1)*X157^2+(Y157-1)*AA157^2)/(V157+Y157-2))*AD157),IF(AB157="t",AC157*SQRT(1/V157+1/Y157)*AD157,IF(AB157="F",SQRT(AC157)*SQRT(1/V157+1/Y157)*AD157,IF(AB157="z",2*(AC157/SQRT(V157+Y157))/SQRT(1-(AC157/SQRT(V157+Y157))^2)*AD157,IF(AB157="t_paired",AC157/SQRT(V157)*AD157,""))))),"")</f>
        <v>0.745977159575714</v>
      </c>
      <c r="AF157" s="7" t="n">
        <f aca="false">IF(AE157="","",IF(AB157="t_paired",1-3/(4*(V157-1)-1),1-3/(4*(V157+Y157)-9)))</f>
        <v>0.984924623115578</v>
      </c>
      <c r="AG157" s="7" t="n">
        <f aca="false">IF(AE157="","",AE157*AF157)</f>
        <v>0.734731272747939</v>
      </c>
      <c r="AH157" s="7" t="n">
        <f aca="false">IF(AG157="","",IF(AB157="t_paired",1/V157+AG157^2/(2*V157),(V157+Y157)/(V157*Y157)+AG157^2/(2*(V157+Y157))))</f>
        <v>0.0825716258728159</v>
      </c>
      <c r="AI157" s="7" t="n">
        <f aca="false">IF(AH157="","",SQRT(AH157))</f>
        <v>0.287352789916534</v>
      </c>
      <c r="AJ157" s="7" t="n">
        <f aca="false">IF(AI157="","",AG157-1.96*AI157)</f>
        <v>0.171519804511532</v>
      </c>
      <c r="AK157" s="7" t="n">
        <f aca="false">IF(AI157="","",AG157+1.96*AI157)</f>
        <v>1.29794274098435</v>
      </c>
      <c r="AL157" s="7" t="n">
        <f aca="false">IF(AI157="","",AG157/AI157)</f>
        <v>2.55689625620601</v>
      </c>
      <c r="AM157" s="8" t="n">
        <f aca="false">IF(AL157="","",2*(1-NORMSDIST(ABS(AL157))))</f>
        <v>0.0105610709292028</v>
      </c>
      <c r="AN157" s="9" t="n">
        <f aca="false">IF(COUNT(V157)=0,"",IF(AB157="t_paired",V157,V157+N(Y157)))</f>
        <v>52</v>
      </c>
      <c r="AO157" s="7" t="n">
        <f aca="false">IF(AH157="","",1/AH157)</f>
        <v>12.1106977055325</v>
      </c>
      <c r="AP157" s="5" t="s">
        <v>88</v>
      </c>
      <c r="AQ157" s="5" t="s">
        <v>227</v>
      </c>
      <c r="AR157" s="5"/>
      <c r="AS157" s="7" t="n">
        <f aca="false">IF(AND(AP157="Y",ISNUMBER(AO157)),AO157,0)</f>
        <v>12.1106977055325</v>
      </c>
      <c r="AT157" s="7" t="n">
        <f aca="false">IF(AS157&gt;0,AS157*AG157,0)</f>
        <v>8.89810833905144</v>
      </c>
      <c r="AU157" s="7" t="n">
        <f aca="false">IF(AS157&gt;0,AS157*AG157^2,0)</f>
        <v>6.53771846500032</v>
      </c>
      <c r="AV157" s="9" t="n">
        <f aca="false">IF(AS157&gt;0,AS157^2,0)</f>
        <v>146.66899891479</v>
      </c>
      <c r="AW157" s="7" t="n">
        <f aca="false">IF(AS157&gt;0,AG157,0)</f>
        <v>0.734731272747939</v>
      </c>
      <c r="AX157" s="7" t="n">
        <f aca="false">IF(AS157&gt;0,AH157,1)</f>
        <v>0.0825716258728159</v>
      </c>
    </row>
    <row r="158" customFormat="false" ht="15" hidden="false" customHeight="false" outlineLevel="0" collapsed="false">
      <c r="A158" s="5" t="s">
        <v>605</v>
      </c>
      <c r="B158" s="5" t="s">
        <v>606</v>
      </c>
      <c r="C158" s="5" t="s">
        <v>607</v>
      </c>
      <c r="D158" s="5" t="n">
        <v>2024</v>
      </c>
      <c r="E158" s="5" t="s">
        <v>221</v>
      </c>
      <c r="F158" s="5" t="s">
        <v>173</v>
      </c>
      <c r="G158" s="5" t="s">
        <v>160</v>
      </c>
      <c r="H158" s="5" t="s">
        <v>74</v>
      </c>
      <c r="I158" s="5" t="s">
        <v>207</v>
      </c>
      <c r="J158" s="5" t="s">
        <v>162</v>
      </c>
      <c r="K158" s="5" t="s">
        <v>163</v>
      </c>
      <c r="L158" s="5" t="s">
        <v>164</v>
      </c>
      <c r="M158" s="5" t="s">
        <v>608</v>
      </c>
      <c r="N158" s="5" t="n">
        <v>90</v>
      </c>
      <c r="O158" s="5" t="s">
        <v>261</v>
      </c>
      <c r="P158" s="10" t="s">
        <v>82</v>
      </c>
      <c r="Q158" s="10" t="s">
        <v>83</v>
      </c>
      <c r="R158" s="5"/>
      <c r="S158" s="10" t="s">
        <v>609</v>
      </c>
      <c r="T158" s="5" t="s">
        <v>610</v>
      </c>
      <c r="U158" s="10" t="s">
        <v>98</v>
      </c>
      <c r="V158" s="5" t="n">
        <v>122</v>
      </c>
      <c r="W158" s="5" t="n">
        <v>103.88</v>
      </c>
      <c r="X158" s="5" t="n">
        <v>0.917</v>
      </c>
      <c r="Y158" s="5" t="n">
        <v>122</v>
      </c>
      <c r="Z158" s="5" t="n">
        <v>104.51</v>
      </c>
      <c r="AA158" s="5" t="n">
        <v>10.262</v>
      </c>
      <c r="AB158" s="5" t="s">
        <v>99</v>
      </c>
      <c r="AC158" s="5"/>
      <c r="AD158" s="5" t="n">
        <v>1</v>
      </c>
      <c r="AE158" s="7" t="n">
        <f aca="false">IFERROR(IF(AB158="MSD",IF(COUNT(V158,W158,X158,Y158,Z158,AA158)&lt;6,"",(W158-Z158)/SQRT(((V158-1)*X158^2+(Y158-1)*AA158^2)/(V158+Y158-2))*AD158),IF(AB158="t",AC158*SQRT(1/V158+1/Y158)*AD158,IF(AB158="F",SQRT(AC158)*SQRT(1/V158+1/Y158)*AD158,IF(AB158="z",2*(AC158/SQRT(V158+Y158))/SQRT(1-(AC158/SQRT(V158+Y158))^2)*AD158,IF(AB158="t_paired",AC158/SQRT(V158)*AD158,""))))),"")</f>
        <v>-0.0864761812989345</v>
      </c>
      <c r="AF158" s="7" t="n">
        <f aca="false">IF(AE158="","",IF(AB158="t_paired",1-3/(4*(V158-1)-1),1-3/(4*(V158+Y158)-9)))</f>
        <v>0.996897621509824</v>
      </c>
      <c r="AG158" s="7" t="n">
        <f aca="false">IF(AE158="","",AE158*AF158)</f>
        <v>-0.0862078994541601</v>
      </c>
      <c r="AH158" s="7" t="n">
        <f aca="false">IF(AG158="","",IF(AB158="t_paired",1/V158+AG158^2/(2*V158),(V158+Y158)/(V158*Y158)+AG158^2/(2*(V158+Y158))))</f>
        <v>0.0164086717252629</v>
      </c>
      <c r="AI158" s="7" t="n">
        <f aca="false">IF(AH158="","",SQRT(AH158))</f>
        <v>0.128096337673108</v>
      </c>
      <c r="AJ158" s="7" t="n">
        <f aca="false">IF(AI158="","",AG158-1.96*AI158)</f>
        <v>-0.337276721293452</v>
      </c>
      <c r="AK158" s="7" t="n">
        <f aca="false">IF(AI158="","",AG158+1.96*AI158)</f>
        <v>0.164860922385132</v>
      </c>
      <c r="AL158" s="7" t="n">
        <f aca="false">IF(AI158="","",AG158/AI158)</f>
        <v>-0.672992694562089</v>
      </c>
      <c r="AM158" s="8" t="n">
        <f aca="false">IF(AL158="","",2*(1-NORMSDIST(ABS(AL158))))</f>
        <v>0.500951938589973</v>
      </c>
      <c r="AN158" s="9" t="n">
        <f aca="false">IF(COUNT(V158)=0,"",IF(AB158="t_paired",V158,V158+N(Y158)))</f>
        <v>244</v>
      </c>
      <c r="AO158" s="7" t="n">
        <f aca="false">IF(AH158="","",1/AH158)</f>
        <v>60.9433851041333</v>
      </c>
      <c r="AP158" s="5" t="s">
        <v>100</v>
      </c>
      <c r="AQ158" s="5" t="s">
        <v>178</v>
      </c>
      <c r="AR158" s="5" t="s">
        <v>611</v>
      </c>
      <c r="AS158" s="9" t="n">
        <f aca="false">IF(AND(AP158="Y",ISNUMBER(AO158)),AO158,0)</f>
        <v>0</v>
      </c>
      <c r="AT158" s="7" t="n">
        <f aca="false">IF(AS158&gt;0,AS158*AG158,0)</f>
        <v>0</v>
      </c>
      <c r="AU158" s="7" t="n">
        <f aca="false">IF(AS158&gt;0,AS158*AG158^2,0)</f>
        <v>0</v>
      </c>
      <c r="AV158" s="9" t="n">
        <f aca="false">IF(AS158&gt;0,AS158^2,0)</f>
        <v>0</v>
      </c>
      <c r="AW158" s="7" t="n">
        <f aca="false">IF(AS158&gt;0,AG158,0)</f>
        <v>0</v>
      </c>
      <c r="AX158" s="7" t="n">
        <f aca="false">IF(AS158&gt;0,AH158,1)</f>
        <v>1</v>
      </c>
    </row>
    <row r="159" customFormat="false" ht="15" hidden="false" customHeight="false" outlineLevel="0" collapsed="false">
      <c r="A159" s="5" t="s">
        <v>612</v>
      </c>
      <c r="B159" s="5" t="s">
        <v>606</v>
      </c>
      <c r="C159" s="5" t="s">
        <v>607</v>
      </c>
      <c r="D159" s="5" t="n">
        <v>2024</v>
      </c>
      <c r="E159" s="5" t="s">
        <v>221</v>
      </c>
      <c r="F159" s="5" t="s">
        <v>173</v>
      </c>
      <c r="G159" s="5" t="s">
        <v>160</v>
      </c>
      <c r="H159" s="5" t="s">
        <v>74</v>
      </c>
      <c r="I159" s="5" t="s">
        <v>207</v>
      </c>
      <c r="J159" s="5" t="s">
        <v>162</v>
      </c>
      <c r="K159" s="5" t="s">
        <v>163</v>
      </c>
      <c r="L159" s="5" t="s">
        <v>164</v>
      </c>
      <c r="M159" s="5" t="s">
        <v>608</v>
      </c>
      <c r="N159" s="5" t="n">
        <v>90</v>
      </c>
      <c r="O159" s="5" t="s">
        <v>261</v>
      </c>
      <c r="P159" s="6" t="s">
        <v>82</v>
      </c>
      <c r="Q159" s="6" t="s">
        <v>83</v>
      </c>
      <c r="R159" s="5"/>
      <c r="S159" s="6" t="s">
        <v>609</v>
      </c>
      <c r="T159" s="5" t="s">
        <v>610</v>
      </c>
      <c r="U159" s="6" t="s">
        <v>86</v>
      </c>
      <c r="V159" s="5" t="n">
        <v>122</v>
      </c>
      <c r="W159" s="5" t="n">
        <v>177.05</v>
      </c>
      <c r="X159" s="5" t="n">
        <v>4.994</v>
      </c>
      <c r="Y159" s="5" t="n">
        <v>122</v>
      </c>
      <c r="Z159" s="5" t="n">
        <v>127.86</v>
      </c>
      <c r="AA159" s="5" t="n">
        <v>5.823</v>
      </c>
      <c r="AB159" s="5" t="s">
        <v>99</v>
      </c>
      <c r="AC159" s="5"/>
      <c r="AD159" s="5" t="n">
        <v>1</v>
      </c>
      <c r="AE159" s="7" t="n">
        <f aca="false">IFERROR(IF(AB159="MSD",IF(COUNT(V159,W159,X159,Y159,Z159,AA159)&lt;6,"",(W159-Z159)/SQRT(((V159-1)*X159^2+(Y159-1)*AA159^2)/(V159+Y159-2))*AD159),IF(AB159="t",AC159*SQRT(1/V159+1/Y159)*AD159,IF(AB159="F",SQRT(AC159)*SQRT(1/V159+1/Y159)*AD159,IF(AB159="z",2*(AC159/SQRT(V159+Y159))/SQRT(1-(AC159/SQRT(V159+Y159))^2)*AD159,IF(AB159="t_paired",AC159/SQRT(V159)*AD159,""))))),"")</f>
        <v>9.06835075263149</v>
      </c>
      <c r="AF159" s="7" t="n">
        <f aca="false">IF(AE159="","",IF(AB159="t_paired",1-3/(4*(V159-1)-1),1-3/(4*(V159+Y159)-9)))</f>
        <v>0.996897621509824</v>
      </c>
      <c r="AG159" s="7" t="n">
        <f aca="false">IF(AE159="","",AE159*AF159)</f>
        <v>9.04021729631515</v>
      </c>
      <c r="AH159" s="7" t="n">
        <f aca="false">IF(AG159="","",IF(AB159="t_paired",1/V159+AG159^2/(2*V159),(V159+Y159)/(V159*Y159)+AG159^2/(2*(V159+Y159))))</f>
        <v>0.18386378845204</v>
      </c>
      <c r="AI159" s="7" t="n">
        <f aca="false">IF(AH159="","",SQRT(AH159))</f>
        <v>0.428793409991385</v>
      </c>
      <c r="AJ159" s="7" t="n">
        <f aca="false">IF(AI159="","",AG159-1.96*AI159)</f>
        <v>8.19978221273204</v>
      </c>
      <c r="AK159" s="7" t="n">
        <f aca="false">IF(AI159="","",AG159+1.96*AI159)</f>
        <v>9.88065237989827</v>
      </c>
      <c r="AL159" s="7" t="n">
        <f aca="false">IF(AI159="","",AG159/AI159)</f>
        <v>21.0829203193603</v>
      </c>
      <c r="AM159" s="8" t="n">
        <f aca="false">IF(AL159="","",2*(1-NORMSDIST(ABS(AL159))))</f>
        <v>0</v>
      </c>
      <c r="AN159" s="9" t="n">
        <f aca="false">IF(COUNT(V159)=0,"",IF(AB159="t_paired",V159,V159+N(Y159)))</f>
        <v>244</v>
      </c>
      <c r="AO159" s="7" t="n">
        <f aca="false">IF(AH159="","",1/AH159)</f>
        <v>5.43880885093828</v>
      </c>
      <c r="AP159" s="5" t="s">
        <v>88</v>
      </c>
      <c r="AQ159" s="5" t="s">
        <v>178</v>
      </c>
      <c r="AR159" s="5" t="s">
        <v>611</v>
      </c>
      <c r="AS159" s="7" t="n">
        <f aca="false">IF(AND(AP159="Y",ISNUMBER(AO159)),AO159,0)</f>
        <v>5.43880885093828</v>
      </c>
      <c r="AT159" s="7" t="n">
        <f aca="false">IF(AS159&gt;0,AS159*AG159,0)</f>
        <v>49.1680138456042</v>
      </c>
      <c r="AU159" s="7" t="n">
        <f aca="false">IF(AS159&gt;0,AS159*AG159^2,0)</f>
        <v>444.489529192494</v>
      </c>
      <c r="AV159" s="9" t="n">
        <f aca="false">IF(AS159&gt;0,AS159^2,0)</f>
        <v>29.5806417170446</v>
      </c>
      <c r="AW159" s="7" t="n">
        <f aca="false">IF(AS159&gt;0,AG159,0)</f>
        <v>9.04021729631515</v>
      </c>
      <c r="AX159" s="7" t="n">
        <f aca="false">IF(AS159&gt;0,AH159,1)</f>
        <v>0.18386378845204</v>
      </c>
    </row>
    <row r="160" customFormat="false" ht="15" hidden="false" customHeight="false" outlineLevel="0" collapsed="false">
      <c r="A160" s="5" t="s">
        <v>613</v>
      </c>
      <c r="B160" s="5" t="s">
        <v>606</v>
      </c>
      <c r="C160" s="5" t="s">
        <v>607</v>
      </c>
      <c r="D160" s="5" t="n">
        <v>2024</v>
      </c>
      <c r="E160" s="5" t="s">
        <v>221</v>
      </c>
      <c r="F160" s="5" t="s">
        <v>173</v>
      </c>
      <c r="G160" s="5" t="s">
        <v>160</v>
      </c>
      <c r="H160" s="5" t="s">
        <v>74</v>
      </c>
      <c r="I160" s="5" t="s">
        <v>207</v>
      </c>
      <c r="J160" s="5" t="s">
        <v>162</v>
      </c>
      <c r="K160" s="5" t="s">
        <v>163</v>
      </c>
      <c r="L160" s="5" t="s">
        <v>164</v>
      </c>
      <c r="M160" s="5" t="s">
        <v>608</v>
      </c>
      <c r="N160" s="5" t="n">
        <v>90</v>
      </c>
      <c r="O160" s="5" t="s">
        <v>261</v>
      </c>
      <c r="P160" s="10" t="s">
        <v>82</v>
      </c>
      <c r="Q160" s="10" t="s">
        <v>83</v>
      </c>
      <c r="R160" s="5"/>
      <c r="S160" s="10" t="s">
        <v>614</v>
      </c>
      <c r="T160" s="5" t="s">
        <v>610</v>
      </c>
      <c r="U160" s="10" t="s">
        <v>98</v>
      </c>
      <c r="V160" s="5" t="n">
        <v>120</v>
      </c>
      <c r="W160" s="5" t="n">
        <v>104.46</v>
      </c>
      <c r="X160" s="5" t="n">
        <v>9.772</v>
      </c>
      <c r="Y160" s="5" t="n">
        <v>122</v>
      </c>
      <c r="Z160" s="5" t="n">
        <v>104.51</v>
      </c>
      <c r="AA160" s="5" t="n">
        <v>10.262</v>
      </c>
      <c r="AB160" s="5" t="s">
        <v>99</v>
      </c>
      <c r="AC160" s="5"/>
      <c r="AD160" s="5" t="n">
        <v>1</v>
      </c>
      <c r="AE160" s="7" t="n">
        <f aca="false">IFERROR(IF(AB160="MSD",IF(COUNT(V160,W160,X160,Y160,Z160,AA160)&lt;6,"",(W160-Z160)/SQRT(((V160-1)*X160^2+(Y160-1)*AA160^2)/(V160+Y160-2))*AD160),IF(AB160="t",AC160*SQRT(1/V160+1/Y160)*AD160,IF(AB160="F",SQRT(AC160)*SQRT(1/V160+1/Y160)*AD160,IF(AB160="z",2*(AC160/SQRT(V160+Y160))/SQRT(1-(AC160/SQRT(V160+Y160))^2)*AD160,IF(AB160="t_paired",AC160/SQRT(V160)*AD160,""))))),"")</f>
        <v>-0.0049890059486013</v>
      </c>
      <c r="AF160" s="7" t="n">
        <f aca="false">IF(AE160="","",IF(AB160="t_paired",1-3/(4*(V160-1)-1),1-3/(4*(V160+Y160)-9)))</f>
        <v>0.996871741397289</v>
      </c>
      <c r="AG160" s="7" t="n">
        <f aca="false">IF(AE160="","",AE160*AF160)</f>
        <v>-0.00497339904782361</v>
      </c>
      <c r="AH160" s="7" t="n">
        <f aca="false">IF(AG160="","",IF(AB160="t_paired",1/V160+AG160^2/(2*V160),(V160+Y160)/(V160*Y160)+AG160^2/(2*(V160+Y160))))</f>
        <v>0.0165301057495569</v>
      </c>
      <c r="AI160" s="7" t="n">
        <f aca="false">IF(AH160="","",SQRT(AH160))</f>
        <v>0.128569458852236</v>
      </c>
      <c r="AJ160" s="7" t="n">
        <f aca="false">IF(AI160="","",AG160-1.96*AI160)</f>
        <v>-0.256969538398207</v>
      </c>
      <c r="AK160" s="7" t="n">
        <f aca="false">IF(AI160="","",AG160+1.96*AI160)</f>
        <v>0.247022740302559</v>
      </c>
      <c r="AL160" s="7" t="n">
        <f aca="false">IF(AI160="","",AG160/AI160)</f>
        <v>-0.0386825852128653</v>
      </c>
      <c r="AM160" s="8" t="n">
        <f aca="false">IF(AL160="","",2*(1-NORMSDIST(ABS(AL160))))</f>
        <v>0.969143458003897</v>
      </c>
      <c r="AN160" s="9" t="n">
        <f aca="false">IF(COUNT(V160)=0,"",IF(AB160="t_paired",V160,V160+N(Y160)))</f>
        <v>242</v>
      </c>
      <c r="AO160" s="7" t="n">
        <f aca="false">IF(AH160="","",1/AH160)</f>
        <v>60.4956807385705</v>
      </c>
      <c r="AP160" s="5" t="s">
        <v>100</v>
      </c>
      <c r="AQ160" s="5" t="s">
        <v>178</v>
      </c>
      <c r="AR160" s="5" t="s">
        <v>615</v>
      </c>
      <c r="AS160" s="9" t="n">
        <f aca="false">IF(AND(AP160="Y",ISNUMBER(AO160)),AO160,0)</f>
        <v>0</v>
      </c>
      <c r="AT160" s="7" t="n">
        <f aca="false">IF(AS160&gt;0,AS160*AG160,0)</f>
        <v>0</v>
      </c>
      <c r="AU160" s="7" t="n">
        <f aca="false">IF(AS160&gt;0,AS160*AG160^2,0)</f>
        <v>0</v>
      </c>
      <c r="AV160" s="9" t="n">
        <f aca="false">IF(AS160&gt;0,AS160^2,0)</f>
        <v>0</v>
      </c>
      <c r="AW160" s="7" t="n">
        <f aca="false">IF(AS160&gt;0,AG160,0)</f>
        <v>0</v>
      </c>
      <c r="AX160" s="7" t="n">
        <f aca="false">IF(AS160&gt;0,AH160,1)</f>
        <v>1</v>
      </c>
    </row>
    <row r="161" customFormat="false" ht="15" hidden="false" customHeight="false" outlineLevel="0" collapsed="false">
      <c r="A161" s="5" t="s">
        <v>616</v>
      </c>
      <c r="B161" s="5" t="s">
        <v>606</v>
      </c>
      <c r="C161" s="5" t="s">
        <v>607</v>
      </c>
      <c r="D161" s="5" t="n">
        <v>2024</v>
      </c>
      <c r="E161" s="5" t="s">
        <v>221</v>
      </c>
      <c r="F161" s="5" t="s">
        <v>173</v>
      </c>
      <c r="G161" s="5" t="s">
        <v>160</v>
      </c>
      <c r="H161" s="5" t="s">
        <v>74</v>
      </c>
      <c r="I161" s="5" t="s">
        <v>207</v>
      </c>
      <c r="J161" s="5" t="s">
        <v>162</v>
      </c>
      <c r="K161" s="5" t="s">
        <v>163</v>
      </c>
      <c r="L161" s="5" t="s">
        <v>164</v>
      </c>
      <c r="M161" s="5" t="s">
        <v>608</v>
      </c>
      <c r="N161" s="5" t="n">
        <v>90</v>
      </c>
      <c r="O161" s="5" t="s">
        <v>261</v>
      </c>
      <c r="P161" s="6" t="s">
        <v>82</v>
      </c>
      <c r="Q161" s="6" t="s">
        <v>83</v>
      </c>
      <c r="R161" s="5"/>
      <c r="S161" s="6" t="s">
        <v>614</v>
      </c>
      <c r="T161" s="5" t="s">
        <v>610</v>
      </c>
      <c r="U161" s="6" t="s">
        <v>86</v>
      </c>
      <c r="V161" s="5" t="n">
        <v>120</v>
      </c>
      <c r="W161" s="5" t="n">
        <v>147.08</v>
      </c>
      <c r="X161" s="5" t="n">
        <v>8.216</v>
      </c>
      <c r="Y161" s="5" t="n">
        <v>122</v>
      </c>
      <c r="Z161" s="5" t="n">
        <v>127.86</v>
      </c>
      <c r="AA161" s="5" t="n">
        <v>5.823</v>
      </c>
      <c r="AB161" s="5" t="s">
        <v>99</v>
      </c>
      <c r="AC161" s="5"/>
      <c r="AD161" s="5" t="n">
        <v>1</v>
      </c>
      <c r="AE161" s="7" t="n">
        <f aca="false">IFERROR(IF(AB161="MSD",IF(COUNT(V161,W161,X161,Y161,Z161,AA161)&lt;6,"",(W161-Z161)/SQRT(((V161-1)*X161^2+(Y161-1)*AA161^2)/(V161+Y161-2))*AD161),IF(AB161="t",AC161*SQRT(1/V161+1/Y161)*AD161,IF(AB161="F",SQRT(AC161)*SQRT(1/V161+1/Y161)*AD161,IF(AB161="z",2*(AC161/SQRT(V161+Y161))/SQRT(1-(AC161/SQRT(V161+Y161))^2)*AD161,IF(AB161="t_paired",AC161/SQRT(V161)*AD161,""))))),"")</f>
        <v>2.70288971768753</v>
      </c>
      <c r="AF161" s="7" t="n">
        <f aca="false">IF(AE161="","",IF(AB161="t_paired",1-3/(4*(V161-1)-1),1-3/(4*(V161+Y161)-9)))</f>
        <v>0.996871741397289</v>
      </c>
      <c r="AG161" s="7" t="n">
        <f aca="false">IF(AE161="","",AE161*AF161)</f>
        <v>2.69443437967599</v>
      </c>
      <c r="AH161" s="7" t="n">
        <f aca="false">IF(AG161="","",IF(AB161="t_paired",1/V161+AG161^2/(2*V161),(V161+Y161)/(V161*Y161)+AG161^2/(2*(V161+Y161))))</f>
        <v>0.0315300063522053</v>
      </c>
      <c r="AI161" s="7" t="n">
        <f aca="false">IF(AH161="","",SQRT(AH161))</f>
        <v>0.177566906692112</v>
      </c>
      <c r="AJ161" s="7" t="n">
        <f aca="false">IF(AI161="","",AG161-1.96*AI161)</f>
        <v>2.34640324255945</v>
      </c>
      <c r="AK161" s="7" t="n">
        <f aca="false">IF(AI161="","",AG161+1.96*AI161)</f>
        <v>3.04246551679253</v>
      </c>
      <c r="AL161" s="7" t="n">
        <f aca="false">IF(AI161="","",AG161/AI161)</f>
        <v>15.1741922516448</v>
      </c>
      <c r="AM161" s="8" t="n">
        <f aca="false">IF(AL161="","",2*(1-NORMSDIST(ABS(AL161))))</f>
        <v>0</v>
      </c>
      <c r="AN161" s="9" t="n">
        <f aca="false">IF(COUNT(V161)=0,"",IF(AB161="t_paired",V161,V161+N(Y161)))</f>
        <v>242</v>
      </c>
      <c r="AO161" s="7" t="n">
        <f aca="false">IF(AH161="","",1/AH161)</f>
        <v>31.7158198076309</v>
      </c>
      <c r="AP161" s="5" t="s">
        <v>88</v>
      </c>
      <c r="AQ161" s="5" t="s">
        <v>178</v>
      </c>
      <c r="AR161" s="5" t="s">
        <v>615</v>
      </c>
      <c r="AS161" s="7" t="n">
        <f aca="false">IF(AND(AP161="Y",ISNUMBER(AO161)),AO161,0)</f>
        <v>31.7158198076309</v>
      </c>
      <c r="AT161" s="7" t="n">
        <f aca="false">IF(AS161&gt;0,AS161*AG161,0)</f>
        <v>85.4561952692893</v>
      </c>
      <c r="AU161" s="7" t="n">
        <f aca="false">IF(AS161&gt;0,AS161*AG161^2,0)</f>
        <v>230.256110489878</v>
      </c>
      <c r="AV161" s="9" t="n">
        <f aca="false">IF(AS161&gt;0,AS161^2,0)</f>
        <v>1005.89322607011</v>
      </c>
      <c r="AW161" s="7" t="n">
        <f aca="false">IF(AS161&gt;0,AG161,0)</f>
        <v>2.69443437967599</v>
      </c>
      <c r="AX161" s="7" t="n">
        <f aca="false">IF(AS161&gt;0,AH161,1)</f>
        <v>0.0315300063522053</v>
      </c>
    </row>
    <row r="162" customFormat="false" ht="15" hidden="false" customHeight="false" outlineLevel="0" collapsed="false">
      <c r="A162" s="5" t="s">
        <v>617</v>
      </c>
      <c r="B162" s="5" t="s">
        <v>606</v>
      </c>
      <c r="C162" s="5" t="s">
        <v>607</v>
      </c>
      <c r="D162" s="5" t="n">
        <v>2024</v>
      </c>
      <c r="E162" s="5" t="s">
        <v>221</v>
      </c>
      <c r="F162" s="5" t="s">
        <v>173</v>
      </c>
      <c r="G162" s="5" t="s">
        <v>160</v>
      </c>
      <c r="H162" s="5" t="s">
        <v>74</v>
      </c>
      <c r="I162" s="5" t="s">
        <v>207</v>
      </c>
      <c r="J162" s="5" t="s">
        <v>162</v>
      </c>
      <c r="K162" s="5" t="s">
        <v>163</v>
      </c>
      <c r="L162" s="5" t="s">
        <v>164</v>
      </c>
      <c r="M162" s="5" t="s">
        <v>608</v>
      </c>
      <c r="N162" s="5" t="n">
        <v>90</v>
      </c>
      <c r="O162" s="5" t="s">
        <v>261</v>
      </c>
      <c r="P162" s="10" t="s">
        <v>82</v>
      </c>
      <c r="Q162" s="10" t="s">
        <v>83</v>
      </c>
      <c r="R162" s="5"/>
      <c r="S162" s="10" t="s">
        <v>618</v>
      </c>
      <c r="T162" s="5" t="s">
        <v>610</v>
      </c>
      <c r="U162" s="10" t="s">
        <v>98</v>
      </c>
      <c r="V162" s="5" t="n">
        <v>122</v>
      </c>
      <c r="W162" s="5" t="n">
        <v>104.25</v>
      </c>
      <c r="X162" s="5" t="n">
        <v>9.952</v>
      </c>
      <c r="Y162" s="5" t="n">
        <v>122</v>
      </c>
      <c r="Z162" s="5" t="n">
        <v>104.51</v>
      </c>
      <c r="AA162" s="5" t="n">
        <v>10.262</v>
      </c>
      <c r="AB162" s="5" t="s">
        <v>99</v>
      </c>
      <c r="AC162" s="5"/>
      <c r="AD162" s="5" t="n">
        <v>1</v>
      </c>
      <c r="AE162" s="7" t="n">
        <f aca="false">IFERROR(IF(AB162="MSD",IF(COUNT(V162,W162,X162,Y162,Z162,AA162)&lt;6,"",(W162-Z162)/SQRT(((V162-1)*X162^2+(Y162-1)*AA162^2)/(V162+Y162-2))*AD162),IF(AB162="t",AC162*SQRT(1/V162+1/Y162)*AD162,IF(AB162="F",SQRT(AC162)*SQRT(1/V162+1/Y162)*AD162,IF(AB162="z",2*(AC162/SQRT(V162+Y162))/SQRT(1-(AC162/SQRT(V162+Y162))^2)*AD162,IF(AB162="t_paired",AC162/SQRT(V162)*AD162,""))))),"")</f>
        <v>-0.0257217206580779</v>
      </c>
      <c r="AF162" s="7" t="n">
        <f aca="false">IF(AE162="","",IF(AB162="t_paired",1-3/(4*(V162-1)-1),1-3/(4*(V162+Y162)-9)))</f>
        <v>0.996897621509824</v>
      </c>
      <c r="AG162" s="7" t="n">
        <f aca="false">IF(AE162="","",AE162*AF162)</f>
        <v>-0.025641922145178</v>
      </c>
      <c r="AH162" s="7" t="n">
        <f aca="false">IF(AG162="","",IF(AB162="t_paired",1/V162+AG162^2/(2*V162),(V162+Y162)/(V162*Y162)+AG162^2/(2*(V162+Y162))))</f>
        <v>0.0163947899757609</v>
      </c>
      <c r="AI162" s="7" t="n">
        <f aca="false">IF(AH162="","",SQRT(AH162))</f>
        <v>0.128042141405714</v>
      </c>
      <c r="AJ162" s="7" t="n">
        <f aca="false">IF(AI162="","",AG162-1.96*AI162)</f>
        <v>-0.276604519300377</v>
      </c>
      <c r="AK162" s="7" t="n">
        <f aca="false">IF(AI162="","",AG162+1.96*AI162)</f>
        <v>0.225320675010022</v>
      </c>
      <c r="AL162" s="7" t="n">
        <f aca="false">IF(AI162="","",AG162/AI162)</f>
        <v>-0.200261584691317</v>
      </c>
      <c r="AM162" s="8" t="n">
        <f aca="false">IF(AL162="","",2*(1-NORMSDIST(ABS(AL162))))</f>
        <v>0.841276004910784</v>
      </c>
      <c r="AN162" s="9" t="n">
        <f aca="false">IF(COUNT(V162)=0,"",IF(AB162="t_paired",V162,V162+N(Y162)))</f>
        <v>244</v>
      </c>
      <c r="AO162" s="7" t="n">
        <f aca="false">IF(AH162="","",1/AH162)</f>
        <v>60.9949869122121</v>
      </c>
      <c r="AP162" s="5" t="s">
        <v>100</v>
      </c>
      <c r="AQ162" s="5" t="s">
        <v>178</v>
      </c>
      <c r="AR162" s="5" t="s">
        <v>619</v>
      </c>
      <c r="AS162" s="9" t="n">
        <f aca="false">IF(AND(AP162="Y",ISNUMBER(AO162)),AO162,0)</f>
        <v>0</v>
      </c>
      <c r="AT162" s="7" t="n">
        <f aca="false">IF(AS162&gt;0,AS162*AG162,0)</f>
        <v>0</v>
      </c>
      <c r="AU162" s="7" t="n">
        <f aca="false">IF(AS162&gt;0,AS162*AG162^2,0)</f>
        <v>0</v>
      </c>
      <c r="AV162" s="9" t="n">
        <f aca="false">IF(AS162&gt;0,AS162^2,0)</f>
        <v>0</v>
      </c>
      <c r="AW162" s="7" t="n">
        <f aca="false">IF(AS162&gt;0,AG162,0)</f>
        <v>0</v>
      </c>
      <c r="AX162" s="7" t="n">
        <f aca="false">IF(AS162&gt;0,AH162,1)</f>
        <v>1</v>
      </c>
    </row>
    <row r="163" customFormat="false" ht="15" hidden="false" customHeight="false" outlineLevel="0" collapsed="false">
      <c r="A163" s="5" t="s">
        <v>620</v>
      </c>
      <c r="B163" s="5" t="s">
        <v>606</v>
      </c>
      <c r="C163" s="5" t="s">
        <v>607</v>
      </c>
      <c r="D163" s="5" t="n">
        <v>2024</v>
      </c>
      <c r="E163" s="5" t="s">
        <v>221</v>
      </c>
      <c r="F163" s="5" t="s">
        <v>173</v>
      </c>
      <c r="G163" s="5" t="s">
        <v>160</v>
      </c>
      <c r="H163" s="5" t="s">
        <v>74</v>
      </c>
      <c r="I163" s="5" t="s">
        <v>207</v>
      </c>
      <c r="J163" s="5" t="s">
        <v>162</v>
      </c>
      <c r="K163" s="5" t="s">
        <v>163</v>
      </c>
      <c r="L163" s="5" t="s">
        <v>164</v>
      </c>
      <c r="M163" s="5" t="s">
        <v>608</v>
      </c>
      <c r="N163" s="5" t="n">
        <v>90</v>
      </c>
      <c r="O163" s="5" t="s">
        <v>261</v>
      </c>
      <c r="P163" s="6" t="s">
        <v>82</v>
      </c>
      <c r="Q163" s="6" t="s">
        <v>83</v>
      </c>
      <c r="R163" s="5"/>
      <c r="S163" s="6" t="s">
        <v>618</v>
      </c>
      <c r="T163" s="5" t="s">
        <v>610</v>
      </c>
      <c r="U163" s="6" t="s">
        <v>86</v>
      </c>
      <c r="V163" s="5" t="n">
        <v>122</v>
      </c>
      <c r="W163" s="5" t="n">
        <v>144.9</v>
      </c>
      <c r="X163" s="5" t="n">
        <v>7.366</v>
      </c>
      <c r="Y163" s="5" t="n">
        <v>122</v>
      </c>
      <c r="Z163" s="5" t="n">
        <v>127.86</v>
      </c>
      <c r="AA163" s="5" t="n">
        <v>5.823</v>
      </c>
      <c r="AB163" s="5" t="s">
        <v>99</v>
      </c>
      <c r="AC163" s="5"/>
      <c r="AD163" s="5" t="n">
        <v>1</v>
      </c>
      <c r="AE163" s="7" t="n">
        <f aca="false">IFERROR(IF(AB163="MSD",IF(COUNT(V163,W163,X163,Y163,Z163,AA163)&lt;6,"",(W163-Z163)/SQRT(((V163-1)*X163^2+(Y163-1)*AA163^2)/(V163+Y163-2))*AD163),IF(AB163="t",AC163*SQRT(1/V163+1/Y163)*AD163,IF(AB163="F",SQRT(AC163)*SQRT(1/V163+1/Y163)*AD163,IF(AB163="z",2*(AC163/SQRT(V163+Y163))/SQRT(1-(AC163/SQRT(V163+Y163))^2)*AD163,IF(AB163="t_paired",AC163/SQRT(V163)*AD163,""))))),"")</f>
        <v>2.56646756721084</v>
      </c>
      <c r="AF163" s="7" t="n">
        <f aca="false">IF(AE163="","",IF(AB163="t_paired",1-3/(4*(V163-1)-1),1-3/(4*(V163+Y163)-9)))</f>
        <v>0.996897621509824</v>
      </c>
      <c r="AG163" s="7" t="n">
        <f aca="false">IF(AE163="","",AE163*AF163)</f>
        <v>2.55850541343459</v>
      </c>
      <c r="AH163" s="7" t="n">
        <f aca="false">IF(AG163="","",IF(AB163="t_paired",1/V163+AG163^2/(2*V163),(V163+Y163)/(V163*Y163)+AG163^2/(2*(V163+Y163))))</f>
        <v>0.0298072744888813</v>
      </c>
      <c r="AI163" s="7" t="n">
        <f aca="false">IF(AH163="","",SQRT(AH163))</f>
        <v>0.172647833721948</v>
      </c>
      <c r="AJ163" s="7" t="n">
        <f aca="false">IF(AI163="","",AG163-1.96*AI163)</f>
        <v>2.22011565933957</v>
      </c>
      <c r="AK163" s="7" t="n">
        <f aca="false">IF(AI163="","",AG163+1.96*AI163)</f>
        <v>2.89689516752961</v>
      </c>
      <c r="AL163" s="7" t="n">
        <f aca="false">IF(AI163="","",AG163/AI163)</f>
        <v>14.8192152677404</v>
      </c>
      <c r="AM163" s="8" t="n">
        <f aca="false">IF(AL163="","",2*(1-NORMSDIST(ABS(AL163))))</f>
        <v>0</v>
      </c>
      <c r="AN163" s="9" t="n">
        <f aca="false">IF(COUNT(V163)=0,"",IF(AB163="t_paired",V163,V163+N(Y163)))</f>
        <v>244</v>
      </c>
      <c r="AO163" s="7" t="n">
        <f aca="false">IF(AH163="","",1/AH163)</f>
        <v>33.5488573560464</v>
      </c>
      <c r="AP163" s="5" t="s">
        <v>88</v>
      </c>
      <c r="AQ163" s="5" t="s">
        <v>178</v>
      </c>
      <c r="AR163" s="5" t="s">
        <v>619</v>
      </c>
      <c r="AS163" s="7" t="n">
        <f aca="false">IF(AND(AP163="Y",ISNUMBER(AO163)),AO163,0)</f>
        <v>33.5488573560464</v>
      </c>
      <c r="AT163" s="7" t="n">
        <f aca="false">IF(AS163&gt;0,AS163*AG163,0)</f>
        <v>85.8349331599894</v>
      </c>
      <c r="AU163" s="7" t="n">
        <f aca="false">IF(AS163&gt;0,AS163*AG163^2,0)</f>
        <v>219.609141151629</v>
      </c>
      <c r="AV163" s="9" t="n">
        <f aca="false">IF(AS163&gt;0,AS163^2,0)</f>
        <v>1125.52582989635</v>
      </c>
      <c r="AW163" s="7" t="n">
        <f aca="false">IF(AS163&gt;0,AG163,0)</f>
        <v>2.55850541343459</v>
      </c>
      <c r="AX163" s="7" t="n">
        <f aca="false">IF(AS163&gt;0,AH163,1)</f>
        <v>0.0298072744888813</v>
      </c>
    </row>
    <row r="164" customFormat="false" ht="15" hidden="false" customHeight="false" outlineLevel="0" collapsed="false">
      <c r="A164" s="5" t="s">
        <v>621</v>
      </c>
      <c r="B164" s="5" t="s">
        <v>622</v>
      </c>
      <c r="C164" s="5" t="s">
        <v>623</v>
      </c>
      <c r="D164" s="5" t="n">
        <v>2023</v>
      </c>
      <c r="E164" s="5" t="s">
        <v>221</v>
      </c>
      <c r="F164" s="5" t="s">
        <v>199</v>
      </c>
      <c r="G164" s="5" t="s">
        <v>160</v>
      </c>
      <c r="H164" s="5" t="s">
        <v>265</v>
      </c>
      <c r="I164" s="5" t="s">
        <v>624</v>
      </c>
      <c r="J164" s="5" t="s">
        <v>162</v>
      </c>
      <c r="K164" s="5" t="s">
        <v>163</v>
      </c>
      <c r="L164" s="5" t="s">
        <v>164</v>
      </c>
      <c r="M164" s="5" t="n">
        <v>11</v>
      </c>
      <c r="N164" s="5" t="n">
        <v>90</v>
      </c>
      <c r="O164" s="5" t="s">
        <v>261</v>
      </c>
      <c r="P164" s="10" t="s">
        <v>82</v>
      </c>
      <c r="Q164" s="10" t="s">
        <v>103</v>
      </c>
      <c r="R164" s="5"/>
      <c r="S164" s="10" t="s">
        <v>625</v>
      </c>
      <c r="T164" s="5" t="s">
        <v>626</v>
      </c>
      <c r="U164" s="10" t="s">
        <v>98</v>
      </c>
      <c r="V164" s="5" t="n">
        <v>36</v>
      </c>
      <c r="W164" s="5" t="n">
        <v>21.62</v>
      </c>
      <c r="X164" s="5" t="n">
        <v>7.92</v>
      </c>
      <c r="Y164" s="5" t="n">
        <v>36</v>
      </c>
      <c r="Z164" s="5" t="n">
        <v>22.61</v>
      </c>
      <c r="AA164" s="5" t="n">
        <v>17.12</v>
      </c>
      <c r="AB164" s="5" t="s">
        <v>99</v>
      </c>
      <c r="AC164" s="5"/>
      <c r="AD164" s="5" t="n">
        <v>1</v>
      </c>
      <c r="AE164" s="7" t="n">
        <f aca="false">IFERROR(IF(AB164="MSD",IF(COUNT(V164,W164,X164,Y164,Z164,AA164)&lt;6,"",(W164-Z164)/SQRT(((V164-1)*X164^2+(Y164-1)*AA164^2)/(V164+Y164-2))*AD164),IF(AB164="t",AC164*SQRT(1/V164+1/Y164)*AD164,IF(AB164="F",SQRT(AC164)*SQRT(1/V164+1/Y164)*AD164,IF(AB164="z",2*(AC164/SQRT(V164+Y164))/SQRT(1-(AC164/SQRT(V164+Y164))^2)*AD164,IF(AB164="t_paired",AC164/SQRT(V164)*AD164,""))))),"")</f>
        <v>-0.0742223202358655</v>
      </c>
      <c r="AF164" s="7" t="n">
        <f aca="false">IF(AE164="","",IF(AB164="t_paired",1-3/(4*(V164-1)-1),1-3/(4*(V164+Y164)-9)))</f>
        <v>0.989247311827957</v>
      </c>
      <c r="AG164" s="7" t="n">
        <f aca="false">IF(AE164="","",AE164*AF164)</f>
        <v>-0.0734242307709637</v>
      </c>
      <c r="AH164" s="7" t="n">
        <f aca="false">IF(AG164="","",IF(AB164="t_paired",1/V164+AG164^2/(2*V164),(V164+Y164)/(V164*Y164)+AG164^2/(2*(V164+Y164))))</f>
        <v>0.0555929938726688</v>
      </c>
      <c r="AI164" s="7" t="n">
        <f aca="false">IF(AH164="","",SQRT(AH164))</f>
        <v>0.235781665683888</v>
      </c>
      <c r="AJ164" s="7" t="n">
        <f aca="false">IF(AI164="","",AG164-1.96*AI164)</f>
        <v>-0.535556295511385</v>
      </c>
      <c r="AK164" s="7" t="n">
        <f aca="false">IF(AI164="","",AG164+1.96*AI164)</f>
        <v>0.388707833969457</v>
      </c>
      <c r="AL164" s="7" t="n">
        <f aca="false">IF(AI164="","",AG164/AI164)</f>
        <v>-0.311407719332187</v>
      </c>
      <c r="AM164" s="8" t="n">
        <f aca="false">IF(AL164="","",2*(1-NORMSDIST(ABS(AL164))))</f>
        <v>0.755490686275274</v>
      </c>
      <c r="AN164" s="9" t="n">
        <f aca="false">IF(COUNT(V164)=0,"",IF(AB164="t_paired",V164,V164+N(Y164)))</f>
        <v>72</v>
      </c>
      <c r="AO164" s="7" t="n">
        <f aca="false">IF(AH164="","",1/AH164)</f>
        <v>17.9878781540425</v>
      </c>
      <c r="AP164" s="5" t="s">
        <v>100</v>
      </c>
      <c r="AQ164" s="5" t="s">
        <v>167</v>
      </c>
      <c r="AR164" s="5"/>
      <c r="AS164" s="9" t="n">
        <f aca="false">IF(AND(AP164="Y",ISNUMBER(AO164)),AO164,0)</f>
        <v>0</v>
      </c>
      <c r="AT164" s="7" t="n">
        <f aca="false">IF(AS164&gt;0,AS164*AG164,0)</f>
        <v>0</v>
      </c>
      <c r="AU164" s="7" t="n">
        <f aca="false">IF(AS164&gt;0,AS164*AG164^2,0)</f>
        <v>0</v>
      </c>
      <c r="AV164" s="9" t="n">
        <f aca="false">IF(AS164&gt;0,AS164^2,0)</f>
        <v>0</v>
      </c>
      <c r="AW164" s="7" t="n">
        <f aca="false">IF(AS164&gt;0,AG164,0)</f>
        <v>0</v>
      </c>
      <c r="AX164" s="7" t="n">
        <f aca="false">IF(AS164&gt;0,AH164,1)</f>
        <v>1</v>
      </c>
    </row>
    <row r="165" customFormat="false" ht="15" hidden="false" customHeight="false" outlineLevel="0" collapsed="false">
      <c r="A165" s="5" t="s">
        <v>627</v>
      </c>
      <c r="B165" s="5" t="s">
        <v>622</v>
      </c>
      <c r="C165" s="5" t="s">
        <v>623</v>
      </c>
      <c r="D165" s="5" t="n">
        <v>2023</v>
      </c>
      <c r="E165" s="5" t="s">
        <v>221</v>
      </c>
      <c r="F165" s="5" t="s">
        <v>199</v>
      </c>
      <c r="G165" s="5" t="s">
        <v>160</v>
      </c>
      <c r="H165" s="5" t="s">
        <v>265</v>
      </c>
      <c r="I165" s="5" t="s">
        <v>624</v>
      </c>
      <c r="J165" s="5" t="s">
        <v>162</v>
      </c>
      <c r="K165" s="5" t="s">
        <v>163</v>
      </c>
      <c r="L165" s="5" t="s">
        <v>164</v>
      </c>
      <c r="M165" s="5" t="n">
        <v>11</v>
      </c>
      <c r="N165" s="5" t="n">
        <v>90</v>
      </c>
      <c r="O165" s="5" t="s">
        <v>261</v>
      </c>
      <c r="P165" s="6" t="s">
        <v>82</v>
      </c>
      <c r="Q165" s="6" t="s">
        <v>103</v>
      </c>
      <c r="R165" s="5"/>
      <c r="S165" s="6" t="s">
        <v>625</v>
      </c>
      <c r="T165" s="5" t="s">
        <v>626</v>
      </c>
      <c r="U165" s="6" t="s">
        <v>86</v>
      </c>
      <c r="V165" s="5" t="n">
        <v>36</v>
      </c>
      <c r="W165" s="5" t="n">
        <v>56.67</v>
      </c>
      <c r="X165" s="5" t="n">
        <v>16.53</v>
      </c>
      <c r="Y165" s="5" t="n">
        <v>36</v>
      </c>
      <c r="Z165" s="5" t="n">
        <v>41.67</v>
      </c>
      <c r="AA165" s="5" t="n">
        <v>14</v>
      </c>
      <c r="AB165" s="5" t="s">
        <v>99</v>
      </c>
      <c r="AC165" s="5"/>
      <c r="AD165" s="5" t="n">
        <v>1</v>
      </c>
      <c r="AE165" s="7" t="n">
        <f aca="false">IFERROR(IF(AB165="MSD",IF(COUNT(V165,W165,X165,Y165,Z165,AA165)&lt;6,"",(W165-Z165)/SQRT(((V165-1)*X165^2+(Y165-1)*AA165^2)/(V165+Y165-2))*AD165),IF(AB165="t",AC165*SQRT(1/V165+1/Y165)*AD165,IF(AB165="F",SQRT(AC165)*SQRT(1/V165+1/Y165)*AD165,IF(AB165="z",2*(AC165/SQRT(V165+Y165))/SQRT(1-(AC165/SQRT(V165+Y165))^2)*AD165,IF(AB165="t_paired",AC165/SQRT(V165)*AD165,""))))),"")</f>
        <v>0.979283252470139</v>
      </c>
      <c r="AF165" s="7" t="n">
        <f aca="false">IF(AE165="","",IF(AB165="t_paired",1-3/(4*(V165-1)-1),1-3/(4*(V165+Y165)-9)))</f>
        <v>0.989247311827957</v>
      </c>
      <c r="AG165" s="7" t="n">
        <f aca="false">IF(AE165="","",AE165*AF165)</f>
        <v>0.968753325024224</v>
      </c>
      <c r="AH165" s="7" t="n">
        <f aca="false">IF(AG165="","",IF(AB165="t_paired",1/V165+AG165^2/(2*V165),(V165+Y165)/(V165*Y165)+AG165^2/(2*(V165+Y165))))</f>
        <v>0.0620727986440659</v>
      </c>
      <c r="AI165" s="7" t="n">
        <f aca="false">IF(AH165="","",SQRT(AH165))</f>
        <v>0.249144132268986</v>
      </c>
      <c r="AJ165" s="7" t="n">
        <f aca="false">IF(AI165="","",AG165-1.96*AI165)</f>
        <v>0.480430825777012</v>
      </c>
      <c r="AK165" s="7" t="n">
        <f aca="false">IF(AI165="","",AG165+1.96*AI165)</f>
        <v>1.45707582427144</v>
      </c>
      <c r="AL165" s="7" t="n">
        <f aca="false">IF(AI165="","",AG165/AI165)</f>
        <v>3.88832486722312</v>
      </c>
      <c r="AM165" s="8" t="n">
        <f aca="false">IF(AL165="","",2*(1-NORMSDIST(ABS(AL165))))</f>
        <v>0.000100938464317579</v>
      </c>
      <c r="AN165" s="9" t="n">
        <f aca="false">IF(COUNT(V165)=0,"",IF(AB165="t_paired",V165,V165+N(Y165)))</f>
        <v>72</v>
      </c>
      <c r="AO165" s="7" t="n">
        <f aca="false">IF(AH165="","",1/AH165)</f>
        <v>16.1101162158668</v>
      </c>
      <c r="AP165" s="5" t="s">
        <v>88</v>
      </c>
      <c r="AQ165" s="5" t="s">
        <v>167</v>
      </c>
      <c r="AR165" s="5"/>
      <c r="AS165" s="7" t="n">
        <f aca="false">IF(AND(AP165="Y",ISNUMBER(AO165)),AO165,0)</f>
        <v>16.1101162158668</v>
      </c>
      <c r="AT165" s="7" t="n">
        <f aca="false">IF(AS165&gt;0,AS165*AG165,0)</f>
        <v>15.6067286506476</v>
      </c>
      <c r="AU165" s="7" t="n">
        <f aca="false">IF(AS165&gt;0,AS165*AG165^2,0)</f>
        <v>15.1190702730657</v>
      </c>
      <c r="AV165" s="9" t="n">
        <f aca="false">IF(AS165&gt;0,AS165^2,0)</f>
        <v>259.535844488734</v>
      </c>
      <c r="AW165" s="7" t="n">
        <f aca="false">IF(AS165&gt;0,AG165,0)</f>
        <v>0.968753325024224</v>
      </c>
      <c r="AX165" s="7" t="n">
        <f aca="false">IF(AS165&gt;0,AH165,1)</f>
        <v>0.0620727986440659</v>
      </c>
    </row>
    <row r="166" customFormat="false" ht="15" hidden="false" customHeight="false" outlineLevel="0" collapsed="false">
      <c r="A166" s="5" t="s">
        <v>628</v>
      </c>
      <c r="B166" s="5" t="s">
        <v>629</v>
      </c>
      <c r="C166" s="5" t="s">
        <v>630</v>
      </c>
      <c r="D166" s="5" t="n">
        <v>2024</v>
      </c>
      <c r="E166" s="5" t="s">
        <v>221</v>
      </c>
      <c r="F166" s="5" t="s">
        <v>199</v>
      </c>
      <c r="G166" s="5" t="s">
        <v>160</v>
      </c>
      <c r="H166" s="5" t="s">
        <v>131</v>
      </c>
      <c r="I166" s="5" t="s">
        <v>631</v>
      </c>
      <c r="J166" s="5" t="s">
        <v>162</v>
      </c>
      <c r="K166" s="5" t="s">
        <v>163</v>
      </c>
      <c r="L166" s="5" t="s">
        <v>164</v>
      </c>
      <c r="M166" s="5" t="s">
        <v>632</v>
      </c>
      <c r="N166" s="5"/>
      <c r="O166" s="5" t="s">
        <v>261</v>
      </c>
      <c r="P166" s="10" t="s">
        <v>82</v>
      </c>
      <c r="Q166" s="10" t="s">
        <v>191</v>
      </c>
      <c r="R166" s="5"/>
      <c r="S166" s="10" t="s">
        <v>633</v>
      </c>
      <c r="T166" s="5" t="s">
        <v>634</v>
      </c>
      <c r="U166" s="10" t="s">
        <v>98</v>
      </c>
      <c r="V166" s="5" t="n">
        <v>32</v>
      </c>
      <c r="W166" s="5" t="n">
        <v>63.05</v>
      </c>
      <c r="X166" s="5" t="n">
        <v>9.78</v>
      </c>
      <c r="Y166" s="5" t="n">
        <v>33</v>
      </c>
      <c r="Z166" s="5" t="n">
        <v>62.12</v>
      </c>
      <c r="AA166" s="5" t="n">
        <v>11.13</v>
      </c>
      <c r="AB166" s="5" t="s">
        <v>99</v>
      </c>
      <c r="AC166" s="5"/>
      <c r="AD166" s="5" t="n">
        <v>1</v>
      </c>
      <c r="AE166" s="7" t="n">
        <f aca="false">IFERROR(IF(AB166="MSD",IF(COUNT(V166,W166,X166,Y166,Z166,AA166)&lt;6,"",(W166-Z166)/SQRT(((V166-1)*X166^2+(Y166-1)*AA166^2)/(V166+Y166-2))*AD166),IF(AB166="t",AC166*SQRT(1/V166+1/Y166)*AD166,IF(AB166="F",SQRT(AC166)*SQRT(1/V166+1/Y166)*AD166,IF(AB166="z",2*(AC166/SQRT(V166+Y166))/SQRT(1-(AC166/SQRT(V166+Y166))^2)*AD166,IF(AB166="t_paired",AC166/SQRT(V166)*AD166,""))))),"")</f>
        <v>0.0886773876716808</v>
      </c>
      <c r="AF166" s="7" t="n">
        <f aca="false">IF(AE166="","",IF(AB166="t_paired",1-3/(4*(V166-1)-1),1-3/(4*(V166+Y166)-9)))</f>
        <v>0.98804780876494</v>
      </c>
      <c r="AG166" s="7" t="n">
        <f aca="false">IF(AE166="","",AE166*AF166)</f>
        <v>0.0876174985760034</v>
      </c>
      <c r="AH166" s="7" t="n">
        <f aca="false">IF(AG166="","",IF(AB166="t_paired",1/V166+AG166^2/(2*V166),(V166+Y166)/(V166*Y166)+AG166^2/(2*(V166+Y166))))</f>
        <v>0.0616120828111589</v>
      </c>
      <c r="AI166" s="7" t="n">
        <f aca="false">IF(AH166="","",SQRT(AH166))</f>
        <v>0.248217813243044</v>
      </c>
      <c r="AJ166" s="7" t="n">
        <f aca="false">IF(AI166="","",AG166-1.96*AI166)</f>
        <v>-0.398889415380364</v>
      </c>
      <c r="AK166" s="7" t="n">
        <f aca="false">IF(AI166="","",AG166+1.96*AI166)</f>
        <v>0.574124412532371</v>
      </c>
      <c r="AL166" s="7" t="n">
        <f aca="false">IF(AI166="","",AG166/AI166)</f>
        <v>0.352986344659366</v>
      </c>
      <c r="AM166" s="8" t="n">
        <f aca="false">IF(AL166="","",2*(1-NORMSDIST(ABS(AL166))))</f>
        <v>0.724098677828553</v>
      </c>
      <c r="AN166" s="9" t="n">
        <f aca="false">IF(COUNT(V166)=0,"",IF(AB166="t_paired",V166,V166+N(Y166)))</f>
        <v>65</v>
      </c>
      <c r="AO166" s="7" t="n">
        <f aca="false">IF(AH166="","",1/AH166)</f>
        <v>16.2305826125859</v>
      </c>
      <c r="AP166" s="5" t="s">
        <v>100</v>
      </c>
      <c r="AQ166" s="5" t="s">
        <v>167</v>
      </c>
      <c r="AR166" s="5"/>
      <c r="AS166" s="9" t="n">
        <f aca="false">IF(AND(AP166="Y",ISNUMBER(AO166)),AO166,0)</f>
        <v>0</v>
      </c>
      <c r="AT166" s="7" t="n">
        <f aca="false">IF(AS166&gt;0,AS166*AG166,0)</f>
        <v>0</v>
      </c>
      <c r="AU166" s="7" t="n">
        <f aca="false">IF(AS166&gt;0,AS166*AG166^2,0)</f>
        <v>0</v>
      </c>
      <c r="AV166" s="9" t="n">
        <f aca="false">IF(AS166&gt;0,AS166^2,0)</f>
        <v>0</v>
      </c>
      <c r="AW166" s="7" t="n">
        <f aca="false">IF(AS166&gt;0,AG166,0)</f>
        <v>0</v>
      </c>
      <c r="AX166" s="7" t="n">
        <f aca="false">IF(AS166&gt;0,AH166,1)</f>
        <v>1</v>
      </c>
    </row>
    <row r="167" customFormat="false" ht="15" hidden="false" customHeight="false" outlineLevel="0" collapsed="false">
      <c r="A167" s="5" t="s">
        <v>635</v>
      </c>
      <c r="B167" s="5" t="s">
        <v>629</v>
      </c>
      <c r="C167" s="5" t="s">
        <v>630</v>
      </c>
      <c r="D167" s="5" t="n">
        <v>2024</v>
      </c>
      <c r="E167" s="5" t="s">
        <v>221</v>
      </c>
      <c r="F167" s="5" t="s">
        <v>199</v>
      </c>
      <c r="G167" s="5" t="s">
        <v>160</v>
      </c>
      <c r="H167" s="5" t="s">
        <v>131</v>
      </c>
      <c r="I167" s="5" t="s">
        <v>631</v>
      </c>
      <c r="J167" s="5" t="s">
        <v>162</v>
      </c>
      <c r="K167" s="5" t="s">
        <v>163</v>
      </c>
      <c r="L167" s="5" t="s">
        <v>164</v>
      </c>
      <c r="M167" s="5" t="s">
        <v>632</v>
      </c>
      <c r="N167" s="5"/>
      <c r="O167" s="5" t="s">
        <v>261</v>
      </c>
      <c r="P167" s="6" t="s">
        <v>82</v>
      </c>
      <c r="Q167" s="6" t="s">
        <v>191</v>
      </c>
      <c r="R167" s="5"/>
      <c r="S167" s="6" t="s">
        <v>633</v>
      </c>
      <c r="T167" s="5" t="s">
        <v>634</v>
      </c>
      <c r="U167" s="6" t="s">
        <v>86</v>
      </c>
      <c r="V167" s="5" t="n">
        <v>32</v>
      </c>
      <c r="W167" s="5" t="n">
        <v>72.44</v>
      </c>
      <c r="X167" s="5" t="n">
        <v>10.74</v>
      </c>
      <c r="Y167" s="5" t="n">
        <v>33</v>
      </c>
      <c r="Z167" s="5" t="n">
        <v>67.35</v>
      </c>
      <c r="AA167" s="5" t="n">
        <v>8.33</v>
      </c>
      <c r="AB167" s="5" t="s">
        <v>99</v>
      </c>
      <c r="AC167" s="5"/>
      <c r="AD167" s="5" t="n">
        <v>1</v>
      </c>
      <c r="AE167" s="7" t="n">
        <f aca="false">IFERROR(IF(AB167="MSD",IF(COUNT(V167,W167,X167,Y167,Z167,AA167)&lt;6,"",(W167-Z167)/SQRT(((V167-1)*X167^2+(Y167-1)*AA167^2)/(V167+Y167-2))*AD167),IF(AB167="t",AC167*SQRT(1/V167+1/Y167)*AD167,IF(AB167="F",SQRT(AC167)*SQRT(1/V167+1/Y167)*AD167,IF(AB167="z",2*(AC167/SQRT(V167+Y167))/SQRT(1-(AC167/SQRT(V167+Y167))^2)*AD167,IF(AB167="t_paired",AC167/SQRT(V167)*AD167,""))))),"")</f>
        <v>0.530659094390114</v>
      </c>
      <c r="AF167" s="7" t="n">
        <f aca="false">IF(AE167="","",IF(AB167="t_paired",1-3/(4*(V167-1)-1),1-3/(4*(V167+Y167)-9)))</f>
        <v>0.98804780876494</v>
      </c>
      <c r="AG167" s="7" t="n">
        <f aca="false">IF(AE167="","",AE167*AF167)</f>
        <v>0.52431655541334</v>
      </c>
      <c r="AH167" s="7" t="n">
        <f aca="false">IF(AG167="","",IF(AB167="t_paired",1/V167+AG167^2/(2*V167),(V167+Y167)/(V167*Y167)+AG167^2/(2*(V167+Y167))))</f>
        <v>0.0636677060744188</v>
      </c>
      <c r="AI167" s="7" t="n">
        <f aca="false">IF(AH167="","",SQRT(AH167))</f>
        <v>0.252324604575968</v>
      </c>
      <c r="AJ167" s="7" t="n">
        <f aca="false">IF(AI167="","",AG167-1.96*AI167)</f>
        <v>0.0297603304444414</v>
      </c>
      <c r="AK167" s="7" t="n">
        <f aca="false">IF(AI167="","",AG167+1.96*AI167)</f>
        <v>1.01887278038224</v>
      </c>
      <c r="AL167" s="7" t="n">
        <f aca="false">IF(AI167="","",AG167/AI167)</f>
        <v>2.07794462333332</v>
      </c>
      <c r="AM167" s="8" t="n">
        <f aca="false">IF(AL167="","",2*(1-NORMSDIST(ABS(AL167))))</f>
        <v>0.0377144598701873</v>
      </c>
      <c r="AN167" s="9" t="n">
        <f aca="false">IF(COUNT(V167)=0,"",IF(AB167="t_paired",V167,V167+N(Y167)))</f>
        <v>65</v>
      </c>
      <c r="AO167" s="7" t="n">
        <f aca="false">IF(AH167="","",1/AH167)</f>
        <v>15.7065498611044</v>
      </c>
      <c r="AP167" s="5" t="s">
        <v>88</v>
      </c>
      <c r="AQ167" s="5" t="s">
        <v>167</v>
      </c>
      <c r="AR167" s="5"/>
      <c r="AS167" s="7" t="n">
        <f aca="false">IF(AND(AP167="Y",ISNUMBER(AO167)),AO167,0)</f>
        <v>15.7065498611044</v>
      </c>
      <c r="AT167" s="7" t="n">
        <f aca="false">IF(AS167&gt;0,AS167*AG167,0)</f>
        <v>8.23520412060213</v>
      </c>
      <c r="AU167" s="7" t="n">
        <f aca="false">IF(AS167&gt;0,AS167*AG167^2,0)</f>
        <v>4.31785385763985</v>
      </c>
      <c r="AV167" s="9" t="n">
        <f aca="false">IF(AS167&gt;0,AS167^2,0)</f>
        <v>246.695708539359</v>
      </c>
      <c r="AW167" s="7" t="n">
        <f aca="false">IF(AS167&gt;0,AG167,0)</f>
        <v>0.52431655541334</v>
      </c>
      <c r="AX167" s="7" t="n">
        <f aca="false">IF(AS167&gt;0,AH167,1)</f>
        <v>0.0636677060744188</v>
      </c>
    </row>
    <row r="168" customFormat="false" ht="15" hidden="false" customHeight="false" outlineLevel="0" collapsed="false">
      <c r="A168" s="5" t="s">
        <v>636</v>
      </c>
      <c r="B168" s="5" t="s">
        <v>637</v>
      </c>
      <c r="C168" s="5" t="s">
        <v>638</v>
      </c>
      <c r="D168" s="5" t="n">
        <v>2025</v>
      </c>
      <c r="E168" s="5" t="s">
        <v>639</v>
      </c>
      <c r="F168" s="5" t="s">
        <v>173</v>
      </c>
      <c r="G168" s="5" t="s">
        <v>253</v>
      </c>
      <c r="H168" s="5" t="s">
        <v>131</v>
      </c>
      <c r="I168" s="5" t="s">
        <v>188</v>
      </c>
      <c r="J168" s="5" t="s">
        <v>162</v>
      </c>
      <c r="K168" s="5" t="s">
        <v>163</v>
      </c>
      <c r="L168" s="5" t="s">
        <v>164</v>
      </c>
      <c r="M168" s="5"/>
      <c r="N168" s="5"/>
      <c r="O168" s="5" t="s">
        <v>81</v>
      </c>
      <c r="P168" s="11" t="s">
        <v>113</v>
      </c>
      <c r="Q168" s="11" t="s">
        <v>422</v>
      </c>
      <c r="R168" s="5"/>
      <c r="S168" s="11" t="s">
        <v>640</v>
      </c>
      <c r="T168" s="5"/>
      <c r="U168" s="11" t="s">
        <v>86</v>
      </c>
      <c r="V168" s="5" t="n">
        <v>46</v>
      </c>
      <c r="W168" s="5" t="n">
        <v>3.25</v>
      </c>
      <c r="X168" s="5" t="n">
        <v>1.04</v>
      </c>
      <c r="Y168" s="5" t="n">
        <v>46</v>
      </c>
      <c r="Z168" s="5" t="n">
        <v>3.61</v>
      </c>
      <c r="AA168" s="5" t="n">
        <v>0.868</v>
      </c>
      <c r="AB168" s="5" t="s">
        <v>99</v>
      </c>
      <c r="AC168" s="5"/>
      <c r="AD168" s="5" t="n">
        <v>1</v>
      </c>
      <c r="AE168" s="7" t="n">
        <f aca="false">IFERROR(IF(AB168="MSD",IF(COUNT(V168,W168,X168,Y168,Z168,AA168)&lt;6,"",(W168-Z168)/SQRT(((V168-1)*X168^2+(Y168-1)*AA168^2)/(V168+Y168-2))*AD168),IF(AB168="t",AC168*SQRT(1/V168+1/Y168)*AD168,IF(AB168="F",SQRT(AC168)*SQRT(1/V168+1/Y168)*AD168,IF(AB168="z",2*(AC168/SQRT(V168+Y168))/SQRT(1-(AC168/SQRT(V168+Y168))^2)*AD168,IF(AB168="t_paired",AC168/SQRT(V168)*AD168,""))))),"")</f>
        <v>-0.375834482934605</v>
      </c>
      <c r="AF168" s="7" t="n">
        <f aca="false">IF(AE168="","",IF(AB168="t_paired",1-3/(4*(V168-1)-1),1-3/(4*(V168+Y168)-9)))</f>
        <v>0.991643454038997</v>
      </c>
      <c r="AG168" s="7" t="n">
        <f aca="false">IF(AE168="","",AE168*AF168)</f>
        <v>-0.372693804804232</v>
      </c>
      <c r="AH168" s="7" t="n">
        <f aca="false">IF(AG168="","",IF(AB168="t_paired",1/V168+AG168^2/(2*V168),(V168+Y168)/(V168*Y168)+AG168^2/(2*(V168+Y168))))</f>
        <v>0.0442331558268449</v>
      </c>
      <c r="AI168" s="7" t="n">
        <f aca="false">IF(AH168="","",SQRT(AH168))</f>
        <v>0.21031679872717</v>
      </c>
      <c r="AJ168" s="7" t="n">
        <f aca="false">IF(AI168="","",AG168-1.96*AI168)</f>
        <v>-0.784914730309485</v>
      </c>
      <c r="AK168" s="7" t="n">
        <f aca="false">IF(AI168="","",AG168+1.96*AI168)</f>
        <v>0.0395271207010208</v>
      </c>
      <c r="AL168" s="7" t="n">
        <f aca="false">IF(AI168="","",AG168/AI168)</f>
        <v>-1.7720591367868</v>
      </c>
      <c r="AM168" s="8" t="n">
        <f aca="false">IF(AL168="","",2*(1-NORMSDIST(ABS(AL168))))</f>
        <v>0.0763847411869836</v>
      </c>
      <c r="AN168" s="9" t="n">
        <f aca="false">IF(COUNT(V168)=0,"",IF(AB168="t_paired",V168,V168+N(Y168)))</f>
        <v>92</v>
      </c>
      <c r="AO168" s="7" t="n">
        <f aca="false">IF(AH168="","",1/AH168)</f>
        <v>22.6074758019663</v>
      </c>
      <c r="AP168" s="5" t="s">
        <v>88</v>
      </c>
      <c r="AQ168" s="5" t="s">
        <v>441</v>
      </c>
      <c r="AR168" s="5"/>
      <c r="AS168" s="7" t="n">
        <f aca="false">IF(AND(AP168="Y",ISNUMBER(AO168)),AO168,0)</f>
        <v>22.6074758019663</v>
      </c>
      <c r="AT168" s="7" t="n">
        <f aca="false">IF(AS168&gt;0,AS168*AG168,0)</f>
        <v>-8.42566617365443</v>
      </c>
      <c r="AU168" s="7" t="n">
        <f aca="false">IF(AS168&gt;0,AS168*AG168^2,0)</f>
        <v>3.14019358426958</v>
      </c>
      <c r="AV168" s="9" t="n">
        <f aca="false">IF(AS168&gt;0,AS168^2,0)</f>
        <v>511.097962136492</v>
      </c>
      <c r="AW168" s="7" t="n">
        <f aca="false">IF(AS168&gt;0,AG168,0)</f>
        <v>-0.372693804804232</v>
      </c>
      <c r="AX168" s="7" t="n">
        <f aca="false">IF(AS168&gt;0,AH168,1)</f>
        <v>0.0442331558268449</v>
      </c>
    </row>
    <row r="169" customFormat="false" ht="15" hidden="false" customHeight="false" outlineLevel="0" collapsed="false">
      <c r="A169" s="5" t="s">
        <v>641</v>
      </c>
      <c r="B169" s="5" t="s">
        <v>637</v>
      </c>
      <c r="C169" s="5" t="s">
        <v>638</v>
      </c>
      <c r="D169" s="5" t="n">
        <v>2025</v>
      </c>
      <c r="E169" s="5" t="s">
        <v>639</v>
      </c>
      <c r="F169" s="5" t="s">
        <v>173</v>
      </c>
      <c r="G169" s="5" t="s">
        <v>253</v>
      </c>
      <c r="H169" s="5" t="s">
        <v>131</v>
      </c>
      <c r="I169" s="5" t="s">
        <v>188</v>
      </c>
      <c r="J169" s="5" t="s">
        <v>162</v>
      </c>
      <c r="K169" s="5" t="s">
        <v>163</v>
      </c>
      <c r="L169" s="5" t="s">
        <v>164</v>
      </c>
      <c r="M169" s="5"/>
      <c r="N169" s="5"/>
      <c r="O169" s="5" t="s">
        <v>81</v>
      </c>
      <c r="P169" s="11" t="s">
        <v>113</v>
      </c>
      <c r="Q169" s="11" t="s">
        <v>422</v>
      </c>
      <c r="R169" s="5"/>
      <c r="S169" s="11" t="s">
        <v>642</v>
      </c>
      <c r="T169" s="5"/>
      <c r="U169" s="11" t="s">
        <v>86</v>
      </c>
      <c r="V169" s="5" t="n">
        <v>46</v>
      </c>
      <c r="W169" s="5" t="n">
        <v>2.45</v>
      </c>
      <c r="X169" s="5" t="n">
        <v>0.809</v>
      </c>
      <c r="Y169" s="5" t="n">
        <v>46</v>
      </c>
      <c r="Z169" s="5" t="n">
        <v>2.35</v>
      </c>
      <c r="AA169" s="5" t="n">
        <v>0.887</v>
      </c>
      <c r="AB169" s="5" t="s">
        <v>99</v>
      </c>
      <c r="AC169" s="5"/>
      <c r="AD169" s="5" t="n">
        <v>1</v>
      </c>
      <c r="AE169" s="7" t="n">
        <f aca="false">IFERROR(IF(AB169="MSD",IF(COUNT(V169,W169,X169,Y169,Z169,AA169)&lt;6,"",(W169-Z169)/SQRT(((V169-1)*X169^2+(Y169-1)*AA169^2)/(V169+Y169-2))*AD169),IF(AB169="t",AC169*SQRT(1/V169+1/Y169)*AD169,IF(AB169="F",SQRT(AC169)*SQRT(1/V169+1/Y169)*AD169,IF(AB169="z",2*(AC169/SQRT(V169+Y169))/SQRT(1-(AC169/SQRT(V169+Y169))^2)*AD169,IF(AB169="t_paired",AC169/SQRT(V169)*AD169,""))))),"")</f>
        <v>0.117800012810752</v>
      </c>
      <c r="AF169" s="7" t="n">
        <f aca="false">IF(AE169="","",IF(AB169="t_paired",1-3/(4*(V169-1)-1),1-3/(4*(V169+Y169)-9)))</f>
        <v>0.991643454038997</v>
      </c>
      <c r="AG169" s="7" t="n">
        <f aca="false">IF(AE169="","",AE169*AF169)</f>
        <v>0.116815611589492</v>
      </c>
      <c r="AH169" s="7" t="n">
        <f aca="false">IF(AG169="","",IF(AB169="t_paired",1/V169+AG169^2/(2*V169),(V169+Y169)/(V169*Y169)+AG169^2/(2*(V169+Y169))))</f>
        <v>0.0435524232995165</v>
      </c>
      <c r="AI169" s="7" t="n">
        <f aca="false">IF(AH169="","",SQRT(AH169))</f>
        <v>0.20869217354639</v>
      </c>
      <c r="AJ169" s="7" t="n">
        <f aca="false">IF(AI169="","",AG169-1.96*AI169)</f>
        <v>-0.292221048561431</v>
      </c>
      <c r="AK169" s="7" t="n">
        <f aca="false">IF(AI169="","",AG169+1.96*AI169)</f>
        <v>0.525852271740416</v>
      </c>
      <c r="AL169" s="7" t="n">
        <f aca="false">IF(AI169="","",AG169/AI169)</f>
        <v>0.559750802363107</v>
      </c>
      <c r="AM169" s="8" t="n">
        <f aca="false">IF(AL169="","",2*(1-NORMSDIST(ABS(AL169))))</f>
        <v>0.57564942516615</v>
      </c>
      <c r="AN169" s="9" t="n">
        <f aca="false">IF(COUNT(V169)=0,"",IF(AB169="t_paired",V169,V169+N(Y169)))</f>
        <v>92</v>
      </c>
      <c r="AO169" s="7" t="n">
        <f aca="false">IF(AH169="","",1/AH169)</f>
        <v>22.9608348799067</v>
      </c>
      <c r="AP169" s="5" t="s">
        <v>88</v>
      </c>
      <c r="AQ169" s="5" t="s">
        <v>441</v>
      </c>
      <c r="AR169" s="5"/>
      <c r="AS169" s="7" t="n">
        <f aca="false">IF(AND(AP169="Y",ISNUMBER(AO169)),AO169,0)</f>
        <v>22.9608348799067</v>
      </c>
      <c r="AT169" s="7" t="n">
        <f aca="false">IF(AS169&gt;0,AS169*AG169,0)</f>
        <v>2.68218396910165</v>
      </c>
      <c r="AU169" s="7" t="n">
        <f aca="false">IF(AS169&gt;0,AS169*AG169^2,0)</f>
        <v>0.313320960746142</v>
      </c>
      <c r="AV169" s="9" t="n">
        <f aca="false">IF(AS169&gt;0,AS169^2,0)</f>
        <v>527.199938382342</v>
      </c>
      <c r="AW169" s="7" t="n">
        <f aca="false">IF(AS169&gt;0,AG169,0)</f>
        <v>0.116815611589492</v>
      </c>
      <c r="AX169" s="7" t="n">
        <f aca="false">IF(AS169&gt;0,AH169,1)</f>
        <v>0.0435524232995165</v>
      </c>
    </row>
    <row r="170" customFormat="false" ht="15" hidden="false" customHeight="false" outlineLevel="0" collapsed="false">
      <c r="A170" s="5" t="s">
        <v>643</v>
      </c>
      <c r="B170" s="5" t="s">
        <v>637</v>
      </c>
      <c r="C170" s="5" t="s">
        <v>638</v>
      </c>
      <c r="D170" s="5" t="n">
        <v>2025</v>
      </c>
      <c r="E170" s="5" t="s">
        <v>639</v>
      </c>
      <c r="F170" s="5" t="s">
        <v>173</v>
      </c>
      <c r="G170" s="5" t="s">
        <v>253</v>
      </c>
      <c r="H170" s="5" t="s">
        <v>131</v>
      </c>
      <c r="I170" s="5" t="s">
        <v>188</v>
      </c>
      <c r="J170" s="5" t="s">
        <v>162</v>
      </c>
      <c r="K170" s="5" t="s">
        <v>163</v>
      </c>
      <c r="L170" s="5" t="s">
        <v>164</v>
      </c>
      <c r="M170" s="5"/>
      <c r="N170" s="5"/>
      <c r="O170" s="5" t="s">
        <v>81</v>
      </c>
      <c r="P170" s="11" t="s">
        <v>113</v>
      </c>
      <c r="Q170" s="11" t="s">
        <v>425</v>
      </c>
      <c r="R170" s="5"/>
      <c r="S170" s="11" t="s">
        <v>440</v>
      </c>
      <c r="T170" s="5"/>
      <c r="U170" s="11" t="s">
        <v>86</v>
      </c>
      <c r="V170" s="5" t="n">
        <v>46</v>
      </c>
      <c r="W170" s="5" t="n">
        <v>0.018</v>
      </c>
      <c r="X170" s="5" t="n">
        <v>0.044</v>
      </c>
      <c r="Y170" s="5" t="n">
        <v>46</v>
      </c>
      <c r="Z170" s="5" t="n">
        <v>0.03</v>
      </c>
      <c r="AA170" s="5" t="n">
        <v>0.043</v>
      </c>
      <c r="AB170" s="5" t="s">
        <v>99</v>
      </c>
      <c r="AC170" s="5"/>
      <c r="AD170" s="5" t="n">
        <v>1</v>
      </c>
      <c r="AE170" s="7" t="n">
        <f aca="false">IFERROR(IF(AB170="MSD",IF(COUNT(V170,W170,X170,Y170,Z170,AA170)&lt;6,"",(W170-Z170)/SQRT(((V170-1)*X170^2+(Y170-1)*AA170^2)/(V170+Y170-2))*AD170),IF(AB170="t",AC170*SQRT(1/V170+1/Y170)*AD170,IF(AB170="F",SQRT(AC170)*SQRT(1/V170+1/Y170)*AD170,IF(AB170="z",2*(AC170/SQRT(V170+Y170))/SQRT(1-(AC170/SQRT(V170+Y170))^2)*AD170,IF(AB170="t_paired",AC170/SQRT(V170)*AD170,""))))),"")</f>
        <v>-0.275843847619418</v>
      </c>
      <c r="AF170" s="7" t="n">
        <f aca="false">IF(AE170="","",IF(AB170="t_paired",1-3/(4*(V170-1)-1),1-3/(4*(V170+Y170)-9)))</f>
        <v>0.991643454038997</v>
      </c>
      <c r="AG170" s="7" t="n">
        <f aca="false">IF(AE170="","",AE170*AF170)</f>
        <v>-0.273538745828727</v>
      </c>
      <c r="AH170" s="7" t="n">
        <f aca="false">IF(AG170="","",IF(AB170="t_paired",1/V170+AG170^2/(2*V170),(V170+Y170)/(V170*Y170)+AG170^2/(2*(V170+Y170))))</f>
        <v>0.0438849100297258</v>
      </c>
      <c r="AI170" s="7" t="n">
        <f aca="false">IF(AH170="","",SQRT(AH170))</f>
        <v>0.209487255053203</v>
      </c>
      <c r="AJ170" s="7" t="n">
        <f aca="false">IF(AI170="","",AG170-1.96*AI170)</f>
        <v>-0.684133765733005</v>
      </c>
      <c r="AK170" s="7" t="n">
        <f aca="false">IF(AI170="","",AG170+1.96*AI170)</f>
        <v>0.137056274075552</v>
      </c>
      <c r="AL170" s="7" t="n">
        <f aca="false">IF(AI170="","",AG170/AI170)</f>
        <v>-1.30575364004486</v>
      </c>
      <c r="AM170" s="8" t="n">
        <f aca="false">IF(AL170="","",2*(1-NORMSDIST(ABS(AL170))))</f>
        <v>0.191636350214911</v>
      </c>
      <c r="AN170" s="9" t="n">
        <f aca="false">IF(COUNT(V170)=0,"",IF(AB170="t_paired",V170,V170+N(Y170)))</f>
        <v>92</v>
      </c>
      <c r="AO170" s="7" t="n">
        <f aca="false">IF(AH170="","",1/AH170)</f>
        <v>22.7868759289387</v>
      </c>
      <c r="AP170" s="5" t="s">
        <v>88</v>
      </c>
      <c r="AQ170" s="5" t="s">
        <v>441</v>
      </c>
      <c r="AR170" s="5"/>
      <c r="AS170" s="7" t="n">
        <f aca="false">IF(AND(AP170="Y",ISNUMBER(AO170)),AO170,0)</f>
        <v>22.7868759289387</v>
      </c>
      <c r="AT170" s="7" t="n">
        <f aca="false">IF(AS170&gt;0,AS170*AG170,0)</f>
        <v>-6.23309346295669</v>
      </c>
      <c r="AU170" s="7" t="n">
        <f aca="false">IF(AS170&gt;0,AS170*AG170^2,0)</f>
        <v>1.70499256849041</v>
      </c>
      <c r="AV170" s="9" t="n">
        <f aca="false">IF(AS170&gt;0,AS170^2,0)</f>
        <v>519.241714600846</v>
      </c>
      <c r="AW170" s="7" t="n">
        <f aca="false">IF(AS170&gt;0,AG170,0)</f>
        <v>-0.273538745828727</v>
      </c>
      <c r="AX170" s="7" t="n">
        <f aca="false">IF(AS170&gt;0,AH170,1)</f>
        <v>0.0438849100297258</v>
      </c>
    </row>
    <row r="171" customFormat="false" ht="15" hidden="false" customHeight="false" outlineLevel="0" collapsed="false">
      <c r="A171" s="5" t="s">
        <v>644</v>
      </c>
      <c r="B171" s="5" t="s">
        <v>637</v>
      </c>
      <c r="C171" s="5" t="s">
        <v>638</v>
      </c>
      <c r="D171" s="5" t="n">
        <v>2025</v>
      </c>
      <c r="E171" s="5" t="s">
        <v>639</v>
      </c>
      <c r="F171" s="5" t="s">
        <v>173</v>
      </c>
      <c r="G171" s="5" t="s">
        <v>253</v>
      </c>
      <c r="H171" s="5" t="s">
        <v>131</v>
      </c>
      <c r="I171" s="5" t="s">
        <v>188</v>
      </c>
      <c r="J171" s="5" t="s">
        <v>162</v>
      </c>
      <c r="K171" s="5" t="s">
        <v>163</v>
      </c>
      <c r="L171" s="5" t="s">
        <v>164</v>
      </c>
      <c r="M171" s="5"/>
      <c r="N171" s="5"/>
      <c r="O171" s="5" t="s">
        <v>81</v>
      </c>
      <c r="P171" s="11" t="s">
        <v>113</v>
      </c>
      <c r="Q171" s="11" t="s">
        <v>425</v>
      </c>
      <c r="R171" s="5"/>
      <c r="S171" s="11" t="s">
        <v>443</v>
      </c>
      <c r="T171" s="5"/>
      <c r="U171" s="11" t="s">
        <v>86</v>
      </c>
      <c r="V171" s="5" t="n">
        <v>46</v>
      </c>
      <c r="W171" s="5" t="n">
        <v>0.054</v>
      </c>
      <c r="X171" s="5" t="n">
        <v>0.091</v>
      </c>
      <c r="Y171" s="5" t="n">
        <v>46</v>
      </c>
      <c r="Z171" s="5" t="n">
        <v>0.062</v>
      </c>
      <c r="AA171" s="5" t="n">
        <v>0.07</v>
      </c>
      <c r="AB171" s="5" t="s">
        <v>99</v>
      </c>
      <c r="AC171" s="5"/>
      <c r="AD171" s="5" t="n">
        <v>1</v>
      </c>
      <c r="AE171" s="7" t="n">
        <f aca="false">IFERROR(IF(AB171="MSD",IF(COUNT(V171,W171,X171,Y171,Z171,AA171)&lt;6,"",(W171-Z171)/SQRT(((V171-1)*X171^2+(Y171-1)*AA171^2)/(V171+Y171-2))*AD171),IF(AB171="t",AC171*SQRT(1/V171+1/Y171)*AD171,IF(AB171="F",SQRT(AC171)*SQRT(1/V171+1/Y171)*AD171,IF(AB171="z",2*(AC171/SQRT(V171+Y171))/SQRT(1-(AC171/SQRT(V171+Y171))^2)*AD171,IF(AB171="t_paired",AC171/SQRT(V171)*AD171,""))))),"")</f>
        <v>-0.098544140242109</v>
      </c>
      <c r="AF171" s="7" t="n">
        <f aca="false">IF(AE171="","",IF(AB171="t_paired",1-3/(4*(V171-1)-1),1-3/(4*(V171+Y171)-9)))</f>
        <v>0.991643454038997</v>
      </c>
      <c r="AG171" s="7" t="n">
        <f aca="false">IF(AE171="","",AE171*AF171)</f>
        <v>-0.0977206516049883</v>
      </c>
      <c r="AH171" s="7" t="n">
        <f aca="false">IF(AG171="","",IF(AB171="t_paired",1/V171+AG171^2/(2*V171),(V171+Y171)/(V171*Y171)+AG171^2/(2*(V171+Y171))))</f>
        <v>0.0435301593790767</v>
      </c>
      <c r="AI171" s="7" t="n">
        <f aca="false">IF(AH171="","",SQRT(AH171))</f>
        <v>0.208638825195783</v>
      </c>
      <c r="AJ171" s="7" t="n">
        <f aca="false">IF(AI171="","",AG171-1.96*AI171)</f>
        <v>-0.506652748988724</v>
      </c>
      <c r="AK171" s="7" t="n">
        <f aca="false">IF(AI171="","",AG171+1.96*AI171)</f>
        <v>0.311211445778747</v>
      </c>
      <c r="AL171" s="7" t="n">
        <f aca="false">IF(AI171="","",AG171/AI171)</f>
        <v>-0.468372324821561</v>
      </c>
      <c r="AM171" s="8" t="n">
        <f aca="false">IF(AL171="","",2*(1-NORMSDIST(ABS(AL171))))</f>
        <v>0.639518355565808</v>
      </c>
      <c r="AN171" s="9" t="n">
        <f aca="false">IF(COUNT(V171)=0,"",IF(AB171="t_paired",V171,V171+N(Y171)))</f>
        <v>92</v>
      </c>
      <c r="AO171" s="7" t="n">
        <f aca="false">IF(AH171="","",1/AH171)</f>
        <v>22.9725784206677</v>
      </c>
      <c r="AP171" s="5" t="s">
        <v>88</v>
      </c>
      <c r="AQ171" s="5" t="s">
        <v>441</v>
      </c>
      <c r="AR171" s="5"/>
      <c r="AS171" s="7" t="n">
        <f aca="false">IF(AND(AP171="Y",ISNUMBER(AO171)),AO171,0)</f>
        <v>22.9725784206677</v>
      </c>
      <c r="AT171" s="7" t="n">
        <f aca="false">IF(AS171&gt;0,AS171*AG171,0)</f>
        <v>-2.24489533231434</v>
      </c>
      <c r="AU171" s="7" t="n">
        <f aca="false">IF(AS171&gt;0,AS171*AG171^2,0)</f>
        <v>0.219372634658754</v>
      </c>
      <c r="AV171" s="9" t="n">
        <f aca="false">IF(AS171&gt;0,AS171^2,0)</f>
        <v>527.739359293725</v>
      </c>
      <c r="AW171" s="7" t="n">
        <f aca="false">IF(AS171&gt;0,AG171,0)</f>
        <v>-0.0977206516049883</v>
      </c>
      <c r="AX171" s="7" t="n">
        <f aca="false">IF(AS171&gt;0,AH171,1)</f>
        <v>0.0435301593790767</v>
      </c>
    </row>
    <row r="172" customFormat="false" ht="15" hidden="false" customHeight="false" outlineLevel="0" collapsed="false">
      <c r="A172" s="5" t="s">
        <v>645</v>
      </c>
      <c r="B172" s="5" t="s">
        <v>637</v>
      </c>
      <c r="C172" s="5" t="s">
        <v>638</v>
      </c>
      <c r="D172" s="5" t="n">
        <v>2025</v>
      </c>
      <c r="E172" s="5" t="s">
        <v>639</v>
      </c>
      <c r="F172" s="5" t="s">
        <v>173</v>
      </c>
      <c r="G172" s="5" t="s">
        <v>253</v>
      </c>
      <c r="H172" s="5" t="s">
        <v>131</v>
      </c>
      <c r="I172" s="5" t="s">
        <v>188</v>
      </c>
      <c r="J172" s="5" t="s">
        <v>162</v>
      </c>
      <c r="K172" s="5" t="s">
        <v>163</v>
      </c>
      <c r="L172" s="5" t="s">
        <v>164</v>
      </c>
      <c r="M172" s="5"/>
      <c r="N172" s="5"/>
      <c r="O172" s="5" t="s">
        <v>81</v>
      </c>
      <c r="P172" s="11" t="s">
        <v>113</v>
      </c>
      <c r="Q172" s="11" t="s">
        <v>425</v>
      </c>
      <c r="R172" s="5"/>
      <c r="S172" s="11" t="s">
        <v>443</v>
      </c>
      <c r="T172" s="5"/>
      <c r="U172" s="11" t="s">
        <v>86</v>
      </c>
      <c r="V172" s="5" t="n">
        <v>46</v>
      </c>
      <c r="W172" s="5" t="n">
        <v>0.373</v>
      </c>
      <c r="X172" s="5" t="n">
        <v>0.356</v>
      </c>
      <c r="Y172" s="5" t="n">
        <v>46</v>
      </c>
      <c r="Z172" s="5" t="n">
        <v>0.272</v>
      </c>
      <c r="AA172" s="5" t="n">
        <v>0.287</v>
      </c>
      <c r="AB172" s="5" t="s">
        <v>99</v>
      </c>
      <c r="AC172" s="5"/>
      <c r="AD172" s="5" t="n">
        <v>1</v>
      </c>
      <c r="AE172" s="7" t="n">
        <f aca="false">IFERROR(IF(AB172="MSD",IF(COUNT(V172,W172,X172,Y172,Z172,AA172)&lt;6,"",(W172-Z172)/SQRT(((V172-1)*X172^2+(Y172-1)*AA172^2)/(V172+Y172-2))*AD172),IF(AB172="t",AC172*SQRT(1/V172+1/Y172)*AD172,IF(AB172="F",SQRT(AC172)*SQRT(1/V172+1/Y172)*AD172,IF(AB172="z",2*(AC172/SQRT(V172+Y172))/SQRT(1-(AC172/SQRT(V172+Y172))^2)*AD172,IF(AB172="t_paired",AC172/SQRT(V172)*AD172,""))))),"")</f>
        <v>0.312359100011411</v>
      </c>
      <c r="AF172" s="7" t="n">
        <f aca="false">IF(AE172="","",IF(AB172="t_paired",1-3/(4*(V172-1)-1),1-3/(4*(V172+Y172)-9)))</f>
        <v>0.991643454038997</v>
      </c>
      <c r="AG172" s="7" t="n">
        <f aca="false">IF(AE172="","",AE172*AF172)</f>
        <v>0.309748856835828</v>
      </c>
      <c r="AH172" s="7" t="n">
        <f aca="false">IF(AG172="","",IF(AB172="t_paired",1/V172+AG172^2/(2*V172),(V172+Y172)/(V172*Y172)+AG172^2/(2*(V172+Y172))))</f>
        <v>0.0439996975777777</v>
      </c>
      <c r="AI172" s="7" t="n">
        <f aca="false">IF(AH172="","",SQRT(AH172))</f>
        <v>0.209761048762104</v>
      </c>
      <c r="AJ172" s="7" t="n">
        <f aca="false">IF(AI172="","",AG172-1.96*AI172)</f>
        <v>-0.101382798737895</v>
      </c>
      <c r="AK172" s="7" t="n">
        <f aca="false">IF(AI172="","",AG172+1.96*AI172)</f>
        <v>0.720880512409552</v>
      </c>
      <c r="AL172" s="7" t="n">
        <f aca="false">IF(AI172="","",AG172/AI172)</f>
        <v>1.47667481004599</v>
      </c>
      <c r="AM172" s="8" t="n">
        <f aca="false">IF(AL172="","",2*(1-NORMSDIST(ABS(AL172))))</f>
        <v>0.13976282763739</v>
      </c>
      <c r="AN172" s="9" t="n">
        <f aca="false">IF(COUNT(V172)=0,"",IF(AB172="t_paired",V172,V172+N(Y172)))</f>
        <v>92</v>
      </c>
      <c r="AO172" s="7" t="n">
        <f aca="false">IF(AH172="","",1/AH172)</f>
        <v>22.727428938172</v>
      </c>
      <c r="AP172" s="5" t="s">
        <v>88</v>
      </c>
      <c r="AQ172" s="5" t="s">
        <v>441</v>
      </c>
      <c r="AR172" s="5"/>
      <c r="AS172" s="7" t="n">
        <f aca="false">IF(AND(AP172="Y",ISNUMBER(AO172)),AO172,0)</f>
        <v>22.727428938172</v>
      </c>
      <c r="AT172" s="7" t="n">
        <f aca="false">IF(AS172&gt;0,AS172*AG172,0)</f>
        <v>7.03979513241629</v>
      </c>
      <c r="AU172" s="7" t="n">
        <f aca="false">IF(AS172&gt;0,AS172*AG172^2,0)</f>
        <v>2.18056849462437</v>
      </c>
      <c r="AV172" s="9" t="n">
        <f aca="false">IF(AS172&gt;0,AS172^2,0)</f>
        <v>516.536026139656</v>
      </c>
      <c r="AW172" s="7" t="n">
        <f aca="false">IF(AS172&gt;0,AG172,0)</f>
        <v>0.309748856835828</v>
      </c>
      <c r="AX172" s="7" t="n">
        <f aca="false">IF(AS172&gt;0,AH172,1)</f>
        <v>0.0439996975777777</v>
      </c>
    </row>
    <row r="173" customFormat="false" ht="15" hidden="false" customHeight="false" outlineLevel="0" collapsed="false">
      <c r="A173" s="5" t="s">
        <v>646</v>
      </c>
      <c r="B173" s="5" t="s">
        <v>637</v>
      </c>
      <c r="C173" s="5" t="s">
        <v>638</v>
      </c>
      <c r="D173" s="5" t="n">
        <v>2025</v>
      </c>
      <c r="E173" s="5" t="s">
        <v>639</v>
      </c>
      <c r="F173" s="5" t="s">
        <v>173</v>
      </c>
      <c r="G173" s="5" t="s">
        <v>253</v>
      </c>
      <c r="H173" s="5" t="s">
        <v>131</v>
      </c>
      <c r="I173" s="5" t="s">
        <v>188</v>
      </c>
      <c r="J173" s="5" t="s">
        <v>162</v>
      </c>
      <c r="K173" s="5" t="s">
        <v>163</v>
      </c>
      <c r="L173" s="5" t="s">
        <v>164</v>
      </c>
      <c r="M173" s="5"/>
      <c r="N173" s="5"/>
      <c r="O173" s="5" t="s">
        <v>81</v>
      </c>
      <c r="P173" s="11" t="s">
        <v>113</v>
      </c>
      <c r="Q173" s="11" t="s">
        <v>425</v>
      </c>
      <c r="R173" s="5"/>
      <c r="S173" s="11" t="s">
        <v>443</v>
      </c>
      <c r="T173" s="5"/>
      <c r="U173" s="11" t="s">
        <v>86</v>
      </c>
      <c r="V173" s="5" t="n">
        <v>46</v>
      </c>
      <c r="W173" s="5" t="n">
        <v>1.82</v>
      </c>
      <c r="X173" s="5" t="n">
        <v>0.903</v>
      </c>
      <c r="Y173" s="5" t="n">
        <v>46</v>
      </c>
      <c r="Z173" s="5" t="n">
        <v>1.86</v>
      </c>
      <c r="AA173" s="5" t="n">
        <v>0.71</v>
      </c>
      <c r="AB173" s="5" t="s">
        <v>99</v>
      </c>
      <c r="AC173" s="5"/>
      <c r="AD173" s="5" t="n">
        <v>1</v>
      </c>
      <c r="AE173" s="7" t="n">
        <f aca="false">IFERROR(IF(AB173="MSD",IF(COUNT(V173,W173,X173,Y173,Z173,AA173)&lt;6,"",(W173-Z173)/SQRT(((V173-1)*X173^2+(Y173-1)*AA173^2)/(V173+Y173-2))*AD173),IF(AB173="t",AC173*SQRT(1/V173+1/Y173)*AD173,IF(AB173="F",SQRT(AC173)*SQRT(1/V173+1/Y173)*AD173,IF(AB173="z",2*(AC173/SQRT(V173+Y173))/SQRT(1-(AC173/SQRT(V173+Y173))^2)*AD173,IF(AB173="t_paired",AC173/SQRT(V173)*AD173,""))))),"")</f>
        <v>-0.0492457562081128</v>
      </c>
      <c r="AF173" s="7" t="n">
        <f aca="false">IF(AE173="","",IF(AB173="t_paired",1-3/(4*(V173-1)-1),1-3/(4*(V173+Y173)-9)))</f>
        <v>0.991643454038997</v>
      </c>
      <c r="AG173" s="7" t="n">
        <f aca="false">IF(AE173="","",AE173*AF173)</f>
        <v>-0.0488342317829754</v>
      </c>
      <c r="AH173" s="7" t="n">
        <f aca="false">IF(AG173="","",IF(AB173="t_paired",1/V173+AG173^2/(2*V173),(V173+Y173)/(V173*Y173)+AG173^2/(2*(V173+Y173))))</f>
        <v>0.0434912216423578</v>
      </c>
      <c r="AI173" s="7" t="n">
        <f aca="false">IF(AH173="","",SQRT(AH173))</f>
        <v>0.208545490582649</v>
      </c>
      <c r="AJ173" s="7" t="n">
        <f aca="false">IF(AI173="","",AG173-1.96*AI173)</f>
        <v>-0.457583393324968</v>
      </c>
      <c r="AK173" s="7" t="n">
        <f aca="false">IF(AI173="","",AG173+1.96*AI173)</f>
        <v>0.359914929759017</v>
      </c>
      <c r="AL173" s="7" t="n">
        <f aca="false">IF(AI173="","",AG173/AI173)</f>
        <v>-0.234165848643089</v>
      </c>
      <c r="AM173" s="8" t="n">
        <f aca="false">IF(AL173="","",2*(1-NORMSDIST(ABS(AL173))))</f>
        <v>0.814856226824238</v>
      </c>
      <c r="AN173" s="9" t="n">
        <f aca="false">IF(COUNT(V173)=0,"",IF(AB173="t_paired",V173,V173+N(Y173)))</f>
        <v>92</v>
      </c>
      <c r="AO173" s="7" t="n">
        <f aca="false">IF(AH173="","",1/AH173)</f>
        <v>22.9931457944162</v>
      </c>
      <c r="AP173" s="5" t="s">
        <v>88</v>
      </c>
      <c r="AQ173" s="5" t="s">
        <v>441</v>
      </c>
      <c r="AR173" s="5"/>
      <c r="AS173" s="7" t="n">
        <f aca="false">IF(AND(AP173="Y",ISNUMBER(AO173)),AO173,0)</f>
        <v>22.9931457944162</v>
      </c>
      <c r="AT173" s="7" t="n">
        <f aca="false">IF(AS173&gt;0,AS173*AG173,0)</f>
        <v>-1.12285261114426</v>
      </c>
      <c r="AU173" s="7" t="n">
        <f aca="false">IF(AS173&gt;0,AS173*AG173^2,0)</f>
        <v>0.0548336446707381</v>
      </c>
      <c r="AV173" s="9" t="n">
        <f aca="false">IF(AS173&gt;0,AS173^2,0)</f>
        <v>528.684753523277</v>
      </c>
      <c r="AW173" s="7" t="n">
        <f aca="false">IF(AS173&gt;0,AG173,0)</f>
        <v>-0.0488342317829754</v>
      </c>
      <c r="AX173" s="7" t="n">
        <f aca="false">IF(AS173&gt;0,AH173,1)</f>
        <v>0.0434912216423578</v>
      </c>
    </row>
    <row r="174" customFormat="false" ht="15" hidden="false" customHeight="false" outlineLevel="0" collapsed="false">
      <c r="A174" s="5" t="s">
        <v>647</v>
      </c>
      <c r="B174" s="5" t="s">
        <v>637</v>
      </c>
      <c r="C174" s="5" t="s">
        <v>638</v>
      </c>
      <c r="D174" s="5" t="n">
        <v>2025</v>
      </c>
      <c r="E174" s="5" t="s">
        <v>639</v>
      </c>
      <c r="F174" s="5" t="s">
        <v>173</v>
      </c>
      <c r="G174" s="5" t="s">
        <v>253</v>
      </c>
      <c r="H174" s="5" t="s">
        <v>131</v>
      </c>
      <c r="I174" s="5" t="s">
        <v>188</v>
      </c>
      <c r="J174" s="5" t="s">
        <v>162</v>
      </c>
      <c r="K174" s="5" t="s">
        <v>163</v>
      </c>
      <c r="L174" s="5" t="s">
        <v>164</v>
      </c>
      <c r="M174" s="5"/>
      <c r="N174" s="5"/>
      <c r="O174" s="5" t="s">
        <v>81</v>
      </c>
      <c r="P174" s="11" t="s">
        <v>113</v>
      </c>
      <c r="Q174" s="11" t="s">
        <v>425</v>
      </c>
      <c r="R174" s="5"/>
      <c r="S174" s="11" t="s">
        <v>648</v>
      </c>
      <c r="T174" s="5"/>
      <c r="U174" s="11" t="s">
        <v>86</v>
      </c>
      <c r="V174" s="5" t="n">
        <v>46</v>
      </c>
      <c r="W174" s="5" t="n">
        <v>3.71</v>
      </c>
      <c r="X174" s="5" t="n">
        <v>0.674</v>
      </c>
      <c r="Y174" s="5" t="n">
        <v>46</v>
      </c>
      <c r="Z174" s="5" t="n">
        <v>3.49</v>
      </c>
      <c r="AA174" s="5" t="n">
        <v>0.752</v>
      </c>
      <c r="AB174" s="5" t="s">
        <v>99</v>
      </c>
      <c r="AC174" s="5"/>
      <c r="AD174" s="5" t="n">
        <v>1</v>
      </c>
      <c r="AE174" s="7" t="n">
        <f aca="false">IFERROR(IF(AB174="MSD",IF(COUNT(V174,W174,X174,Y174,Z174,AA174)&lt;6,"",(W174-Z174)/SQRT(((V174-1)*X174^2+(Y174-1)*AA174^2)/(V174+Y174-2))*AD174),IF(AB174="t",AC174*SQRT(1/V174+1/Y174)*AD174,IF(AB174="F",SQRT(AC174)*SQRT(1/V174+1/Y174)*AD174,IF(AB174="z",2*(AC174/SQRT(V174+Y174))/SQRT(1-(AC174/SQRT(V174+Y174))^2)*AD174,IF(AB174="t_paired",AC174/SQRT(V174)*AD174,""))))),"")</f>
        <v>0.308094846192734</v>
      </c>
      <c r="AF174" s="7" t="n">
        <f aca="false">IF(AE174="","",IF(AB174="t_paired",1-3/(4*(V174-1)-1),1-3/(4*(V174+Y174)-9)))</f>
        <v>0.991643454038997</v>
      </c>
      <c r="AG174" s="7" t="n">
        <f aca="false">IF(AE174="","",AE174*AF174)</f>
        <v>0.305520237450176</v>
      </c>
      <c r="AH174" s="7" t="n">
        <f aca="false">IF(AG174="","",IF(AB174="t_paired",1/V174+AG174^2/(2*V174),(V174+Y174)/(V174*Y174)+AG174^2/(2*(V174+Y174))))</f>
        <v>0.0439855576928892</v>
      </c>
      <c r="AI174" s="7" t="n">
        <f aca="false">IF(AH174="","",SQRT(AH174))</f>
        <v>0.209727341309828</v>
      </c>
      <c r="AJ174" s="7" t="n">
        <f aca="false">IF(AI174="","",AG174-1.96*AI174)</f>
        <v>-0.105545351517087</v>
      </c>
      <c r="AK174" s="7" t="n">
        <f aca="false">IF(AI174="","",AG174+1.96*AI174)</f>
        <v>0.71658582641744</v>
      </c>
      <c r="AL174" s="7" t="n">
        <f aca="false">IF(AI174="","",AG174/AI174)</f>
        <v>1.4567496805237</v>
      </c>
      <c r="AM174" s="8" t="n">
        <f aca="false">IF(AL174="","",2*(1-NORMSDIST(ABS(AL174))))</f>
        <v>0.145185490569477</v>
      </c>
      <c r="AN174" s="9" t="n">
        <f aca="false">IF(COUNT(V174)=0,"",IF(AB174="t_paired",V174,V174+N(Y174)))</f>
        <v>92</v>
      </c>
      <c r="AO174" s="7" t="n">
        <f aca="false">IF(AH174="","",1/AH174)</f>
        <v>22.7347350460368</v>
      </c>
      <c r="AP174" s="5" t="s">
        <v>88</v>
      </c>
      <c r="AQ174" s="5" t="s">
        <v>441</v>
      </c>
      <c r="AR174" s="5"/>
      <c r="AS174" s="7" t="n">
        <f aca="false">IF(AND(AP174="Y",ISNUMBER(AO174)),AO174,0)</f>
        <v>22.7347350460368</v>
      </c>
      <c r="AT174" s="7" t="n">
        <f aca="false">IF(AS174&gt;0,AS174*AG174,0)</f>
        <v>6.945921649632</v>
      </c>
      <c r="AU174" s="7" t="n">
        <f aca="false">IF(AS174&gt;0,AS174*AG174^2,0)</f>
        <v>2.12211963170589</v>
      </c>
      <c r="AV174" s="9" t="n">
        <f aca="false">IF(AS174&gt;0,AS174^2,0)</f>
        <v>516.868177613492</v>
      </c>
      <c r="AW174" s="7" t="n">
        <f aca="false">IF(AS174&gt;0,AG174,0)</f>
        <v>0.305520237450176</v>
      </c>
      <c r="AX174" s="7" t="n">
        <f aca="false">IF(AS174&gt;0,AH174,1)</f>
        <v>0.0439855576928892</v>
      </c>
    </row>
    <row r="175" customFormat="false" ht="15" hidden="false" customHeight="false" outlineLevel="0" collapsed="false">
      <c r="A175" s="5" t="s">
        <v>649</v>
      </c>
      <c r="B175" s="5" t="s">
        <v>650</v>
      </c>
      <c r="C175" s="5" t="s">
        <v>651</v>
      </c>
      <c r="D175" s="5" t="n">
        <v>2022</v>
      </c>
      <c r="E175" s="5" t="s">
        <v>652</v>
      </c>
      <c r="F175" s="5" t="s">
        <v>222</v>
      </c>
      <c r="G175" s="5" t="s">
        <v>395</v>
      </c>
      <c r="H175" s="5" t="s">
        <v>74</v>
      </c>
      <c r="I175" s="5" t="s">
        <v>207</v>
      </c>
      <c r="J175" s="5" t="s">
        <v>76</v>
      </c>
      <c r="K175" s="5" t="s">
        <v>163</v>
      </c>
      <c r="L175" s="5" t="s">
        <v>164</v>
      </c>
      <c r="M175" s="5"/>
      <c r="N175" s="5"/>
      <c r="O175" s="5" t="s">
        <v>81</v>
      </c>
      <c r="P175" s="6" t="s">
        <v>82</v>
      </c>
      <c r="Q175" s="6" t="s">
        <v>103</v>
      </c>
      <c r="R175" s="5"/>
      <c r="S175" s="6" t="s">
        <v>653</v>
      </c>
      <c r="T175" s="5" t="s">
        <v>654</v>
      </c>
      <c r="U175" s="6" t="s">
        <v>86</v>
      </c>
      <c r="V175" s="5" t="n">
        <v>18</v>
      </c>
      <c r="W175" s="5" t="n">
        <v>0.778</v>
      </c>
      <c r="X175" s="5" t="n">
        <v>1</v>
      </c>
      <c r="Y175" s="5" t="n">
        <v>17</v>
      </c>
      <c r="Z175" s="5" t="n">
        <v>0.529</v>
      </c>
      <c r="AA175" s="5" t="n">
        <v>0.943</v>
      </c>
      <c r="AB175" s="5" t="s">
        <v>99</v>
      </c>
      <c r="AC175" s="5"/>
      <c r="AD175" s="5" t="n">
        <v>1</v>
      </c>
      <c r="AE175" s="7" t="n">
        <f aca="false">IFERROR(IF(AB175="MSD",IF(COUNT(V175,W175,X175,Y175,Z175,AA175)&lt;6,"",(W175-Z175)/SQRT(((V175-1)*X175^2+(Y175-1)*AA175^2)/(V175+Y175-2))*AD175),IF(AB175="t",AC175*SQRT(1/V175+1/Y175)*AD175,IF(AB175="F",SQRT(AC175)*SQRT(1/V175+1/Y175)*AD175,IF(AB175="z",2*(AC175/SQRT(V175+Y175))/SQRT(1-(AC175/SQRT(V175+Y175))^2)*AD175,IF(AB175="t_paired",AC175/SQRT(V175)*AD175,""))))),"")</f>
        <v>0.255967214840592</v>
      </c>
      <c r="AF175" s="7" t="n">
        <f aca="false">IF(AE175="","",IF(AB175="t_paired",1-3/(4*(V175-1)-1),1-3/(4*(V175+Y175)-9)))</f>
        <v>0.977099236641221</v>
      </c>
      <c r="AG175" s="7" t="n">
        <f aca="false">IF(AE175="","",AE175*AF175)</f>
        <v>0.250105370225922</v>
      </c>
      <c r="AH175" s="7" t="n">
        <f aca="false">IF(AG175="","",IF(AB175="t_paired",1/V175+AG175^2/(2*V175),(V175+Y175)/(V175*Y175)+AG175^2/(2*(V175+Y175))))</f>
        <v>0.115272694913261</v>
      </c>
      <c r="AI175" s="7" t="n">
        <f aca="false">IF(AH175="","",SQRT(AH175))</f>
        <v>0.339518327801698</v>
      </c>
      <c r="AJ175" s="7" t="n">
        <f aca="false">IF(AI175="","",AG175-1.96*AI175)</f>
        <v>-0.415350552265405</v>
      </c>
      <c r="AK175" s="7" t="n">
        <f aca="false">IF(AI175="","",AG175+1.96*AI175)</f>
        <v>0.915561292717249</v>
      </c>
      <c r="AL175" s="7" t="n">
        <f aca="false">IF(AI175="","",AG175/AI175)</f>
        <v>0.736647626198256</v>
      </c>
      <c r="AM175" s="8" t="n">
        <f aca="false">IF(AL175="","",2*(1-NORMSDIST(ABS(AL175))))</f>
        <v>0.461336664287049</v>
      </c>
      <c r="AN175" s="9" t="n">
        <f aca="false">IF(COUNT(V175)=0,"",IF(AB175="t_paired",V175,V175+N(Y175)))</f>
        <v>35</v>
      </c>
      <c r="AO175" s="7" t="n">
        <f aca="false">IF(AH175="","",1/AH175)</f>
        <v>8.67508129963014</v>
      </c>
      <c r="AP175" s="5" t="s">
        <v>88</v>
      </c>
      <c r="AQ175" s="5" t="s">
        <v>167</v>
      </c>
      <c r="AR175" s="5"/>
      <c r="AS175" s="7" t="n">
        <f aca="false">IF(AND(AP175="Y",ISNUMBER(AO175)),AO175,0)</f>
        <v>8.67508129963014</v>
      </c>
      <c r="AT175" s="7" t="n">
        <f aca="false">IF(AS175&gt;0,AS175*AG175,0)</f>
        <v>2.16968442018397</v>
      </c>
      <c r="AU175" s="7" t="n">
        <f aca="false">IF(AS175&gt;0,AS175*AG175^2,0)</f>
        <v>0.542649725183526</v>
      </c>
      <c r="AV175" s="9" t="n">
        <f aca="false">IF(AS175&gt;0,AS175^2,0)</f>
        <v>75.2570355551926</v>
      </c>
      <c r="AW175" s="7" t="n">
        <f aca="false">IF(AS175&gt;0,AG175,0)</f>
        <v>0.250105370225922</v>
      </c>
      <c r="AX175" s="7" t="n">
        <f aca="false">IF(AS175&gt;0,AH175,1)</f>
        <v>0.115272694913261</v>
      </c>
    </row>
    <row r="176" customFormat="false" ht="15" hidden="false" customHeight="false" outlineLevel="0" collapsed="false">
      <c r="A176" s="5" t="s">
        <v>655</v>
      </c>
      <c r="B176" s="5" t="s">
        <v>650</v>
      </c>
      <c r="C176" s="5" t="s">
        <v>651</v>
      </c>
      <c r="D176" s="5" t="n">
        <v>2022</v>
      </c>
      <c r="E176" s="5" t="s">
        <v>652</v>
      </c>
      <c r="F176" s="5" t="s">
        <v>222</v>
      </c>
      <c r="G176" s="5" t="s">
        <v>395</v>
      </c>
      <c r="H176" s="5" t="s">
        <v>74</v>
      </c>
      <c r="I176" s="5" t="s">
        <v>207</v>
      </c>
      <c r="J176" s="5" t="s">
        <v>76</v>
      </c>
      <c r="K176" s="5" t="s">
        <v>163</v>
      </c>
      <c r="L176" s="5" t="s">
        <v>164</v>
      </c>
      <c r="M176" s="5"/>
      <c r="N176" s="5"/>
      <c r="O176" s="5" t="s">
        <v>81</v>
      </c>
      <c r="P176" s="6" t="s">
        <v>82</v>
      </c>
      <c r="Q176" s="6" t="s">
        <v>103</v>
      </c>
      <c r="R176" s="5"/>
      <c r="S176" s="6" t="s">
        <v>656</v>
      </c>
      <c r="T176" s="5" t="s">
        <v>654</v>
      </c>
      <c r="U176" s="6" t="s">
        <v>86</v>
      </c>
      <c r="V176" s="5" t="n">
        <v>18</v>
      </c>
      <c r="W176" s="5" t="n">
        <v>0.667</v>
      </c>
      <c r="X176" s="5" t="n">
        <v>0.907</v>
      </c>
      <c r="Y176" s="5" t="n">
        <v>17</v>
      </c>
      <c r="Z176" s="5" t="n">
        <v>0.824</v>
      </c>
      <c r="AA176" s="5" t="n">
        <v>1.07</v>
      </c>
      <c r="AB176" s="5" t="s">
        <v>99</v>
      </c>
      <c r="AC176" s="5"/>
      <c r="AD176" s="5" t="n">
        <v>1</v>
      </c>
      <c r="AE176" s="7" t="n">
        <f aca="false">IFERROR(IF(AB176="MSD",IF(COUNT(V176,W176,X176,Y176,Z176,AA176)&lt;6,"",(W176-Z176)/SQRT(((V176-1)*X176^2+(Y176-1)*AA176^2)/(V176+Y176-2))*AD176),IF(AB176="t",AC176*SQRT(1/V176+1/Y176)*AD176,IF(AB176="F",SQRT(AC176)*SQRT(1/V176+1/Y176)*AD176,IF(AB176="z",2*(AC176/SQRT(V176+Y176))/SQRT(1-(AC176/SQRT(V176+Y176))^2)*AD176,IF(AB176="t_paired",AC176/SQRT(V176)*AD176,""))))),"")</f>
        <v>-0.158683687088499</v>
      </c>
      <c r="AF176" s="7" t="n">
        <f aca="false">IF(AE176="","",IF(AB176="t_paired",1-3/(4*(V176-1)-1),1-3/(4*(V176+Y176)-9)))</f>
        <v>0.977099236641221</v>
      </c>
      <c r="AG176" s="7" t="n">
        <f aca="false">IF(AE176="","",AE176*AF176)</f>
        <v>-0.155049709521587</v>
      </c>
      <c r="AH176" s="7" t="n">
        <f aca="false">IF(AG176="","",IF(AB176="t_paired",1/V176+AG176^2/(2*V176),(V176+Y176)/(V176*Y176)+AG176^2/(2*(V176+Y176))))</f>
        <v>0.114722519430502</v>
      </c>
      <c r="AI176" s="7" t="n">
        <f aca="false">IF(AH176="","",SQRT(AH176))</f>
        <v>0.338707129287977</v>
      </c>
      <c r="AJ176" s="7" t="n">
        <f aca="false">IF(AI176="","",AG176-1.96*AI176)</f>
        <v>-0.818915682926021</v>
      </c>
      <c r="AK176" s="7" t="n">
        <f aca="false">IF(AI176="","",AG176+1.96*AI176)</f>
        <v>0.508816263882847</v>
      </c>
      <c r="AL176" s="7" t="n">
        <f aca="false">IF(AI176="","",AG176/AI176)</f>
        <v>-0.457769252886791</v>
      </c>
      <c r="AM176" s="8" t="n">
        <f aca="false">IF(AL176="","",2*(1-NORMSDIST(ABS(AL176))))</f>
        <v>0.647118227938064</v>
      </c>
      <c r="AN176" s="9" t="n">
        <f aca="false">IF(COUNT(V176)=0,"",IF(AB176="t_paired",V176,V176+N(Y176)))</f>
        <v>35</v>
      </c>
      <c r="AO176" s="7" t="n">
        <f aca="false">IF(AH176="","",1/AH176)</f>
        <v>8.71668443967351</v>
      </c>
      <c r="AP176" s="5" t="s">
        <v>88</v>
      </c>
      <c r="AQ176" s="5" t="s">
        <v>167</v>
      </c>
      <c r="AR176" s="5"/>
      <c r="AS176" s="7" t="n">
        <f aca="false">IF(AND(AP176="Y",ISNUMBER(AO176)),AO176,0)</f>
        <v>8.71668443967351</v>
      </c>
      <c r="AT176" s="7" t="n">
        <f aca="false">IF(AS176&gt;0,AS176*AG176,0)</f>
        <v>-1.35151939036271</v>
      </c>
      <c r="AU176" s="7" t="n">
        <f aca="false">IF(AS176&gt;0,AS176*AG176^2,0)</f>
        <v>0.209552688888531</v>
      </c>
      <c r="AV176" s="9" t="n">
        <f aca="false">IF(AS176&gt;0,AS176^2,0)</f>
        <v>75.9805876208464</v>
      </c>
      <c r="AW176" s="7" t="n">
        <f aca="false">IF(AS176&gt;0,AG176,0)</f>
        <v>-0.155049709521587</v>
      </c>
      <c r="AX176" s="7" t="n">
        <f aca="false">IF(AS176&gt;0,AH176,1)</f>
        <v>0.114722519430502</v>
      </c>
    </row>
    <row r="177" customFormat="false" ht="15" hidden="false" customHeight="false" outlineLevel="0" collapsed="false">
      <c r="A177" s="5" t="s">
        <v>657</v>
      </c>
      <c r="B177" s="5" t="s">
        <v>650</v>
      </c>
      <c r="C177" s="5" t="s">
        <v>651</v>
      </c>
      <c r="D177" s="5" t="n">
        <v>2022</v>
      </c>
      <c r="E177" s="5" t="s">
        <v>652</v>
      </c>
      <c r="F177" s="5" t="s">
        <v>222</v>
      </c>
      <c r="G177" s="5" t="s">
        <v>395</v>
      </c>
      <c r="H177" s="5" t="s">
        <v>74</v>
      </c>
      <c r="I177" s="5" t="s">
        <v>207</v>
      </c>
      <c r="J177" s="5" t="s">
        <v>76</v>
      </c>
      <c r="K177" s="5" t="s">
        <v>163</v>
      </c>
      <c r="L177" s="5" t="s">
        <v>164</v>
      </c>
      <c r="M177" s="5"/>
      <c r="N177" s="5"/>
      <c r="O177" s="5" t="s">
        <v>81</v>
      </c>
      <c r="P177" s="10" t="s">
        <v>113</v>
      </c>
      <c r="Q177" s="10" t="s">
        <v>114</v>
      </c>
      <c r="R177" s="5" t="s">
        <v>115</v>
      </c>
      <c r="S177" s="10" t="s">
        <v>658</v>
      </c>
      <c r="T177" s="5" t="s">
        <v>654</v>
      </c>
      <c r="U177" s="10" t="s">
        <v>98</v>
      </c>
      <c r="V177" s="5" t="n">
        <v>18</v>
      </c>
      <c r="W177" s="5" t="n">
        <v>3.61</v>
      </c>
      <c r="X177" s="5" t="n">
        <v>1.61</v>
      </c>
      <c r="Y177" s="5" t="n">
        <v>17</v>
      </c>
      <c r="Z177" s="5" t="n">
        <v>3.41</v>
      </c>
      <c r="AA177" s="5" t="n">
        <v>1.7</v>
      </c>
      <c r="AB177" s="5" t="s">
        <v>99</v>
      </c>
      <c r="AC177" s="5"/>
      <c r="AD177" s="5" t="n">
        <v>1</v>
      </c>
      <c r="AE177" s="7" t="n">
        <f aca="false">IFERROR(IF(AB177="MSD",IF(COUNT(V177,W177,X177,Y177,Z177,AA177)&lt;6,"",(W177-Z177)/SQRT(((V177-1)*X177^2+(Y177-1)*AA177^2)/(V177+Y177-2))*AD177),IF(AB177="t",AC177*SQRT(1/V177+1/Y177)*AD177,IF(AB177="F",SQRT(AC177)*SQRT(1/V177+1/Y177)*AD177,IF(AB177="z",2*(AC177/SQRT(V177+Y177))/SQRT(1-(AC177/SQRT(V177+Y177))^2)*AD177,IF(AB177="t_paired",AC177/SQRT(V177)*AD177,""))))),"")</f>
        <v>0.120900858270133</v>
      </c>
      <c r="AF177" s="7" t="n">
        <f aca="false">IF(AE177="","",IF(AB177="t_paired",1-3/(4*(V177-1)-1),1-3/(4*(V177+Y177)-9)))</f>
        <v>0.977099236641221</v>
      </c>
      <c r="AG177" s="7" t="n">
        <f aca="false">IF(AE177="","",AE177*AF177)</f>
        <v>0.118132136325016</v>
      </c>
      <c r="AH177" s="7" t="n">
        <f aca="false">IF(AG177="","",IF(AB177="t_paired",1/V177+AG177^2/(2*V177),(V177+Y177)/(V177*Y177)+AG177^2/(2*(V177+Y177))))</f>
        <v>0.114578444990645</v>
      </c>
      <c r="AI177" s="7" t="n">
        <f aca="false">IF(AH177="","",SQRT(AH177))</f>
        <v>0.338494379555473</v>
      </c>
      <c r="AJ177" s="7" t="n">
        <f aca="false">IF(AI177="","",AG177-1.96*AI177)</f>
        <v>-0.545316847603712</v>
      </c>
      <c r="AK177" s="7" t="n">
        <f aca="false">IF(AI177="","",AG177+1.96*AI177)</f>
        <v>0.781581120253743</v>
      </c>
      <c r="AL177" s="7" t="n">
        <f aca="false">IF(AI177="","",AG177/AI177)</f>
        <v>0.348992903457223</v>
      </c>
      <c r="AM177" s="8" t="n">
        <f aca="false">IF(AL177="","",2*(1-NORMSDIST(ABS(AL177))))</f>
        <v>0.727094637253572</v>
      </c>
      <c r="AN177" s="9" t="n">
        <f aca="false">IF(COUNT(V177)=0,"",IF(AB177="t_paired",V177,V177+N(Y177)))</f>
        <v>35</v>
      </c>
      <c r="AO177" s="7" t="n">
        <f aca="false">IF(AH177="","",1/AH177)</f>
        <v>8.72764506519223</v>
      </c>
      <c r="AP177" s="5" t="s">
        <v>100</v>
      </c>
      <c r="AQ177" s="5" t="s">
        <v>227</v>
      </c>
      <c r="AR177" s="5"/>
      <c r="AS177" s="9" t="n">
        <f aca="false">IF(AND(AP177="Y",ISNUMBER(AO177)),AO177,0)</f>
        <v>0</v>
      </c>
      <c r="AT177" s="7" t="n">
        <f aca="false">IF(AS177&gt;0,AS177*AG177,0)</f>
        <v>0</v>
      </c>
      <c r="AU177" s="7" t="n">
        <f aca="false">IF(AS177&gt;0,AS177*AG177^2,0)</f>
        <v>0</v>
      </c>
      <c r="AV177" s="9" t="n">
        <f aca="false">IF(AS177&gt;0,AS177^2,0)</f>
        <v>0</v>
      </c>
      <c r="AW177" s="7" t="n">
        <f aca="false">IF(AS177&gt;0,AG177,0)</f>
        <v>0</v>
      </c>
      <c r="AX177" s="7" t="n">
        <f aca="false">IF(AS177&gt;0,AH177,1)</f>
        <v>1</v>
      </c>
    </row>
    <row r="178" customFormat="false" ht="15" hidden="false" customHeight="false" outlineLevel="0" collapsed="false">
      <c r="A178" s="5" t="s">
        <v>659</v>
      </c>
      <c r="B178" s="5" t="s">
        <v>660</v>
      </c>
      <c r="C178" s="5" t="s">
        <v>661</v>
      </c>
      <c r="D178" s="5" t="n">
        <v>2025</v>
      </c>
      <c r="E178" s="5" t="s">
        <v>158</v>
      </c>
      <c r="F178" s="5" t="s">
        <v>199</v>
      </c>
      <c r="G178" s="5" t="s">
        <v>160</v>
      </c>
      <c r="H178" s="5" t="s">
        <v>162</v>
      </c>
      <c r="I178" s="5"/>
      <c r="J178" s="5" t="s">
        <v>162</v>
      </c>
      <c r="K178" s="5" t="s">
        <v>163</v>
      </c>
      <c r="L178" s="5" t="s">
        <v>164</v>
      </c>
      <c r="M178" s="5"/>
      <c r="N178" s="5"/>
      <c r="O178" s="5" t="s">
        <v>162</v>
      </c>
      <c r="P178" s="10" t="s">
        <v>82</v>
      </c>
      <c r="Q178" s="10" t="s">
        <v>83</v>
      </c>
      <c r="R178" s="5"/>
      <c r="S178" s="10" t="s">
        <v>662</v>
      </c>
      <c r="T178" s="5"/>
      <c r="U178" s="10" t="s">
        <v>98</v>
      </c>
      <c r="V178" s="5" t="n">
        <v>20</v>
      </c>
      <c r="W178" s="5" t="n">
        <v>2.8</v>
      </c>
      <c r="X178" s="5" t="n">
        <v>1.79</v>
      </c>
      <c r="Y178" s="5" t="n">
        <v>21</v>
      </c>
      <c r="Z178" s="5" t="n">
        <v>3.05</v>
      </c>
      <c r="AA178" s="5" t="n">
        <v>1.86</v>
      </c>
      <c r="AB178" s="5" t="s">
        <v>99</v>
      </c>
      <c r="AC178" s="5"/>
      <c r="AD178" s="5" t="n">
        <v>1</v>
      </c>
      <c r="AE178" s="7" t="n">
        <f aca="false">IFERROR(IF(AB178="MSD",IF(COUNT(V178,W178,X178,Y178,Z178,AA178)&lt;6,"",(W178-Z178)/SQRT(((V178-1)*X178^2+(Y178-1)*AA178^2)/(V178+Y178-2))*AD178),IF(AB178="t",AC178*SQRT(1/V178+1/Y178)*AD178,IF(AB178="F",SQRT(AC178)*SQRT(1/V178+1/Y178)*AD178,IF(AB178="z",2*(AC178/SQRT(V178+Y178))/SQRT(1-(AC178/SQRT(V178+Y178))^2)*AD178,IF(AB178="t_paired",AC178/SQRT(V178)*AD178,""))))),"")</f>
        <v>-0.136893840939564</v>
      </c>
      <c r="AF178" s="7" t="n">
        <f aca="false">IF(AE178="","",IF(AB178="t_paired",1-3/(4*(V178-1)-1),1-3/(4*(V178+Y178)-9)))</f>
        <v>0.980645161290323</v>
      </c>
      <c r="AG178" s="7" t="n">
        <f aca="false">IF(AE178="","",AE178*AF178)</f>
        <v>-0.134244282727831</v>
      </c>
      <c r="AH178" s="7" t="n">
        <f aca="false">IF(AG178="","",IF(AB178="t_paired",1/V178+AG178^2/(2*V178),(V178+Y178)/(V178*Y178)+AG178^2/(2*(V178+Y178))))</f>
        <v>0.097838822343988</v>
      </c>
      <c r="AI178" s="7" t="n">
        <f aca="false">IF(AH178="","",SQRT(AH178))</f>
        <v>0.312791979347278</v>
      </c>
      <c r="AJ178" s="7" t="n">
        <f aca="false">IF(AI178="","",AG178-1.96*AI178)</f>
        <v>-0.747316562248495</v>
      </c>
      <c r="AK178" s="7" t="n">
        <f aca="false">IF(AI178="","",AG178+1.96*AI178)</f>
        <v>0.478827996792834</v>
      </c>
      <c r="AL178" s="7" t="n">
        <f aca="false">IF(AI178="","",AG178/AI178)</f>
        <v>-0.429180706640772</v>
      </c>
      <c r="AM178" s="8" t="n">
        <f aca="false">IF(AL178="","",2*(1-NORMSDIST(ABS(AL178))))</f>
        <v>0.667791722391519</v>
      </c>
      <c r="AN178" s="9" t="n">
        <f aca="false">IF(COUNT(V178)=0,"",IF(AB178="t_paired",V178,V178+N(Y178)))</f>
        <v>41</v>
      </c>
      <c r="AO178" s="7" t="n">
        <f aca="false">IF(AH178="","",1/AH178)</f>
        <v>10.2208916260678</v>
      </c>
      <c r="AP178" s="5" t="s">
        <v>100</v>
      </c>
      <c r="AQ178" s="5" t="s">
        <v>210</v>
      </c>
      <c r="AR178" s="5"/>
      <c r="AS178" s="9" t="n">
        <f aca="false">IF(AND(AP178="Y",ISNUMBER(AO178)),AO178,0)</f>
        <v>0</v>
      </c>
      <c r="AT178" s="7" t="n">
        <f aca="false">IF(AS178&gt;0,AS178*AG178,0)</f>
        <v>0</v>
      </c>
      <c r="AU178" s="7" t="n">
        <f aca="false">IF(AS178&gt;0,AS178*AG178^2,0)</f>
        <v>0</v>
      </c>
      <c r="AV178" s="9" t="n">
        <f aca="false">IF(AS178&gt;0,AS178^2,0)</f>
        <v>0</v>
      </c>
      <c r="AW178" s="7" t="n">
        <f aca="false">IF(AS178&gt;0,AG178,0)</f>
        <v>0</v>
      </c>
      <c r="AX178" s="7" t="n">
        <f aca="false">IF(AS178&gt;0,AH178,1)</f>
        <v>1</v>
      </c>
    </row>
    <row r="179" customFormat="false" ht="15" hidden="false" customHeight="false" outlineLevel="0" collapsed="false">
      <c r="A179" s="5" t="s">
        <v>663</v>
      </c>
      <c r="B179" s="5" t="s">
        <v>660</v>
      </c>
      <c r="C179" s="5" t="s">
        <v>661</v>
      </c>
      <c r="D179" s="5" t="n">
        <v>2025</v>
      </c>
      <c r="E179" s="5" t="s">
        <v>158</v>
      </c>
      <c r="F179" s="5" t="s">
        <v>199</v>
      </c>
      <c r="G179" s="5" t="s">
        <v>160</v>
      </c>
      <c r="H179" s="5" t="s">
        <v>162</v>
      </c>
      <c r="I179" s="5"/>
      <c r="J179" s="5" t="s">
        <v>162</v>
      </c>
      <c r="K179" s="5" t="s">
        <v>163</v>
      </c>
      <c r="L179" s="5" t="s">
        <v>164</v>
      </c>
      <c r="M179" s="5"/>
      <c r="N179" s="5"/>
      <c r="O179" s="5" t="s">
        <v>162</v>
      </c>
      <c r="P179" s="6" t="s">
        <v>82</v>
      </c>
      <c r="Q179" s="6" t="s">
        <v>83</v>
      </c>
      <c r="R179" s="5"/>
      <c r="S179" s="6" t="s">
        <v>662</v>
      </c>
      <c r="T179" s="5"/>
      <c r="U179" s="6" t="s">
        <v>86</v>
      </c>
      <c r="V179" s="5" t="n">
        <v>20</v>
      </c>
      <c r="W179" s="5" t="n">
        <v>5</v>
      </c>
      <c r="X179" s="5" t="n">
        <v>1.7</v>
      </c>
      <c r="Y179" s="5" t="n">
        <v>21</v>
      </c>
      <c r="Z179" s="5" t="n">
        <v>3.95</v>
      </c>
      <c r="AA179" s="5" t="n">
        <v>1.94</v>
      </c>
      <c r="AB179" s="5" t="s">
        <v>99</v>
      </c>
      <c r="AC179" s="5"/>
      <c r="AD179" s="5" t="n">
        <v>1</v>
      </c>
      <c r="AE179" s="7" t="n">
        <f aca="false">IFERROR(IF(AB179="MSD",IF(COUNT(V179,W179,X179,Y179,Z179,AA179)&lt;6,"",(W179-Z179)/SQRT(((V179-1)*X179^2+(Y179-1)*AA179^2)/(V179+Y179-2))*AD179),IF(AB179="t",AC179*SQRT(1/V179+1/Y179)*AD179,IF(AB179="F",SQRT(AC179)*SQRT(1/V179+1/Y179)*AD179,IF(AB179="z",2*(AC179/SQRT(V179+Y179))/SQRT(1-(AC179/SQRT(V179+Y179))^2)*AD179,IF(AB179="t_paired",AC179/SQRT(V179)*AD179,""))))),"")</f>
        <v>0.574706531512989</v>
      </c>
      <c r="AF179" s="7" t="n">
        <f aca="false">IF(AE179="","",IF(AB179="t_paired",1-3/(4*(V179-1)-1),1-3/(4*(V179+Y179)-9)))</f>
        <v>0.980645161290323</v>
      </c>
      <c r="AG179" s="7" t="n">
        <f aca="false">IF(AE179="","",AE179*AF179)</f>
        <v>0.563583179290157</v>
      </c>
      <c r="AH179" s="7" t="n">
        <f aca="false">IF(AG179="","",IF(AB179="t_paired",1/V179+AG179^2/(2*V179),(V179+Y179)/(V179*Y179)+AG179^2/(2*(V179+Y179))))</f>
        <v>0.101492535423667</v>
      </c>
      <c r="AI179" s="7" t="n">
        <f aca="false">IF(AH179="","",SQRT(AH179))</f>
        <v>0.318578931230028</v>
      </c>
      <c r="AJ179" s="7" t="n">
        <f aca="false">IF(AI179="","",AG179-1.96*AI179)</f>
        <v>-0.0608315259206983</v>
      </c>
      <c r="AK179" s="7" t="n">
        <f aca="false">IF(AI179="","",AG179+1.96*AI179)</f>
        <v>1.18799788450101</v>
      </c>
      <c r="AL179" s="7" t="n">
        <f aca="false">IF(AI179="","",AG179/AI179)</f>
        <v>1.76905351874391</v>
      </c>
      <c r="AM179" s="8" t="n">
        <f aca="false">IF(AL179="","",2*(1-NORMSDIST(ABS(AL179))))</f>
        <v>0.0768849437254675</v>
      </c>
      <c r="AN179" s="9" t="n">
        <f aca="false">IF(COUNT(V179)=0,"",IF(AB179="t_paired",V179,V179+N(Y179)))</f>
        <v>41</v>
      </c>
      <c r="AO179" s="7" t="n">
        <f aca="false">IF(AH179="","",1/AH179)</f>
        <v>9.8529413599299</v>
      </c>
      <c r="AP179" s="5" t="s">
        <v>88</v>
      </c>
      <c r="AQ179" s="5" t="s">
        <v>210</v>
      </c>
      <c r="AR179" s="5"/>
      <c r="AS179" s="7" t="n">
        <f aca="false">IF(AND(AP179="Y",ISNUMBER(AO179)),AO179,0)</f>
        <v>9.8529413599299</v>
      </c>
      <c r="AT179" s="7" t="n">
        <f aca="false">IF(AS179&gt;0,AS179*AG179,0)</f>
        <v>5.55295201698878</v>
      </c>
      <c r="AU179" s="7" t="n">
        <f aca="false">IF(AS179&gt;0,AS179*AG179^2,0)</f>
        <v>3.12955035218023</v>
      </c>
      <c r="AV179" s="9" t="n">
        <f aca="false">IF(AS179&gt;0,AS179^2,0)</f>
        <v>97.0804534422172</v>
      </c>
      <c r="AW179" s="7" t="n">
        <f aca="false">IF(AS179&gt;0,AG179,0)</f>
        <v>0.563583179290157</v>
      </c>
      <c r="AX179" s="7" t="n">
        <f aca="false">IF(AS179&gt;0,AH179,1)</f>
        <v>0.101492535423667</v>
      </c>
    </row>
    <row r="180" customFormat="false" ht="15" hidden="false" customHeight="false" outlineLevel="0" collapsed="false">
      <c r="A180" s="5" t="s">
        <v>664</v>
      </c>
      <c r="B180" s="5" t="s">
        <v>660</v>
      </c>
      <c r="C180" s="5" t="s">
        <v>661</v>
      </c>
      <c r="D180" s="5" t="n">
        <v>2025</v>
      </c>
      <c r="E180" s="5" t="s">
        <v>158</v>
      </c>
      <c r="F180" s="5" t="s">
        <v>199</v>
      </c>
      <c r="G180" s="5" t="s">
        <v>160</v>
      </c>
      <c r="H180" s="5" t="s">
        <v>162</v>
      </c>
      <c r="I180" s="5"/>
      <c r="J180" s="5" t="s">
        <v>162</v>
      </c>
      <c r="K180" s="5" t="s">
        <v>163</v>
      </c>
      <c r="L180" s="5" t="s">
        <v>164</v>
      </c>
      <c r="M180" s="5"/>
      <c r="N180" s="5"/>
      <c r="O180" s="5" t="s">
        <v>162</v>
      </c>
      <c r="P180" s="10" t="s">
        <v>82</v>
      </c>
      <c r="Q180" s="10" t="s">
        <v>83</v>
      </c>
      <c r="R180" s="5"/>
      <c r="S180" s="10" t="s">
        <v>665</v>
      </c>
      <c r="T180" s="5"/>
      <c r="U180" s="10" t="s">
        <v>98</v>
      </c>
      <c r="V180" s="5" t="n">
        <v>20</v>
      </c>
      <c r="W180" s="5" t="n">
        <v>2.9</v>
      </c>
      <c r="X180" s="5" t="n">
        <v>1.77</v>
      </c>
      <c r="Y180" s="5" t="n">
        <v>21</v>
      </c>
      <c r="Z180" s="5" t="n">
        <v>3</v>
      </c>
      <c r="AA180" s="5" t="n">
        <v>1.79</v>
      </c>
      <c r="AB180" s="5" t="s">
        <v>99</v>
      </c>
      <c r="AC180" s="5"/>
      <c r="AD180" s="5" t="n">
        <v>1</v>
      </c>
      <c r="AE180" s="7" t="n">
        <f aca="false">IFERROR(IF(AB180="MSD",IF(COUNT(V180,W180,X180,Y180,Z180,AA180)&lt;6,"",(W180-Z180)/SQRT(((V180-1)*X180^2+(Y180-1)*AA180^2)/(V180+Y180-2))*AD180),IF(AB180="t",AC180*SQRT(1/V180+1/Y180)*AD180,IF(AB180="F",SQRT(AC180)*SQRT(1/V180+1/Y180)*AD180,IF(AB180="z",2*(AC180/SQRT(V180+Y180))/SQRT(1-(AC180/SQRT(V180+Y180))^2)*AD180,IF(AB180="t_paired",AC180/SQRT(V180)*AD180,""))))),"")</f>
        <v>-0.0561707981329987</v>
      </c>
      <c r="AF180" s="7" t="n">
        <f aca="false">IF(AE180="","",IF(AB180="t_paired",1-3/(4*(V180-1)-1),1-3/(4*(V180+Y180)-9)))</f>
        <v>0.980645161290323</v>
      </c>
      <c r="AG180" s="7" t="n">
        <f aca="false">IF(AE180="","",AE180*AF180)</f>
        <v>-0.0550836213949407</v>
      </c>
      <c r="AH180" s="7" t="n">
        <f aca="false">IF(AG180="","",IF(AB180="t_paired",1/V180+AG180^2/(2*V180),(V180+Y180)/(V180*Y180)+AG180^2/(2*(V180+Y180))))</f>
        <v>0.0976560501232669</v>
      </c>
      <c r="AI180" s="7" t="n">
        <f aca="false">IF(AH180="","",SQRT(AH180))</f>
        <v>0.312499680197063</v>
      </c>
      <c r="AJ180" s="7" t="n">
        <f aca="false">IF(AI180="","",AG180-1.96*AI180)</f>
        <v>-0.667582994581185</v>
      </c>
      <c r="AK180" s="7" t="n">
        <f aca="false">IF(AI180="","",AG180+1.96*AI180)</f>
        <v>0.557415751791304</v>
      </c>
      <c r="AL180" s="7" t="n">
        <f aca="false">IF(AI180="","",AG180/AI180)</f>
        <v>-0.17626776885085</v>
      </c>
      <c r="AM180" s="8" t="n">
        <f aca="false">IF(AL180="","",2*(1-NORMSDIST(ABS(AL180))))</f>
        <v>0.860083582271118</v>
      </c>
      <c r="AN180" s="9" t="n">
        <f aca="false">IF(COUNT(V180)=0,"",IF(AB180="t_paired",V180,V180+N(Y180)))</f>
        <v>41</v>
      </c>
      <c r="AO180" s="7" t="n">
        <f aca="false">IF(AH180="","",1/AH180)</f>
        <v>10.2400209586374</v>
      </c>
      <c r="AP180" s="5" t="s">
        <v>100</v>
      </c>
      <c r="AQ180" s="5" t="s">
        <v>210</v>
      </c>
      <c r="AR180" s="5"/>
      <c r="AS180" s="9" t="n">
        <f aca="false">IF(AND(AP180="Y",ISNUMBER(AO180)),AO180,0)</f>
        <v>0</v>
      </c>
      <c r="AT180" s="7" t="n">
        <f aca="false">IF(AS180&gt;0,AS180*AG180,0)</f>
        <v>0</v>
      </c>
      <c r="AU180" s="7" t="n">
        <f aca="false">IF(AS180&gt;0,AS180*AG180^2,0)</f>
        <v>0</v>
      </c>
      <c r="AV180" s="9" t="n">
        <f aca="false">IF(AS180&gt;0,AS180^2,0)</f>
        <v>0</v>
      </c>
      <c r="AW180" s="7" t="n">
        <f aca="false">IF(AS180&gt;0,AG180,0)</f>
        <v>0</v>
      </c>
      <c r="AX180" s="7" t="n">
        <f aca="false">IF(AS180&gt;0,AH180,1)</f>
        <v>1</v>
      </c>
    </row>
    <row r="181" customFormat="false" ht="15" hidden="false" customHeight="false" outlineLevel="0" collapsed="false">
      <c r="A181" s="5" t="s">
        <v>666</v>
      </c>
      <c r="B181" s="5" t="s">
        <v>660</v>
      </c>
      <c r="C181" s="5" t="s">
        <v>661</v>
      </c>
      <c r="D181" s="5" t="n">
        <v>2025</v>
      </c>
      <c r="E181" s="5" t="s">
        <v>158</v>
      </c>
      <c r="F181" s="5" t="s">
        <v>199</v>
      </c>
      <c r="G181" s="5" t="s">
        <v>160</v>
      </c>
      <c r="H181" s="5" t="s">
        <v>162</v>
      </c>
      <c r="I181" s="5"/>
      <c r="J181" s="5" t="s">
        <v>162</v>
      </c>
      <c r="K181" s="5" t="s">
        <v>163</v>
      </c>
      <c r="L181" s="5" t="s">
        <v>164</v>
      </c>
      <c r="M181" s="5"/>
      <c r="N181" s="5"/>
      <c r="O181" s="5" t="s">
        <v>162</v>
      </c>
      <c r="P181" s="6" t="s">
        <v>82</v>
      </c>
      <c r="Q181" s="6" t="s">
        <v>83</v>
      </c>
      <c r="R181" s="5"/>
      <c r="S181" s="6" t="s">
        <v>665</v>
      </c>
      <c r="T181" s="5"/>
      <c r="U181" s="6" t="s">
        <v>86</v>
      </c>
      <c r="V181" s="5" t="n">
        <v>20</v>
      </c>
      <c r="W181" s="5" t="n">
        <v>4.65</v>
      </c>
      <c r="X181" s="5" t="n">
        <v>2.06</v>
      </c>
      <c r="Y181" s="5" t="n">
        <v>21</v>
      </c>
      <c r="Z181" s="5" t="n">
        <v>3.95</v>
      </c>
      <c r="AA181" s="5" t="n">
        <v>1.65</v>
      </c>
      <c r="AB181" s="5" t="s">
        <v>99</v>
      </c>
      <c r="AC181" s="5"/>
      <c r="AD181" s="5" t="n">
        <v>1</v>
      </c>
      <c r="AE181" s="7" t="n">
        <f aca="false">IFERROR(IF(AB181="MSD",IF(COUNT(V181,W181,X181,Y181,Z181,AA181)&lt;6,"",(W181-Z181)/SQRT(((V181-1)*X181^2+(Y181-1)*AA181^2)/(V181+Y181-2))*AD181),IF(AB181="t",AC181*SQRT(1/V181+1/Y181)*AD181,IF(AB181="F",SQRT(AC181)*SQRT(1/V181+1/Y181)*AD181,IF(AB181="z",2*(AC181/SQRT(V181+Y181))/SQRT(1-(AC181/SQRT(V181+Y181))^2)*AD181,IF(AB181="t_paired",AC181/SQRT(V181)*AD181,""))))),"")</f>
        <v>0.376129493912212</v>
      </c>
      <c r="AF181" s="7" t="n">
        <f aca="false">IF(AE181="","",IF(AB181="t_paired",1-3/(4*(V181-1)-1),1-3/(4*(V181+Y181)-9)))</f>
        <v>0.980645161290323</v>
      </c>
      <c r="AG181" s="7" t="n">
        <f aca="false">IF(AE181="","",AE181*AF181)</f>
        <v>0.368849568223589</v>
      </c>
      <c r="AH181" s="7" t="n">
        <f aca="false">IF(AG181="","",IF(AB181="t_paired",1/V181+AG181^2/(2*V181),(V181+Y181)/(V181*Y181)+AG181^2/(2*(V181+Y181))))</f>
        <v>0.0992781940090321</v>
      </c>
      <c r="AI181" s="7" t="n">
        <f aca="false">IF(AH181="","",SQRT(AH181))</f>
        <v>0.315084423621721</v>
      </c>
      <c r="AJ181" s="7" t="n">
        <f aca="false">IF(AI181="","",AG181-1.96*AI181)</f>
        <v>-0.248715902074984</v>
      </c>
      <c r="AK181" s="7" t="n">
        <f aca="false">IF(AI181="","",AG181+1.96*AI181)</f>
        <v>0.986415038522162</v>
      </c>
      <c r="AL181" s="7" t="n">
        <f aca="false">IF(AI181="","",AG181/AI181)</f>
        <v>1.1706372659869</v>
      </c>
      <c r="AM181" s="8" t="n">
        <f aca="false">IF(AL181="","",2*(1-NORMSDIST(ABS(AL181))))</f>
        <v>0.241744611347719</v>
      </c>
      <c r="AN181" s="9" t="n">
        <f aca="false">IF(COUNT(V181)=0,"",IF(AB181="t_paired",V181,V181+N(Y181)))</f>
        <v>41</v>
      </c>
      <c r="AO181" s="7" t="n">
        <f aca="false">IF(AH181="","",1/AH181)</f>
        <v>10.0727053909645</v>
      </c>
      <c r="AP181" s="5" t="s">
        <v>88</v>
      </c>
      <c r="AQ181" s="5" t="s">
        <v>210</v>
      </c>
      <c r="AR181" s="5"/>
      <c r="AS181" s="7" t="n">
        <f aca="false">IF(AND(AP181="Y",ISNUMBER(AO181)),AO181,0)</f>
        <v>10.0727053909645</v>
      </c>
      <c r="AT181" s="7" t="n">
        <f aca="false">IF(AS181&gt;0,AS181*AG181,0)</f>
        <v>3.71531303430068</v>
      </c>
      <c r="AU181" s="7" t="n">
        <f aca="false">IF(AS181&gt;0,AS181*AG181^2,0)</f>
        <v>1.37039160851728</v>
      </c>
      <c r="AV181" s="9" t="n">
        <f aca="false">IF(AS181&gt;0,AS181^2,0)</f>
        <v>101.459393893166</v>
      </c>
      <c r="AW181" s="7" t="n">
        <f aca="false">IF(AS181&gt;0,AG181,0)</f>
        <v>0.368849568223589</v>
      </c>
      <c r="AX181" s="7" t="n">
        <f aca="false">IF(AS181&gt;0,AH181,1)</f>
        <v>0.0992781940090321</v>
      </c>
    </row>
    <row r="182" customFormat="false" ht="15" hidden="false" customHeight="false" outlineLevel="0" collapsed="false">
      <c r="A182" s="5" t="s">
        <v>667</v>
      </c>
      <c r="B182" s="5" t="s">
        <v>660</v>
      </c>
      <c r="C182" s="5" t="s">
        <v>661</v>
      </c>
      <c r="D182" s="5" t="n">
        <v>2025</v>
      </c>
      <c r="E182" s="5" t="s">
        <v>158</v>
      </c>
      <c r="F182" s="5" t="s">
        <v>199</v>
      </c>
      <c r="G182" s="5" t="s">
        <v>160</v>
      </c>
      <c r="H182" s="5" t="s">
        <v>162</v>
      </c>
      <c r="I182" s="5"/>
      <c r="J182" s="5" t="s">
        <v>162</v>
      </c>
      <c r="K182" s="5" t="s">
        <v>163</v>
      </c>
      <c r="L182" s="5" t="s">
        <v>164</v>
      </c>
      <c r="M182" s="5"/>
      <c r="N182" s="5"/>
      <c r="O182" s="5" t="s">
        <v>162</v>
      </c>
      <c r="P182" s="10" t="s">
        <v>82</v>
      </c>
      <c r="Q182" s="10" t="s">
        <v>83</v>
      </c>
      <c r="R182" s="5"/>
      <c r="S182" s="10" t="s">
        <v>668</v>
      </c>
      <c r="T182" s="5"/>
      <c r="U182" s="10" t="s">
        <v>98</v>
      </c>
      <c r="V182" s="5" t="n">
        <v>20</v>
      </c>
      <c r="W182" s="5" t="n">
        <v>3.7</v>
      </c>
      <c r="X182" s="5" t="n">
        <v>1.75</v>
      </c>
      <c r="Y182" s="5" t="n">
        <v>21</v>
      </c>
      <c r="Z182" s="5" t="n">
        <v>4.29</v>
      </c>
      <c r="AA182" s="5" t="n">
        <v>1.93</v>
      </c>
      <c r="AB182" s="5" t="s">
        <v>99</v>
      </c>
      <c r="AC182" s="5"/>
      <c r="AD182" s="5" t="n">
        <v>1</v>
      </c>
      <c r="AE182" s="7" t="n">
        <f aca="false">IFERROR(IF(AB182="MSD",IF(COUNT(V182,W182,X182,Y182,Z182,AA182)&lt;6,"",(W182-Z182)/SQRT(((V182-1)*X182^2+(Y182-1)*AA182^2)/(V182+Y182-2))*AD182),IF(AB182="t",AC182*SQRT(1/V182+1/Y182)*AD182,IF(AB182="F",SQRT(AC182)*SQRT(1/V182+1/Y182)*AD182,IF(AB182="z",2*(AC182/SQRT(V182+Y182))/SQRT(1-(AC182/SQRT(V182+Y182))^2)*AD182,IF(AB182="t_paired",AC182/SQRT(V182)*AD182,""))))),"")</f>
        <v>-0.319869316612137</v>
      </c>
      <c r="AF182" s="7" t="n">
        <f aca="false">IF(AE182="","",IF(AB182="t_paired",1-3/(4*(V182-1)-1),1-3/(4*(V182+Y182)-9)))</f>
        <v>0.980645161290323</v>
      </c>
      <c r="AG182" s="7" t="n">
        <f aca="false">IF(AE182="","",AE182*AF182)</f>
        <v>-0.313678297580934</v>
      </c>
      <c r="AH182" s="7" t="n">
        <f aca="false">IF(AG182="","",IF(AB182="t_paired",1/V182+AG182^2/(2*V182),(V182+Y182)/(V182*Y182)+AG182^2/(2*(V182+Y182))))</f>
        <v>0.0988189753553071</v>
      </c>
      <c r="AI182" s="7" t="n">
        <f aca="false">IF(AH182="","",SQRT(AH182))</f>
        <v>0.314354855784521</v>
      </c>
      <c r="AJ182" s="7" t="n">
        <f aca="false">IF(AI182="","",AG182-1.96*AI182)</f>
        <v>-0.929813814918596</v>
      </c>
      <c r="AK182" s="7" t="n">
        <f aca="false">IF(AI182="","",AG182+1.96*AI182)</f>
        <v>0.302457219756727</v>
      </c>
      <c r="AL182" s="7" t="n">
        <f aca="false">IF(AI182="","",AG182/AI182)</f>
        <v>-0.997847788284045</v>
      </c>
      <c r="AM182" s="8" t="n">
        <f aca="false">IF(AL182="","",2*(1-NORMSDIST(ABS(AL182))))</f>
        <v>0.318353173130596</v>
      </c>
      <c r="AN182" s="9" t="n">
        <f aca="false">IF(COUNT(V182)=0,"",IF(AB182="t_paired",V182,V182+N(Y182)))</f>
        <v>41</v>
      </c>
      <c r="AO182" s="7" t="n">
        <f aca="false">IF(AH182="","",1/AH182)</f>
        <v>10.1195139537165</v>
      </c>
      <c r="AP182" s="5" t="s">
        <v>100</v>
      </c>
      <c r="AQ182" s="5" t="s">
        <v>210</v>
      </c>
      <c r="AR182" s="5"/>
      <c r="AS182" s="9" t="n">
        <f aca="false">IF(AND(AP182="Y",ISNUMBER(AO182)),AO182,0)</f>
        <v>0</v>
      </c>
      <c r="AT182" s="7" t="n">
        <f aca="false">IF(AS182&gt;0,AS182*AG182,0)</f>
        <v>0</v>
      </c>
      <c r="AU182" s="7" t="n">
        <f aca="false">IF(AS182&gt;0,AS182*AG182^2,0)</f>
        <v>0</v>
      </c>
      <c r="AV182" s="9" t="n">
        <f aca="false">IF(AS182&gt;0,AS182^2,0)</f>
        <v>0</v>
      </c>
      <c r="AW182" s="7" t="n">
        <f aca="false">IF(AS182&gt;0,AG182,0)</f>
        <v>0</v>
      </c>
      <c r="AX182" s="7" t="n">
        <f aca="false">IF(AS182&gt;0,AH182,1)</f>
        <v>1</v>
      </c>
    </row>
    <row r="183" customFormat="false" ht="15" hidden="false" customHeight="false" outlineLevel="0" collapsed="false">
      <c r="A183" s="5" t="s">
        <v>669</v>
      </c>
      <c r="B183" s="5" t="s">
        <v>660</v>
      </c>
      <c r="C183" s="5" t="s">
        <v>661</v>
      </c>
      <c r="D183" s="5" t="n">
        <v>2025</v>
      </c>
      <c r="E183" s="5" t="s">
        <v>158</v>
      </c>
      <c r="F183" s="5" t="s">
        <v>199</v>
      </c>
      <c r="G183" s="5" t="s">
        <v>160</v>
      </c>
      <c r="H183" s="5" t="s">
        <v>162</v>
      </c>
      <c r="I183" s="5"/>
      <c r="J183" s="5" t="s">
        <v>162</v>
      </c>
      <c r="K183" s="5" t="s">
        <v>163</v>
      </c>
      <c r="L183" s="5" t="s">
        <v>164</v>
      </c>
      <c r="M183" s="5"/>
      <c r="N183" s="5"/>
      <c r="O183" s="5" t="s">
        <v>162</v>
      </c>
      <c r="P183" s="6" t="s">
        <v>82</v>
      </c>
      <c r="Q183" s="6" t="s">
        <v>83</v>
      </c>
      <c r="R183" s="5"/>
      <c r="S183" s="6" t="s">
        <v>668</v>
      </c>
      <c r="T183" s="5"/>
      <c r="U183" s="6" t="s">
        <v>86</v>
      </c>
      <c r="V183" s="5" t="n">
        <v>20</v>
      </c>
      <c r="W183" s="5" t="n">
        <v>5</v>
      </c>
      <c r="X183" s="5" t="n">
        <v>1.87</v>
      </c>
      <c r="Y183" s="5" t="n">
        <v>21</v>
      </c>
      <c r="Z183" s="5" t="n">
        <v>4.52</v>
      </c>
      <c r="AA183" s="5" t="n">
        <v>1.74</v>
      </c>
      <c r="AB183" s="5" t="s">
        <v>99</v>
      </c>
      <c r="AC183" s="5"/>
      <c r="AD183" s="5" t="n">
        <v>1</v>
      </c>
      <c r="AE183" s="7" t="n">
        <f aca="false">IFERROR(IF(AB183="MSD",IF(COUNT(V183,W183,X183,Y183,Z183,AA183)&lt;6,"",(W183-Z183)/SQRT(((V183-1)*X183^2+(Y183-1)*AA183^2)/(V183+Y183-2))*AD183),IF(AB183="t",AC183*SQRT(1/V183+1/Y183)*AD183,IF(AB183="F",SQRT(AC183)*SQRT(1/V183+1/Y183)*AD183,IF(AB183="z",2*(AC183/SQRT(V183+Y183))/SQRT(1-(AC183/SQRT(V183+Y183))^2)*AD183,IF(AB183="t_paired",AC183/SQRT(V183)*AD183,""))))),"")</f>
        <v>0.266001128121181</v>
      </c>
      <c r="AF183" s="7" t="n">
        <f aca="false">IF(AE183="","",IF(AB183="t_paired",1-3/(4*(V183-1)-1),1-3/(4*(V183+Y183)-9)))</f>
        <v>0.980645161290323</v>
      </c>
      <c r="AG183" s="7" t="n">
        <f aca="false">IF(AE183="","",AE183*AF183)</f>
        <v>0.260852719189804</v>
      </c>
      <c r="AH183" s="7" t="n">
        <f aca="false">IF(AG183="","",IF(AB183="t_paired",1/V183+AG183^2/(2*V183),(V183+Y183)/(V183*Y183)+AG183^2/(2*(V183+Y183))))</f>
        <v>0.0984488542179344</v>
      </c>
      <c r="AI183" s="7" t="n">
        <f aca="false">IF(AH183="","",SQRT(AH183))</f>
        <v>0.313765603943349</v>
      </c>
      <c r="AJ183" s="7" t="n">
        <f aca="false">IF(AI183="","",AG183-1.96*AI183)</f>
        <v>-0.35412786453916</v>
      </c>
      <c r="AK183" s="7" t="n">
        <f aca="false">IF(AI183="","",AG183+1.96*AI183)</f>
        <v>0.875833302918767</v>
      </c>
      <c r="AL183" s="7" t="n">
        <f aca="false">IF(AI183="","",AG183/AI183)</f>
        <v>0.831361742368999</v>
      </c>
      <c r="AM183" s="8" t="n">
        <f aca="false">IF(AL183="","",2*(1-NORMSDIST(ABS(AL183))))</f>
        <v>0.405769304718849</v>
      </c>
      <c r="AN183" s="9" t="n">
        <f aca="false">IF(COUNT(V183)=0,"",IF(AB183="t_paired",V183,V183+N(Y183)))</f>
        <v>41</v>
      </c>
      <c r="AO183" s="7" t="n">
        <f aca="false">IF(AH183="","",1/AH183)</f>
        <v>10.1575585408675</v>
      </c>
      <c r="AP183" s="5" t="s">
        <v>88</v>
      </c>
      <c r="AQ183" s="5" t="s">
        <v>210</v>
      </c>
      <c r="AR183" s="5"/>
      <c r="AS183" s="7" t="n">
        <f aca="false">IF(AND(AP183="Y",ISNUMBER(AO183)),AO183,0)</f>
        <v>10.1575585408675</v>
      </c>
      <c r="AT183" s="7" t="n">
        <f aca="false">IF(AS183&gt;0,AS183*AG183,0)</f>
        <v>2.64962676571491</v>
      </c>
      <c r="AU183" s="7" t="n">
        <f aca="false">IF(AS183&gt;0,AS183*AG183^2,0)</f>
        <v>0.691162346674818</v>
      </c>
      <c r="AV183" s="9" t="n">
        <f aca="false">IF(AS183&gt;0,AS183^2,0)</f>
        <v>103.175995511151</v>
      </c>
      <c r="AW183" s="7" t="n">
        <f aca="false">IF(AS183&gt;0,AG183,0)</f>
        <v>0.260852719189804</v>
      </c>
      <c r="AX183" s="7" t="n">
        <f aca="false">IF(AS183&gt;0,AH183,1)</f>
        <v>0.0984488542179344</v>
      </c>
    </row>
    <row r="184" customFormat="false" ht="15" hidden="false" customHeight="false" outlineLevel="0" collapsed="false">
      <c r="A184" s="5" t="s">
        <v>670</v>
      </c>
      <c r="B184" s="5" t="s">
        <v>660</v>
      </c>
      <c r="C184" s="5" t="s">
        <v>661</v>
      </c>
      <c r="D184" s="5" t="n">
        <v>2025</v>
      </c>
      <c r="E184" s="5" t="s">
        <v>158</v>
      </c>
      <c r="F184" s="5" t="s">
        <v>199</v>
      </c>
      <c r="G184" s="5" t="s">
        <v>160</v>
      </c>
      <c r="H184" s="5" t="s">
        <v>162</v>
      </c>
      <c r="I184" s="5"/>
      <c r="J184" s="5" t="s">
        <v>162</v>
      </c>
      <c r="K184" s="5" t="s">
        <v>163</v>
      </c>
      <c r="L184" s="5" t="s">
        <v>164</v>
      </c>
      <c r="M184" s="5"/>
      <c r="N184" s="5"/>
      <c r="O184" s="5" t="s">
        <v>162</v>
      </c>
      <c r="P184" s="10" t="s">
        <v>82</v>
      </c>
      <c r="Q184" s="10" t="s">
        <v>83</v>
      </c>
      <c r="R184" s="5"/>
      <c r="S184" s="10" t="s">
        <v>671</v>
      </c>
      <c r="T184" s="5"/>
      <c r="U184" s="10" t="s">
        <v>98</v>
      </c>
      <c r="V184" s="5" t="n">
        <v>20</v>
      </c>
      <c r="W184" s="5" t="n">
        <v>3.2</v>
      </c>
      <c r="X184" s="5" t="n">
        <v>1.91</v>
      </c>
      <c r="Y184" s="5" t="n">
        <v>21</v>
      </c>
      <c r="Z184" s="5" t="n">
        <v>3.24</v>
      </c>
      <c r="AA184" s="5" t="n">
        <v>2</v>
      </c>
      <c r="AB184" s="5" t="s">
        <v>99</v>
      </c>
      <c r="AC184" s="5"/>
      <c r="AD184" s="5" t="n">
        <v>1</v>
      </c>
      <c r="AE184" s="7" t="n">
        <f aca="false">IFERROR(IF(AB184="MSD",IF(COUNT(V184,W184,X184,Y184,Z184,AA184)&lt;6,"",(W184-Z184)/SQRT(((V184-1)*X184^2+(Y184-1)*AA184^2)/(V184+Y184-2))*AD184),IF(AB184="t",AC184*SQRT(1/V184+1/Y184)*AD184,IF(AB184="F",SQRT(AC184)*SQRT(1/V184+1/Y184)*AD184,IF(AB184="z",2*(AC184/SQRT(V184+Y184))/SQRT(1-(AC184/SQRT(V184+Y184))^2)*AD184,IF(AB184="t_paired",AC184/SQRT(V184)*AD184,""))))),"")</f>
        <v>-0.0204428845157915</v>
      </c>
      <c r="AF184" s="7" t="n">
        <f aca="false">IF(AE184="","",IF(AB184="t_paired",1-3/(4*(V184-1)-1),1-3/(4*(V184+Y184)-9)))</f>
        <v>0.980645161290323</v>
      </c>
      <c r="AG184" s="7" t="n">
        <f aca="false">IF(AE184="","",AE184*AF184)</f>
        <v>-0.0200472157832278</v>
      </c>
      <c r="AH184" s="7" t="n">
        <f aca="false">IF(AG184="","",IF(AB184="t_paired",1/V184+AG184^2/(2*V184),(V184+Y184)/(V184*Y184)+AG184^2/(2*(V184+Y184))))</f>
        <v>0.0976239487271044</v>
      </c>
      <c r="AI184" s="7" t="n">
        <f aca="false">IF(AH184="","",SQRT(AH184))</f>
        <v>0.312448313689008</v>
      </c>
      <c r="AJ184" s="7" t="n">
        <f aca="false">IF(AI184="","",AG184-1.96*AI184)</f>
        <v>-0.632445910613683</v>
      </c>
      <c r="AK184" s="7" t="n">
        <f aca="false">IF(AI184="","",AG184+1.96*AI184)</f>
        <v>0.592351479047227</v>
      </c>
      <c r="AL184" s="7" t="n">
        <f aca="false">IF(AI184="","",AG184/AI184)</f>
        <v>-0.0641617026078164</v>
      </c>
      <c r="AM184" s="8" t="n">
        <f aca="false">IF(AL184="","",2*(1-NORMSDIST(ABS(AL184))))</f>
        <v>0.948841471424576</v>
      </c>
      <c r="AN184" s="9" t="n">
        <f aca="false">IF(COUNT(V184)=0,"",IF(AB184="t_paired",V184,V184+N(Y184)))</f>
        <v>41</v>
      </c>
      <c r="AO184" s="7" t="n">
        <f aca="false">IF(AH184="","",1/AH184)</f>
        <v>10.2433881546359</v>
      </c>
      <c r="AP184" s="5" t="s">
        <v>100</v>
      </c>
      <c r="AQ184" s="5" t="s">
        <v>210</v>
      </c>
      <c r="AR184" s="5"/>
      <c r="AS184" s="9" t="n">
        <f aca="false">IF(AND(AP184="Y",ISNUMBER(AO184)),AO184,0)</f>
        <v>0</v>
      </c>
      <c r="AT184" s="7" t="n">
        <f aca="false">IF(AS184&gt;0,AS184*AG184,0)</f>
        <v>0</v>
      </c>
      <c r="AU184" s="7" t="n">
        <f aca="false">IF(AS184&gt;0,AS184*AG184^2,0)</f>
        <v>0</v>
      </c>
      <c r="AV184" s="9" t="n">
        <f aca="false">IF(AS184&gt;0,AS184^2,0)</f>
        <v>0</v>
      </c>
      <c r="AW184" s="7" t="n">
        <f aca="false">IF(AS184&gt;0,AG184,0)</f>
        <v>0</v>
      </c>
      <c r="AX184" s="7" t="n">
        <f aca="false">IF(AS184&gt;0,AH184,1)</f>
        <v>1</v>
      </c>
    </row>
    <row r="185" customFormat="false" ht="15" hidden="false" customHeight="false" outlineLevel="0" collapsed="false">
      <c r="A185" s="5" t="s">
        <v>672</v>
      </c>
      <c r="B185" s="5" t="s">
        <v>660</v>
      </c>
      <c r="C185" s="5" t="s">
        <v>661</v>
      </c>
      <c r="D185" s="5" t="n">
        <v>2025</v>
      </c>
      <c r="E185" s="5" t="s">
        <v>158</v>
      </c>
      <c r="F185" s="5" t="s">
        <v>199</v>
      </c>
      <c r="G185" s="5" t="s">
        <v>160</v>
      </c>
      <c r="H185" s="5" t="s">
        <v>162</v>
      </c>
      <c r="I185" s="5"/>
      <c r="J185" s="5" t="s">
        <v>162</v>
      </c>
      <c r="K185" s="5" t="s">
        <v>163</v>
      </c>
      <c r="L185" s="5" t="s">
        <v>164</v>
      </c>
      <c r="M185" s="5"/>
      <c r="N185" s="5"/>
      <c r="O185" s="5" t="s">
        <v>162</v>
      </c>
      <c r="P185" s="6" t="s">
        <v>82</v>
      </c>
      <c r="Q185" s="6" t="s">
        <v>83</v>
      </c>
      <c r="R185" s="5"/>
      <c r="S185" s="6" t="s">
        <v>671</v>
      </c>
      <c r="T185" s="5"/>
      <c r="U185" s="6" t="s">
        <v>86</v>
      </c>
      <c r="V185" s="5" t="n">
        <v>20</v>
      </c>
      <c r="W185" s="5" t="n">
        <v>5.1</v>
      </c>
      <c r="X185" s="5" t="n">
        <v>1.48</v>
      </c>
      <c r="Y185" s="5" t="n">
        <v>21</v>
      </c>
      <c r="Z185" s="5" t="n">
        <v>4.24</v>
      </c>
      <c r="AA185" s="5" t="n">
        <v>1.82</v>
      </c>
      <c r="AB185" s="5" t="s">
        <v>99</v>
      </c>
      <c r="AC185" s="5"/>
      <c r="AD185" s="5" t="n">
        <v>1</v>
      </c>
      <c r="AE185" s="7" t="n">
        <f aca="false">IFERROR(IF(AB185="MSD",IF(COUNT(V185,W185,X185,Y185,Z185,AA185)&lt;6,"",(W185-Z185)/SQRT(((V185-1)*X185^2+(Y185-1)*AA185^2)/(V185+Y185-2))*AD185),IF(AB185="t",AC185*SQRT(1/V185+1/Y185)*AD185,IF(AB185="F",SQRT(AC185)*SQRT(1/V185+1/Y185)*AD185,IF(AB185="z",2*(AC185/SQRT(V185+Y185))/SQRT(1-(AC185/SQRT(V185+Y185))^2)*AD185,IF(AB185="t_paired",AC185/SQRT(V185)*AD185,""))))),"")</f>
        <v>0.517117545010589</v>
      </c>
      <c r="AF185" s="7" t="n">
        <f aca="false">IF(AE185="","",IF(AB185="t_paired",1-3/(4*(V185-1)-1),1-3/(4*(V185+Y185)-9)))</f>
        <v>0.980645161290323</v>
      </c>
      <c r="AG185" s="7" t="n">
        <f aca="false">IF(AE185="","",AE185*AF185)</f>
        <v>0.507108818332964</v>
      </c>
      <c r="AH185" s="7" t="n">
        <f aca="false">IF(AG185="","",IF(AB185="t_paired",1/V185+AG185^2/(2*V185),(V185+Y185)/(V185*Y185)+AG185^2/(2*(V185+Y185))))</f>
        <v>0.100755137297475</v>
      </c>
      <c r="AI185" s="7" t="n">
        <f aca="false">IF(AH185="","",SQRT(AH185))</f>
        <v>0.317419497349289</v>
      </c>
      <c r="AJ185" s="7" t="n">
        <f aca="false">IF(AI185="","",AG185-1.96*AI185)</f>
        <v>-0.115033396471642</v>
      </c>
      <c r="AK185" s="7" t="n">
        <f aca="false">IF(AI185="","",AG185+1.96*AI185)</f>
        <v>1.12925103313757</v>
      </c>
      <c r="AL185" s="7" t="n">
        <f aca="false">IF(AI185="","",AG185/AI185)</f>
        <v>1.59759820227723</v>
      </c>
      <c r="AM185" s="8" t="n">
        <f aca="false">IF(AL185="","",2*(1-NORMSDIST(ABS(AL185))))</f>
        <v>0.110132426792742</v>
      </c>
      <c r="AN185" s="9" t="n">
        <f aca="false">IF(COUNT(V185)=0,"",IF(AB185="t_paired",V185,V185+N(Y185)))</f>
        <v>41</v>
      </c>
      <c r="AO185" s="7" t="n">
        <f aca="false">IF(AH185="","",1/AH185)</f>
        <v>9.92505222882625</v>
      </c>
      <c r="AP185" s="5" t="s">
        <v>88</v>
      </c>
      <c r="AQ185" s="5" t="s">
        <v>210</v>
      </c>
      <c r="AR185" s="5"/>
      <c r="AS185" s="7" t="n">
        <f aca="false">IF(AND(AP185="Y",ISNUMBER(AO185)),AO185,0)</f>
        <v>9.92505222882625</v>
      </c>
      <c r="AT185" s="7" t="n">
        <f aca="false">IF(AS185&gt;0,AS185*AG185,0)</f>
        <v>5.03308150765303</v>
      </c>
      <c r="AU185" s="7" t="n">
        <f aca="false">IF(AS185&gt;0,AS185*AG185^2,0)</f>
        <v>2.55232001591942</v>
      </c>
      <c r="AV185" s="9" t="n">
        <f aca="false">IF(AS185&gt;0,AS185^2,0)</f>
        <v>98.5066617449289</v>
      </c>
      <c r="AW185" s="7" t="n">
        <f aca="false">IF(AS185&gt;0,AG185,0)</f>
        <v>0.507108818332964</v>
      </c>
      <c r="AX185" s="7" t="n">
        <f aca="false">IF(AS185&gt;0,AH185,1)</f>
        <v>0.100755137297475</v>
      </c>
    </row>
    <row r="186" customFormat="false" ht="15" hidden="false" customHeight="false" outlineLevel="0" collapsed="false">
      <c r="A186" s="5" t="s">
        <v>673</v>
      </c>
      <c r="B186" s="5" t="s">
        <v>660</v>
      </c>
      <c r="C186" s="5" t="s">
        <v>661</v>
      </c>
      <c r="D186" s="5" t="n">
        <v>2025</v>
      </c>
      <c r="E186" s="5" t="s">
        <v>158</v>
      </c>
      <c r="F186" s="5" t="s">
        <v>199</v>
      </c>
      <c r="G186" s="5" t="s">
        <v>160</v>
      </c>
      <c r="H186" s="5" t="s">
        <v>162</v>
      </c>
      <c r="I186" s="5"/>
      <c r="J186" s="5" t="s">
        <v>162</v>
      </c>
      <c r="K186" s="5" t="s">
        <v>163</v>
      </c>
      <c r="L186" s="5" t="s">
        <v>164</v>
      </c>
      <c r="M186" s="5"/>
      <c r="N186" s="5"/>
      <c r="O186" s="5" t="s">
        <v>162</v>
      </c>
      <c r="P186" s="10" t="s">
        <v>82</v>
      </c>
      <c r="Q186" s="10" t="s">
        <v>103</v>
      </c>
      <c r="R186" s="5"/>
      <c r="S186" s="10" t="s">
        <v>674</v>
      </c>
      <c r="T186" s="5"/>
      <c r="U186" s="10" t="s">
        <v>98</v>
      </c>
      <c r="V186" s="5" t="n">
        <v>20</v>
      </c>
      <c r="W186" s="5" t="n">
        <v>2.35</v>
      </c>
      <c r="X186" s="5" t="n">
        <v>1.69</v>
      </c>
      <c r="Y186" s="5" t="n">
        <v>21</v>
      </c>
      <c r="Z186" s="5" t="n">
        <v>2.67</v>
      </c>
      <c r="AA186" s="5" t="n">
        <v>1.56</v>
      </c>
      <c r="AB186" s="5" t="s">
        <v>99</v>
      </c>
      <c r="AC186" s="5"/>
      <c r="AD186" s="5" t="n">
        <v>1</v>
      </c>
      <c r="AE186" s="7" t="n">
        <f aca="false">IFERROR(IF(AB186="MSD",IF(COUNT(V186,W186,X186,Y186,Z186,AA186)&lt;6,"",(W186-Z186)/SQRT(((V186-1)*X186^2+(Y186-1)*AA186^2)/(V186+Y186-2))*AD186),IF(AB186="t",AC186*SQRT(1/V186+1/Y186)*AD186,IF(AB186="F",SQRT(AC186)*SQRT(1/V186+1/Y186)*AD186,IF(AB186="z",2*(AC186/SQRT(V186+Y186))/SQRT(1-(AC186/SQRT(V186+Y186))^2)*AD186,IF(AB186="t_paired",AC186/SQRT(V186)*AD186,""))))),"")</f>
        <v>-0.196967525892959</v>
      </c>
      <c r="AF186" s="7" t="n">
        <f aca="false">IF(AE186="","",IF(AB186="t_paired",1-3/(4*(V186-1)-1),1-3/(4*(V186+Y186)-9)))</f>
        <v>0.980645161290323</v>
      </c>
      <c r="AG186" s="7" t="n">
        <f aca="false">IF(AE186="","",AE186*AF186)</f>
        <v>-0.193155251198256</v>
      </c>
      <c r="AH186" s="7" t="n">
        <f aca="false">IF(AG186="","",IF(AB186="t_paired",1/V186+AG186^2/(2*V186),(V186+Y186)/(V186*Y186)+AG186^2/(2*(V186+Y186))))</f>
        <v>0.098074034827163</v>
      </c>
      <c r="AI186" s="7" t="n">
        <f aca="false">IF(AH186="","",SQRT(AH186))</f>
        <v>0.31316774231578</v>
      </c>
      <c r="AJ186" s="7" t="n">
        <f aca="false">IF(AI186="","",AG186-1.96*AI186)</f>
        <v>-0.806964026137186</v>
      </c>
      <c r="AK186" s="7" t="n">
        <f aca="false">IF(AI186="","",AG186+1.96*AI186)</f>
        <v>0.420653523740673</v>
      </c>
      <c r="AL186" s="7" t="n">
        <f aca="false">IF(AI186="","",AG186/AI186)</f>
        <v>-0.616778885877364</v>
      </c>
      <c r="AM186" s="8" t="n">
        <f aca="false">IF(AL186="","",2*(1-NORMSDIST(ABS(AL186))))</f>
        <v>0.537380580479038</v>
      </c>
      <c r="AN186" s="9" t="n">
        <f aca="false">IF(COUNT(V186)=0,"",IF(AB186="t_paired",V186,V186+N(Y186)))</f>
        <v>41</v>
      </c>
      <c r="AO186" s="7" t="n">
        <f aca="false">IF(AH186="","",1/AH186)</f>
        <v>10.1963787027047</v>
      </c>
      <c r="AP186" s="5" t="s">
        <v>100</v>
      </c>
      <c r="AQ186" s="5" t="s">
        <v>210</v>
      </c>
      <c r="AR186" s="5"/>
      <c r="AS186" s="9" t="n">
        <f aca="false">IF(AND(AP186="Y",ISNUMBER(AO186)),AO186,0)</f>
        <v>0</v>
      </c>
      <c r="AT186" s="7" t="n">
        <f aca="false">IF(AS186&gt;0,AS186*AG186,0)</f>
        <v>0</v>
      </c>
      <c r="AU186" s="7" t="n">
        <f aca="false">IF(AS186&gt;0,AS186*AG186^2,0)</f>
        <v>0</v>
      </c>
      <c r="AV186" s="9" t="n">
        <f aca="false">IF(AS186&gt;0,AS186^2,0)</f>
        <v>0</v>
      </c>
      <c r="AW186" s="7" t="n">
        <f aca="false">IF(AS186&gt;0,AG186,0)</f>
        <v>0</v>
      </c>
      <c r="AX186" s="7" t="n">
        <f aca="false">IF(AS186&gt;0,AH186,1)</f>
        <v>1</v>
      </c>
    </row>
    <row r="187" customFormat="false" ht="15" hidden="false" customHeight="false" outlineLevel="0" collapsed="false">
      <c r="A187" s="5" t="s">
        <v>675</v>
      </c>
      <c r="B187" s="5" t="s">
        <v>660</v>
      </c>
      <c r="C187" s="5" t="s">
        <v>661</v>
      </c>
      <c r="D187" s="5" t="n">
        <v>2025</v>
      </c>
      <c r="E187" s="5" t="s">
        <v>158</v>
      </c>
      <c r="F187" s="5" t="s">
        <v>199</v>
      </c>
      <c r="G187" s="5" t="s">
        <v>160</v>
      </c>
      <c r="H187" s="5" t="s">
        <v>162</v>
      </c>
      <c r="I187" s="5"/>
      <c r="J187" s="5" t="s">
        <v>162</v>
      </c>
      <c r="K187" s="5" t="s">
        <v>163</v>
      </c>
      <c r="L187" s="5" t="s">
        <v>164</v>
      </c>
      <c r="M187" s="5"/>
      <c r="N187" s="5"/>
      <c r="O187" s="5" t="s">
        <v>162</v>
      </c>
      <c r="P187" s="6" t="s">
        <v>82</v>
      </c>
      <c r="Q187" s="6" t="s">
        <v>103</v>
      </c>
      <c r="R187" s="5"/>
      <c r="S187" s="6" t="s">
        <v>674</v>
      </c>
      <c r="T187" s="5"/>
      <c r="U187" s="6" t="s">
        <v>86</v>
      </c>
      <c r="V187" s="5" t="n">
        <v>20</v>
      </c>
      <c r="W187" s="5" t="n">
        <v>4.5</v>
      </c>
      <c r="X187" s="5" t="n">
        <v>1.72</v>
      </c>
      <c r="Y187" s="5" t="n">
        <v>21</v>
      </c>
      <c r="Z187" s="5" t="n">
        <v>4</v>
      </c>
      <c r="AA187" s="5" t="n">
        <v>1.77</v>
      </c>
      <c r="AB187" s="5" t="s">
        <v>99</v>
      </c>
      <c r="AC187" s="5"/>
      <c r="AD187" s="5" t="n">
        <v>1</v>
      </c>
      <c r="AE187" s="7" t="n">
        <f aca="false">IFERROR(IF(AB187="MSD",IF(COUNT(V187,W187,X187,Y187,Z187,AA187)&lt;6,"",(W187-Z187)/SQRT(((V187-1)*X187^2+(Y187-1)*AA187^2)/(V187+Y187-2))*AD187),IF(AB187="t",AC187*SQRT(1/V187+1/Y187)*AD187,IF(AB187="F",SQRT(AC187)*SQRT(1/V187+1/Y187)*AD187,IF(AB187="z",2*(AC187/SQRT(V187+Y187))/SQRT(1-(AC187/SQRT(V187+Y187))^2)*AD187,IF(AB187="t_paired",AC187/SQRT(V187)*AD187,""))))),"")</f>
        <v>0.286398382436844</v>
      </c>
      <c r="AF187" s="7" t="n">
        <f aca="false">IF(AE187="","",IF(AB187="t_paired",1-3/(4*(V187-1)-1),1-3/(4*(V187+Y187)-9)))</f>
        <v>0.980645161290323</v>
      </c>
      <c r="AG187" s="7" t="n">
        <f aca="false">IF(AE187="","",AE187*AF187)</f>
        <v>0.280855187938066</v>
      </c>
      <c r="AH187" s="7" t="n">
        <f aca="false">IF(AG187="","",IF(AB187="t_paired",1/V187+AG187^2/(2*V187),(V187+Y187)/(V187*Y187)+AG187^2/(2*(V187+Y187))))</f>
        <v>0.0985809944067516</v>
      </c>
      <c r="AI187" s="7" t="n">
        <f aca="false">IF(AH187="","",SQRT(AH187))</f>
        <v>0.313976104834033</v>
      </c>
      <c r="AJ187" s="7" t="n">
        <f aca="false">IF(AI187="","",AG187-1.96*AI187)</f>
        <v>-0.334537977536638</v>
      </c>
      <c r="AK187" s="7" t="n">
        <f aca="false">IF(AI187="","",AG187+1.96*AI187)</f>
        <v>0.896248353412771</v>
      </c>
      <c r="AL187" s="7" t="n">
        <f aca="false">IF(AI187="","",AG187/AI187)</f>
        <v>0.894511345334784</v>
      </c>
      <c r="AM187" s="8" t="n">
        <f aca="false">IF(AL187="","",2*(1-NORMSDIST(ABS(AL187))))</f>
        <v>0.371048362279159</v>
      </c>
      <c r="AN187" s="9" t="n">
        <f aca="false">IF(COUNT(V187)=0,"",IF(AB187="t_paired",V187,V187+N(Y187)))</f>
        <v>41</v>
      </c>
      <c r="AO187" s="7" t="n">
        <f aca="false">IF(AH187="","",1/AH187)</f>
        <v>10.1439431202523</v>
      </c>
      <c r="AP187" s="5" t="s">
        <v>88</v>
      </c>
      <c r="AQ187" s="5" t="s">
        <v>210</v>
      </c>
      <c r="AR187" s="5"/>
      <c r="AS187" s="7" t="n">
        <f aca="false">IF(AND(AP187="Y",ISNUMBER(AO187)),AO187,0)</f>
        <v>10.1439431202523</v>
      </c>
      <c r="AT187" s="7" t="n">
        <f aca="false">IF(AS187&gt;0,AS187*AG187,0)</f>
        <v>2.84897905147152</v>
      </c>
      <c r="AU187" s="7" t="n">
        <f aca="false">IF(AS187&gt;0,AS187*AG187^2,0)</f>
        <v>0.800150546932646</v>
      </c>
      <c r="AV187" s="9" t="n">
        <f aca="false">IF(AS187&gt;0,AS187^2,0)</f>
        <v>102.899582026914</v>
      </c>
      <c r="AW187" s="7" t="n">
        <f aca="false">IF(AS187&gt;0,AG187,0)</f>
        <v>0.280855187938066</v>
      </c>
      <c r="AX187" s="7" t="n">
        <f aca="false">IF(AS187&gt;0,AH187,1)</f>
        <v>0.0985809944067516</v>
      </c>
    </row>
    <row r="188" customFormat="false" ht="15" hidden="false" customHeight="false" outlineLevel="0" collapsed="false">
      <c r="A188" s="5" t="s">
        <v>676</v>
      </c>
      <c r="B188" s="5" t="s">
        <v>660</v>
      </c>
      <c r="C188" s="5" t="s">
        <v>661</v>
      </c>
      <c r="D188" s="5" t="n">
        <v>2025</v>
      </c>
      <c r="E188" s="5" t="s">
        <v>158</v>
      </c>
      <c r="F188" s="5" t="s">
        <v>199</v>
      </c>
      <c r="G188" s="5" t="s">
        <v>160</v>
      </c>
      <c r="H188" s="5" t="s">
        <v>162</v>
      </c>
      <c r="I188" s="5"/>
      <c r="J188" s="5" t="s">
        <v>162</v>
      </c>
      <c r="K188" s="5" t="s">
        <v>163</v>
      </c>
      <c r="L188" s="5" t="s">
        <v>164</v>
      </c>
      <c r="M188" s="5"/>
      <c r="N188" s="5"/>
      <c r="O188" s="5" t="s">
        <v>162</v>
      </c>
      <c r="P188" s="10" t="s">
        <v>82</v>
      </c>
      <c r="Q188" s="10" t="s">
        <v>103</v>
      </c>
      <c r="R188" s="5"/>
      <c r="S188" s="10" t="s">
        <v>677</v>
      </c>
      <c r="T188" s="5"/>
      <c r="U188" s="10" t="s">
        <v>98</v>
      </c>
      <c r="V188" s="5" t="n">
        <v>20</v>
      </c>
      <c r="W188" s="5" t="n">
        <v>3.4</v>
      </c>
      <c r="X188" s="5" t="n">
        <v>1.85</v>
      </c>
      <c r="Y188" s="5" t="n">
        <v>21</v>
      </c>
      <c r="Z188" s="5" t="n">
        <v>3.62</v>
      </c>
      <c r="AA188" s="5" t="n">
        <v>1.88</v>
      </c>
      <c r="AB188" s="5" t="s">
        <v>99</v>
      </c>
      <c r="AC188" s="5"/>
      <c r="AD188" s="5" t="n">
        <v>1</v>
      </c>
      <c r="AE188" s="7" t="n">
        <f aca="false">IFERROR(IF(AB188="MSD",IF(COUNT(V188,W188,X188,Y188,Z188,AA188)&lt;6,"",(W188-Z188)/SQRT(((V188-1)*X188^2+(Y188-1)*AA188^2)/(V188+Y188-2))*AD188),IF(AB188="t",AC188*SQRT(1/V188+1/Y188)*AD188,IF(AB188="F",SQRT(AC188)*SQRT(1/V188+1/Y188)*AD188,IF(AB188="z",2*(AC188/SQRT(V188+Y188))/SQRT(1-(AC188/SQRT(V188+Y188))^2)*AD188,IF(AB188="t_paired",AC188/SQRT(V188)*AD188,""))))),"")</f>
        <v>-0.117934333993159</v>
      </c>
      <c r="AF188" s="7" t="n">
        <f aca="false">IF(AE188="","",IF(AB188="t_paired",1-3/(4*(V188-1)-1),1-3/(4*(V188+Y188)-9)))</f>
        <v>0.980645161290323</v>
      </c>
      <c r="AG188" s="7" t="n">
        <f aca="false">IF(AE188="","",AE188*AF188)</f>
        <v>-0.115651733980388</v>
      </c>
      <c r="AH188" s="7" t="n">
        <f aca="false">IF(AG188="","",IF(AB188="t_paired",1/V188+AG188^2/(2*V188),(V188+Y188)/(V188*Y188)+AG188^2/(2*(V188+Y188))))</f>
        <v>0.0977821613211534</v>
      </c>
      <c r="AI188" s="7" t="n">
        <f aca="false">IF(AH188="","",SQRT(AH188))</f>
        <v>0.312701393219079</v>
      </c>
      <c r="AJ188" s="7" t="n">
        <f aca="false">IF(AI188="","",AG188-1.96*AI188)</f>
        <v>-0.728546464689784</v>
      </c>
      <c r="AK188" s="7" t="n">
        <f aca="false">IF(AI188="","",AG188+1.96*AI188)</f>
        <v>0.497242996729008</v>
      </c>
      <c r="AL188" s="7" t="n">
        <f aca="false">IF(AI188="","",AG188/AI188)</f>
        <v>-0.3698471976406</v>
      </c>
      <c r="AM188" s="8" t="n">
        <f aca="false">IF(AL188="","",2*(1-NORMSDIST(ABS(AL188))))</f>
        <v>0.711496346141331</v>
      </c>
      <c r="AN188" s="9" t="n">
        <f aca="false">IF(COUNT(V188)=0,"",IF(AB188="t_paired",V188,V188+N(Y188)))</f>
        <v>41</v>
      </c>
      <c r="AO188" s="7" t="n">
        <f aca="false">IF(AH188="","",1/AH188)</f>
        <v>10.22681424187</v>
      </c>
      <c r="AP188" s="5" t="s">
        <v>100</v>
      </c>
      <c r="AQ188" s="5" t="s">
        <v>210</v>
      </c>
      <c r="AR188" s="5"/>
      <c r="AS188" s="9" t="n">
        <f aca="false">IF(AND(AP188="Y",ISNUMBER(AO188)),AO188,0)</f>
        <v>0</v>
      </c>
      <c r="AT188" s="7" t="n">
        <f aca="false">IF(AS188&gt;0,AS188*AG188,0)</f>
        <v>0</v>
      </c>
      <c r="AU188" s="7" t="n">
        <f aca="false">IF(AS188&gt;0,AS188*AG188^2,0)</f>
        <v>0</v>
      </c>
      <c r="AV188" s="9" t="n">
        <f aca="false">IF(AS188&gt;0,AS188^2,0)</f>
        <v>0</v>
      </c>
      <c r="AW188" s="7" t="n">
        <f aca="false">IF(AS188&gt;0,AG188,0)</f>
        <v>0</v>
      </c>
      <c r="AX188" s="7" t="n">
        <f aca="false">IF(AS188&gt;0,AH188,1)</f>
        <v>1</v>
      </c>
    </row>
    <row r="189" customFormat="false" ht="15" hidden="false" customHeight="false" outlineLevel="0" collapsed="false">
      <c r="A189" s="5" t="s">
        <v>678</v>
      </c>
      <c r="B189" s="5" t="s">
        <v>660</v>
      </c>
      <c r="C189" s="5" t="s">
        <v>661</v>
      </c>
      <c r="D189" s="5" t="n">
        <v>2025</v>
      </c>
      <c r="E189" s="5" t="s">
        <v>158</v>
      </c>
      <c r="F189" s="5" t="s">
        <v>199</v>
      </c>
      <c r="G189" s="5" t="s">
        <v>160</v>
      </c>
      <c r="H189" s="5" t="s">
        <v>162</v>
      </c>
      <c r="I189" s="5"/>
      <c r="J189" s="5" t="s">
        <v>162</v>
      </c>
      <c r="K189" s="5" t="s">
        <v>163</v>
      </c>
      <c r="L189" s="5" t="s">
        <v>164</v>
      </c>
      <c r="M189" s="5"/>
      <c r="N189" s="5"/>
      <c r="O189" s="5" t="s">
        <v>162</v>
      </c>
      <c r="P189" s="6" t="s">
        <v>82</v>
      </c>
      <c r="Q189" s="6" t="s">
        <v>103</v>
      </c>
      <c r="R189" s="5"/>
      <c r="S189" s="6" t="s">
        <v>677</v>
      </c>
      <c r="T189" s="5"/>
      <c r="U189" s="6" t="s">
        <v>86</v>
      </c>
      <c r="V189" s="5" t="n">
        <v>20</v>
      </c>
      <c r="W189" s="5" t="n">
        <v>4.55</v>
      </c>
      <c r="X189" s="5" t="n">
        <v>1.83</v>
      </c>
      <c r="Y189" s="5" t="n">
        <v>21</v>
      </c>
      <c r="Z189" s="5" t="n">
        <v>4.33</v>
      </c>
      <c r="AA189" s="5" t="n">
        <v>1.64</v>
      </c>
      <c r="AB189" s="5" t="s">
        <v>99</v>
      </c>
      <c r="AC189" s="5"/>
      <c r="AD189" s="5" t="n">
        <v>1</v>
      </c>
      <c r="AE189" s="7" t="n">
        <f aca="false">IFERROR(IF(AB189="MSD",IF(COUNT(V189,W189,X189,Y189,Z189,AA189)&lt;6,"",(W189-Z189)/SQRT(((V189-1)*X189^2+(Y189-1)*AA189^2)/(V189+Y189-2))*AD189),IF(AB189="t",AC189*SQRT(1/V189+1/Y189)*AD189,IF(AB189="F",SQRT(AC189)*SQRT(1/V189+1/Y189)*AD189,IF(AB189="z",2*(AC189/SQRT(V189+Y189))/SQRT(1-(AC189/SQRT(V189+Y189))^2)*AD189,IF(AB189="t_paired",AC189/SQRT(V189)*AD189,""))))),"")</f>
        <v>0.126789097960958</v>
      </c>
      <c r="AF189" s="7" t="n">
        <f aca="false">IF(AE189="","",IF(AB189="t_paired",1-3/(4*(V189-1)-1),1-3/(4*(V189+Y189)-9)))</f>
        <v>0.980645161290323</v>
      </c>
      <c r="AG189" s="7" t="n">
        <f aca="false">IF(AE189="","",AE189*AF189)</f>
        <v>0.124335115419779</v>
      </c>
      <c r="AH189" s="7" t="n">
        <f aca="false">IF(AG189="","",IF(AB189="t_paired",1/V189+AG189^2/(2*V189),(V189+Y189)/(V189*Y189)+AG189^2/(2*(V189+Y189))))</f>
        <v>0.0978075747035165</v>
      </c>
      <c r="AI189" s="7" t="n">
        <f aca="false">IF(AH189="","",SQRT(AH189))</f>
        <v>0.312742025803243</v>
      </c>
      <c r="AJ189" s="7" t="n">
        <f aca="false">IF(AI189="","",AG189-1.96*AI189)</f>
        <v>-0.488639255154578</v>
      </c>
      <c r="AK189" s="7" t="n">
        <f aca="false">IF(AI189="","",AG189+1.96*AI189)</f>
        <v>0.737309485994136</v>
      </c>
      <c r="AL189" s="7" t="n">
        <f aca="false">IF(AI189="","",AG189/AI189)</f>
        <v>0.397564462596409</v>
      </c>
      <c r="AM189" s="8" t="n">
        <f aca="false">IF(AL189="","",2*(1-NORMSDIST(ABS(AL189))))</f>
        <v>0.69095126049924</v>
      </c>
      <c r="AN189" s="9" t="n">
        <f aca="false">IF(COUNT(V189)=0,"",IF(AB189="t_paired",V189,V189+N(Y189)))</f>
        <v>41</v>
      </c>
      <c r="AO189" s="7" t="n">
        <f aca="false">IF(AH189="","",1/AH189)</f>
        <v>10.2241570045193</v>
      </c>
      <c r="AP189" s="5" t="s">
        <v>88</v>
      </c>
      <c r="AQ189" s="5" t="s">
        <v>210</v>
      </c>
      <c r="AR189" s="5"/>
      <c r="AS189" s="7" t="n">
        <f aca="false">IF(AND(AP189="Y",ISNUMBER(AO189)),AO189,0)</f>
        <v>10.2241570045193</v>
      </c>
      <c r="AT189" s="7" t="n">
        <f aca="false">IF(AS189&gt;0,AS189*AG189,0)</f>
        <v>1.27122174122684</v>
      </c>
      <c r="AU189" s="7" t="n">
        <f aca="false">IF(AS189&gt;0,AS189*AG189^2,0)</f>
        <v>0.158057501919571</v>
      </c>
      <c r="AV189" s="9" t="n">
        <f aca="false">IF(AS189&gt;0,AS189^2,0)</f>
        <v>104.53338645306</v>
      </c>
      <c r="AW189" s="7" t="n">
        <f aca="false">IF(AS189&gt;0,AG189,0)</f>
        <v>0.124335115419779</v>
      </c>
      <c r="AX189" s="7" t="n">
        <f aca="false">IF(AS189&gt;0,AH189,1)</f>
        <v>0.0978075747035165</v>
      </c>
    </row>
    <row r="190" customFormat="false" ht="15" hidden="false" customHeight="false" outlineLevel="0" collapsed="false">
      <c r="A190" s="5" t="s">
        <v>679</v>
      </c>
      <c r="B190" s="5" t="s">
        <v>660</v>
      </c>
      <c r="C190" s="5" t="s">
        <v>661</v>
      </c>
      <c r="D190" s="5" t="n">
        <v>2025</v>
      </c>
      <c r="E190" s="5" t="s">
        <v>158</v>
      </c>
      <c r="F190" s="5" t="s">
        <v>199</v>
      </c>
      <c r="G190" s="5" t="s">
        <v>160</v>
      </c>
      <c r="H190" s="5" t="s">
        <v>162</v>
      </c>
      <c r="I190" s="5"/>
      <c r="J190" s="5" t="s">
        <v>162</v>
      </c>
      <c r="K190" s="5" t="s">
        <v>163</v>
      </c>
      <c r="L190" s="5" t="s">
        <v>164</v>
      </c>
      <c r="M190" s="5"/>
      <c r="N190" s="5"/>
      <c r="O190" s="5" t="s">
        <v>162</v>
      </c>
      <c r="P190" s="10" t="s">
        <v>82</v>
      </c>
      <c r="Q190" s="10" t="s">
        <v>103</v>
      </c>
      <c r="R190" s="5"/>
      <c r="S190" s="10" t="s">
        <v>680</v>
      </c>
      <c r="T190" s="5"/>
      <c r="U190" s="10" t="s">
        <v>98</v>
      </c>
      <c r="V190" s="5" t="n">
        <v>20</v>
      </c>
      <c r="W190" s="5" t="n">
        <v>3.5</v>
      </c>
      <c r="X190" s="5" t="n">
        <v>1.5</v>
      </c>
      <c r="Y190" s="5" t="n">
        <v>21</v>
      </c>
      <c r="Z190" s="5" t="n">
        <v>3.38</v>
      </c>
      <c r="AA190" s="5" t="n">
        <v>1.53</v>
      </c>
      <c r="AB190" s="5" t="s">
        <v>99</v>
      </c>
      <c r="AC190" s="5"/>
      <c r="AD190" s="5" t="n">
        <v>1</v>
      </c>
      <c r="AE190" s="7" t="n">
        <f aca="false">IFERROR(IF(AB190="MSD",IF(COUNT(V190,W190,X190,Y190,Z190,AA190)&lt;6,"",(W190-Z190)/SQRT(((V190-1)*X190^2+(Y190-1)*AA190^2)/(V190+Y190-2))*AD190),IF(AB190="t",AC190*SQRT(1/V190+1/Y190)*AD190,IF(AB190="F",SQRT(AC190)*SQRT(1/V190+1/Y190)*AD190,IF(AB190="z",2*(AC190/SQRT(V190+Y190))/SQRT(1-(AC190/SQRT(V190+Y190))^2)*AD190,IF(AB190="t_paired",AC190/SQRT(V190)*AD190,""))))),"")</f>
        <v>0.0791839406888955</v>
      </c>
      <c r="AF190" s="7" t="n">
        <f aca="false">IF(AE190="","",IF(AB190="t_paired",1-3/(4*(V190-1)-1),1-3/(4*(V190+Y190)-9)))</f>
        <v>0.980645161290323</v>
      </c>
      <c r="AG190" s="7" t="n">
        <f aca="false">IF(AE190="","",AE190*AF190)</f>
        <v>0.0776513482884653</v>
      </c>
      <c r="AH190" s="7" t="n">
        <f aca="false">IF(AG190="","",IF(AB190="t_paired",1/V190+AG190^2/(2*V190),(V190+Y190)/(V190*Y190)+AG190^2/(2*(V190+Y190))))</f>
        <v>0.0976925809347917</v>
      </c>
      <c r="AI190" s="7" t="n">
        <f aca="false">IF(AH190="","",SQRT(AH190))</f>
        <v>0.312558124090211</v>
      </c>
      <c r="AJ190" s="7" t="n">
        <f aca="false">IF(AI190="","",AG190-1.96*AI190)</f>
        <v>-0.534962574928348</v>
      </c>
      <c r="AK190" s="7" t="n">
        <f aca="false">IF(AI190="","",AG190+1.96*AI190)</f>
        <v>0.690265271505279</v>
      </c>
      <c r="AL190" s="7" t="n">
        <f aca="false">IF(AI190="","",AG190/AI190)</f>
        <v>0.248438105758702</v>
      </c>
      <c r="AM190" s="8" t="n">
        <f aca="false">IF(AL190="","",2*(1-NORMSDIST(ABS(AL190))))</f>
        <v>0.803795453403994</v>
      </c>
      <c r="AN190" s="9" t="n">
        <f aca="false">IF(COUNT(V190)=0,"",IF(AB190="t_paired",V190,V190+N(Y190)))</f>
        <v>41</v>
      </c>
      <c r="AO190" s="7" t="n">
        <f aca="false">IF(AH190="","",1/AH190)</f>
        <v>10.2361918421163</v>
      </c>
      <c r="AP190" s="5" t="s">
        <v>100</v>
      </c>
      <c r="AQ190" s="5" t="s">
        <v>210</v>
      </c>
      <c r="AR190" s="5"/>
      <c r="AS190" s="9" t="n">
        <f aca="false">IF(AND(AP190="Y",ISNUMBER(AO190)),AO190,0)</f>
        <v>0</v>
      </c>
      <c r="AT190" s="7" t="n">
        <f aca="false">IF(AS190&gt;0,AS190*AG190,0)</f>
        <v>0</v>
      </c>
      <c r="AU190" s="7" t="n">
        <f aca="false">IF(AS190&gt;0,AS190*AG190^2,0)</f>
        <v>0</v>
      </c>
      <c r="AV190" s="9" t="n">
        <f aca="false">IF(AS190&gt;0,AS190^2,0)</f>
        <v>0</v>
      </c>
      <c r="AW190" s="7" t="n">
        <f aca="false">IF(AS190&gt;0,AG190,0)</f>
        <v>0</v>
      </c>
      <c r="AX190" s="7" t="n">
        <f aca="false">IF(AS190&gt;0,AH190,1)</f>
        <v>1</v>
      </c>
    </row>
    <row r="191" customFormat="false" ht="15" hidden="false" customHeight="false" outlineLevel="0" collapsed="false">
      <c r="A191" s="5" t="s">
        <v>681</v>
      </c>
      <c r="B191" s="5" t="s">
        <v>660</v>
      </c>
      <c r="C191" s="5" t="s">
        <v>661</v>
      </c>
      <c r="D191" s="5" t="n">
        <v>2025</v>
      </c>
      <c r="E191" s="5" t="s">
        <v>158</v>
      </c>
      <c r="F191" s="5" t="s">
        <v>199</v>
      </c>
      <c r="G191" s="5" t="s">
        <v>160</v>
      </c>
      <c r="H191" s="5" t="s">
        <v>162</v>
      </c>
      <c r="I191" s="5"/>
      <c r="J191" s="5" t="s">
        <v>162</v>
      </c>
      <c r="K191" s="5" t="s">
        <v>163</v>
      </c>
      <c r="L191" s="5" t="s">
        <v>164</v>
      </c>
      <c r="M191" s="5"/>
      <c r="N191" s="5"/>
      <c r="O191" s="5" t="s">
        <v>162</v>
      </c>
      <c r="P191" s="6" t="s">
        <v>82</v>
      </c>
      <c r="Q191" s="6" t="s">
        <v>103</v>
      </c>
      <c r="R191" s="5"/>
      <c r="S191" s="6" t="s">
        <v>680</v>
      </c>
      <c r="T191" s="5"/>
      <c r="U191" s="6" t="s">
        <v>86</v>
      </c>
      <c r="V191" s="5" t="n">
        <v>20</v>
      </c>
      <c r="W191" s="5" t="n">
        <v>5.6</v>
      </c>
      <c r="X191" s="5" t="n">
        <v>1.66</v>
      </c>
      <c r="Y191" s="5" t="n">
        <v>21</v>
      </c>
      <c r="Z191" s="5" t="n">
        <v>4.9</v>
      </c>
      <c r="AA191" s="5" t="n">
        <v>1.41</v>
      </c>
      <c r="AB191" s="5" t="s">
        <v>99</v>
      </c>
      <c r="AC191" s="5"/>
      <c r="AD191" s="5" t="n">
        <v>1</v>
      </c>
      <c r="AE191" s="7" t="n">
        <f aca="false">IFERROR(IF(AB191="MSD",IF(COUNT(V191,W191,X191,Y191,Z191,AA191)&lt;6,"",(W191-Z191)/SQRT(((V191-1)*X191^2+(Y191-1)*AA191^2)/(V191+Y191-2))*AD191),IF(AB191="t",AC191*SQRT(1/V191+1/Y191)*AD191,IF(AB191="F",SQRT(AC191)*SQRT(1/V191+1/Y191)*AD191,IF(AB191="z",2*(AC191/SQRT(V191+Y191))/SQRT(1-(AC191/SQRT(V191+Y191))^2)*AD191,IF(AB191="t_paired",AC191/SQRT(V191)*AD191,""))))),"")</f>
        <v>0.455467245413042</v>
      </c>
      <c r="AF191" s="7" t="n">
        <f aca="false">IF(AE191="","",IF(AB191="t_paired",1-3/(4*(V191-1)-1),1-3/(4*(V191+Y191)-9)))</f>
        <v>0.980645161290323</v>
      </c>
      <c r="AG191" s="7" t="n">
        <f aca="false">IF(AE191="","",AE191*AF191)</f>
        <v>0.446651750340532</v>
      </c>
      <c r="AH191" s="7" t="n">
        <f aca="false">IF(AG191="","",IF(AB191="t_paired",1/V191+AG191^2/(2*V191),(V191+Y191)/(V191*Y191)+AG191^2/(2*(V191+Y191))))</f>
        <v>0.100051947449319</v>
      </c>
      <c r="AI191" s="7" t="n">
        <f aca="false">IF(AH191="","",SQRT(AH191))</f>
        <v>0.316309891481944</v>
      </c>
      <c r="AJ191" s="7" t="n">
        <f aca="false">IF(AI191="","",AG191-1.96*AI191)</f>
        <v>-0.173315636964078</v>
      </c>
      <c r="AK191" s="7" t="n">
        <f aca="false">IF(AI191="","",AG191+1.96*AI191)</f>
        <v>1.06661913764514</v>
      </c>
      <c r="AL191" s="7" t="n">
        <f aca="false">IF(AI191="","",AG191/AI191)</f>
        <v>1.41207013238797</v>
      </c>
      <c r="AM191" s="8" t="n">
        <f aca="false">IF(AL191="","",2*(1-NORMSDIST(ABS(AL191))))</f>
        <v>0.157929312080106</v>
      </c>
      <c r="AN191" s="9" t="n">
        <f aca="false">IF(COUNT(V191)=0,"",IF(AB191="t_paired",V191,V191+N(Y191)))</f>
        <v>41</v>
      </c>
      <c r="AO191" s="7" t="n">
        <f aca="false">IF(AH191="","",1/AH191)</f>
        <v>9.99480795220449</v>
      </c>
      <c r="AP191" s="5" t="s">
        <v>88</v>
      </c>
      <c r="AQ191" s="5" t="s">
        <v>210</v>
      </c>
      <c r="AR191" s="5"/>
      <c r="AS191" s="7" t="n">
        <f aca="false">IF(AND(AP191="Y",ISNUMBER(AO191)),AO191,0)</f>
        <v>9.99480795220449</v>
      </c>
      <c r="AT191" s="7" t="n">
        <f aca="false">IF(AS191&gt;0,AS191*AG191,0)</f>
        <v>4.4641984661696</v>
      </c>
      <c r="AU191" s="7" t="n">
        <f aca="false">IF(AS191&gt;0,AS191*AG191^2,0)</f>
        <v>1.99394205878217</v>
      </c>
      <c r="AV191" s="9" t="n">
        <f aca="false">IF(AS191&gt;0,AS191^2,0)</f>
        <v>99.8961860014501</v>
      </c>
      <c r="AW191" s="7" t="n">
        <f aca="false">IF(AS191&gt;0,AG191,0)</f>
        <v>0.446651750340532</v>
      </c>
      <c r="AX191" s="7" t="n">
        <f aca="false">IF(AS191&gt;0,AH191,1)</f>
        <v>0.100051947449319</v>
      </c>
    </row>
    <row r="192" customFormat="false" ht="15" hidden="false" customHeight="false" outlineLevel="0" collapsed="false">
      <c r="A192" s="5" t="s">
        <v>682</v>
      </c>
      <c r="B192" s="5" t="s">
        <v>683</v>
      </c>
      <c r="C192" s="5" t="s">
        <v>684</v>
      </c>
      <c r="D192" s="5" t="n">
        <v>2025</v>
      </c>
      <c r="E192" s="5" t="s">
        <v>685</v>
      </c>
      <c r="F192" s="5" t="s">
        <v>173</v>
      </c>
      <c r="G192" s="5" t="s">
        <v>438</v>
      </c>
      <c r="H192" s="5" t="s">
        <v>131</v>
      </c>
      <c r="I192" s="5" t="s">
        <v>188</v>
      </c>
      <c r="J192" s="5" t="s">
        <v>162</v>
      </c>
      <c r="K192" s="5" t="s">
        <v>163</v>
      </c>
      <c r="L192" s="5" t="s">
        <v>164</v>
      </c>
      <c r="M192" s="5"/>
      <c r="N192" s="5"/>
      <c r="O192" s="5" t="s">
        <v>162</v>
      </c>
      <c r="P192" s="11" t="s">
        <v>113</v>
      </c>
      <c r="Q192" s="11" t="s">
        <v>425</v>
      </c>
      <c r="R192" s="5"/>
      <c r="S192" s="11" t="s">
        <v>686</v>
      </c>
      <c r="T192" s="5"/>
      <c r="U192" s="11" t="s">
        <v>408</v>
      </c>
      <c r="V192" s="5" t="n">
        <v>30</v>
      </c>
      <c r="W192" s="5" t="n">
        <v>2.385</v>
      </c>
      <c r="X192" s="5" t="n">
        <v>3.508</v>
      </c>
      <c r="Y192" s="5" t="n">
        <v>30</v>
      </c>
      <c r="Z192" s="5" t="n">
        <v>5.434</v>
      </c>
      <c r="AA192" s="5" t="n">
        <v>8.985</v>
      </c>
      <c r="AB192" s="5" t="s">
        <v>99</v>
      </c>
      <c r="AC192" s="5"/>
      <c r="AD192" s="5" t="n">
        <v>1</v>
      </c>
      <c r="AE192" s="7" t="n">
        <f aca="false">IFERROR(IF(AB192="MSD",IF(COUNT(V192,W192,X192,Y192,Z192,AA192)&lt;6,"",(W192-Z192)/SQRT(((V192-1)*X192^2+(Y192-1)*AA192^2)/(V192+Y192-2))*AD192),IF(AB192="t",AC192*SQRT(1/V192+1/Y192)*AD192,IF(AB192="F",SQRT(AC192)*SQRT(1/V192+1/Y192)*AD192,IF(AB192="z",2*(AC192/SQRT(V192+Y192))/SQRT(1-(AC192/SQRT(V192+Y192))^2)*AD192,IF(AB192="t_paired",AC192/SQRT(V192)*AD192,""))))),"")</f>
        <v>-0.447039843771803</v>
      </c>
      <c r="AF192" s="7" t="n">
        <f aca="false">IF(AE192="","",IF(AB192="t_paired",1-3/(4*(V192-1)-1),1-3/(4*(V192+Y192)-9)))</f>
        <v>0.987012987012987</v>
      </c>
      <c r="AG192" s="7" t="n">
        <f aca="false">IF(AE192="","",AE192*AF192)</f>
        <v>-0.441234131515026</v>
      </c>
      <c r="AH192" s="7" t="n">
        <f aca="false">IF(AG192="","",IF(AB192="t_paired",1/V192+AG192^2/(2*V192),(V192+Y192)/(V192*Y192)+AG192^2/(2*(V192+Y192))))</f>
        <v>0.0682890629901152</v>
      </c>
      <c r="AI192" s="7" t="n">
        <f aca="false">IF(AH192="","",SQRT(AH192))</f>
        <v>0.261321761417061</v>
      </c>
      <c r="AJ192" s="7" t="n">
        <f aca="false">IF(AI192="","",AG192-1.96*AI192)</f>
        <v>-0.953424783892465</v>
      </c>
      <c r="AK192" s="7" t="n">
        <f aca="false">IF(AI192="","",AG192+1.96*AI192)</f>
        <v>0.0709565208624127</v>
      </c>
      <c r="AL192" s="7" t="n">
        <f aca="false">IF(AI192="","",AG192/AI192)</f>
        <v>-1.68847067738393</v>
      </c>
      <c r="AM192" s="8" t="n">
        <f aca="false">IF(AL192="","",2*(1-NORMSDIST(ABS(AL192))))</f>
        <v>0.0913209131531292</v>
      </c>
      <c r="AN192" s="9" t="n">
        <f aca="false">IF(COUNT(V192)=0,"",IF(AB192="t_paired",V192,V192+N(Y192)))</f>
        <v>60</v>
      </c>
      <c r="AO192" s="7" t="n">
        <f aca="false">IF(AH192="","",1/AH192)</f>
        <v>14.6436333464518</v>
      </c>
      <c r="AP192" s="5" t="s">
        <v>100</v>
      </c>
      <c r="AQ192" s="5" t="s">
        <v>441</v>
      </c>
      <c r="AR192" s="5"/>
      <c r="AS192" s="9" t="n">
        <f aca="false">IF(AND(AP192="Y",ISNUMBER(AO192)),AO192,0)</f>
        <v>0</v>
      </c>
      <c r="AT192" s="7" t="n">
        <f aca="false">IF(AS192&gt;0,AS192*AG192,0)</f>
        <v>0</v>
      </c>
      <c r="AU192" s="7" t="n">
        <f aca="false">IF(AS192&gt;0,AS192*AG192^2,0)</f>
        <v>0</v>
      </c>
      <c r="AV192" s="9" t="n">
        <f aca="false">IF(AS192&gt;0,AS192^2,0)</f>
        <v>0</v>
      </c>
      <c r="AW192" s="7" t="n">
        <f aca="false">IF(AS192&gt;0,AG192,0)</f>
        <v>0</v>
      </c>
      <c r="AX192" s="7" t="n">
        <f aca="false">IF(AS192&gt;0,AH192,1)</f>
        <v>1</v>
      </c>
    </row>
    <row r="193" customFormat="false" ht="15" hidden="false" customHeight="false" outlineLevel="0" collapsed="false">
      <c r="A193" s="5" t="s">
        <v>687</v>
      </c>
      <c r="B193" s="5" t="s">
        <v>688</v>
      </c>
      <c r="C193" s="5" t="s">
        <v>689</v>
      </c>
      <c r="D193" s="5" t="n">
        <v>2025</v>
      </c>
      <c r="E193" s="5" t="s">
        <v>158</v>
      </c>
      <c r="F193" s="5" t="s">
        <v>173</v>
      </c>
      <c r="G193" s="5" t="s">
        <v>187</v>
      </c>
      <c r="H193" s="5" t="s">
        <v>131</v>
      </c>
      <c r="I193" s="5" t="s">
        <v>188</v>
      </c>
      <c r="J193" s="5" t="s">
        <v>189</v>
      </c>
      <c r="K193" s="5" t="s">
        <v>163</v>
      </c>
      <c r="L193" s="5" t="s">
        <v>164</v>
      </c>
      <c r="M193" s="5"/>
      <c r="N193" s="5"/>
      <c r="O193" s="5" t="s">
        <v>261</v>
      </c>
      <c r="P193" s="10" t="s">
        <v>113</v>
      </c>
      <c r="Q193" s="10" t="s">
        <v>114</v>
      </c>
      <c r="R193" s="5" t="s">
        <v>125</v>
      </c>
      <c r="S193" s="10" t="s">
        <v>114</v>
      </c>
      <c r="T193" s="5" t="s">
        <v>690</v>
      </c>
      <c r="U193" s="10" t="s">
        <v>98</v>
      </c>
      <c r="V193" s="5" t="n">
        <v>271</v>
      </c>
      <c r="W193" s="5" t="n">
        <v>6.11</v>
      </c>
      <c r="X193" s="5" t="n">
        <v>0.94</v>
      </c>
      <c r="Y193" s="5" t="n">
        <v>295</v>
      </c>
      <c r="Z193" s="5" t="n">
        <v>5.96</v>
      </c>
      <c r="AA193" s="5" t="n">
        <v>1.09</v>
      </c>
      <c r="AB193" s="5" t="s">
        <v>99</v>
      </c>
      <c r="AC193" s="5"/>
      <c r="AD193" s="5" t="n">
        <v>1</v>
      </c>
      <c r="AE193" s="7" t="n">
        <f aca="false">IFERROR(IF(AB193="MSD",IF(COUNT(V193,W193,X193,Y193,Z193,AA193)&lt;6,"",(W193-Z193)/SQRT(((V193-1)*X193^2+(Y193-1)*AA193^2)/(V193+Y193-2))*AD193),IF(AB193="t",AC193*SQRT(1/V193+1/Y193)*AD193,IF(AB193="F",SQRT(AC193)*SQRT(1/V193+1/Y193)*AD193,IF(AB193="z",2*(AC193/SQRT(V193+Y193))/SQRT(1-(AC193/SQRT(V193+Y193))^2)*AD193,IF(AB193="t_paired",AC193/SQRT(V193)*AD193,""))))),"")</f>
        <v>0.146922701824372</v>
      </c>
      <c r="AF193" s="7" t="n">
        <f aca="false">IF(AE193="","",IF(AB193="t_paired",1-3/(4*(V193-1)-1),1-3/(4*(V193+Y193)-9)))</f>
        <v>0.998669623059867</v>
      </c>
      <c r="AG193" s="7" t="n">
        <f aca="false">IF(AE193="","",AE193*AF193)</f>
        <v>0.146727239249883</v>
      </c>
      <c r="AH193" s="7" t="n">
        <f aca="false">IF(AG193="","",IF(AB193="t_paired",1/V193+AG193^2/(2*V193),(V193+Y193)/(V193*Y193)+AG193^2/(2*(V193+Y193))))</f>
        <v>0.0070988858564919</v>
      </c>
      <c r="AI193" s="7" t="n">
        <f aca="false">IF(AH193="","",SQRT(AH193))</f>
        <v>0.0842548862469821</v>
      </c>
      <c r="AJ193" s="7" t="n">
        <f aca="false">IF(AI193="","",AG193-1.96*AI193)</f>
        <v>-0.0184123377942023</v>
      </c>
      <c r="AK193" s="7" t="n">
        <f aca="false">IF(AI193="","",AG193+1.96*AI193)</f>
        <v>0.311866816293968</v>
      </c>
      <c r="AL193" s="7" t="n">
        <f aca="false">IF(AI193="","",AG193/AI193)</f>
        <v>1.74146860539068</v>
      </c>
      <c r="AM193" s="8" t="n">
        <f aca="false">IF(AL193="","",2*(1-NORMSDIST(ABS(AL193))))</f>
        <v>0.0816014716886797</v>
      </c>
      <c r="AN193" s="9" t="n">
        <f aca="false">IF(COUNT(V193)=0,"",IF(AB193="t_paired",V193,V193+N(Y193)))</f>
        <v>566</v>
      </c>
      <c r="AO193" s="7" t="n">
        <f aca="false">IF(AH193="","",1/AH193)</f>
        <v>140.867175528045</v>
      </c>
      <c r="AP193" s="5" t="s">
        <v>100</v>
      </c>
      <c r="AQ193" s="5" t="s">
        <v>227</v>
      </c>
      <c r="AR193" s="5"/>
      <c r="AS193" s="9" t="n">
        <f aca="false">IF(AND(AP193="Y",ISNUMBER(AO193)),AO193,0)</f>
        <v>0</v>
      </c>
      <c r="AT193" s="7" t="n">
        <f aca="false">IF(AS193&gt;0,AS193*AG193,0)</f>
        <v>0</v>
      </c>
      <c r="AU193" s="7" t="n">
        <f aca="false">IF(AS193&gt;0,AS193*AG193^2,0)</f>
        <v>0</v>
      </c>
      <c r="AV193" s="9" t="n">
        <f aca="false">IF(AS193&gt;0,AS193^2,0)</f>
        <v>0</v>
      </c>
      <c r="AW193" s="7" t="n">
        <f aca="false">IF(AS193&gt;0,AG193,0)</f>
        <v>0</v>
      </c>
      <c r="AX193" s="7" t="n">
        <f aca="false">IF(AS193&gt;0,AH193,1)</f>
        <v>1</v>
      </c>
    </row>
    <row r="194" customFormat="false" ht="15" hidden="false" customHeight="false" outlineLevel="0" collapsed="false">
      <c r="A194" s="5" t="s">
        <v>691</v>
      </c>
      <c r="B194" s="5" t="s">
        <v>688</v>
      </c>
      <c r="C194" s="5" t="s">
        <v>689</v>
      </c>
      <c r="D194" s="5" t="n">
        <v>2025</v>
      </c>
      <c r="E194" s="5" t="s">
        <v>158</v>
      </c>
      <c r="F194" s="5" t="s">
        <v>173</v>
      </c>
      <c r="G194" s="5" t="s">
        <v>187</v>
      </c>
      <c r="H194" s="5" t="s">
        <v>131</v>
      </c>
      <c r="I194" s="5" t="s">
        <v>188</v>
      </c>
      <c r="J194" s="5" t="s">
        <v>189</v>
      </c>
      <c r="K194" s="5" t="s">
        <v>163</v>
      </c>
      <c r="L194" s="5" t="s">
        <v>164</v>
      </c>
      <c r="M194" s="5"/>
      <c r="N194" s="5"/>
      <c r="O194" s="5" t="s">
        <v>261</v>
      </c>
      <c r="P194" s="11" t="s">
        <v>113</v>
      </c>
      <c r="Q194" s="11" t="s">
        <v>114</v>
      </c>
      <c r="R194" s="5" t="s">
        <v>125</v>
      </c>
      <c r="S194" s="11" t="s">
        <v>114</v>
      </c>
      <c r="T194" s="5" t="s">
        <v>690</v>
      </c>
      <c r="U194" s="11" t="s">
        <v>86</v>
      </c>
      <c r="V194" s="5" t="n">
        <v>236</v>
      </c>
      <c r="W194" s="5" t="n">
        <v>5.92</v>
      </c>
      <c r="X194" s="5" t="n">
        <v>0.97</v>
      </c>
      <c r="Y194" s="5" t="n">
        <v>258</v>
      </c>
      <c r="Z194" s="5" t="n">
        <v>5.74</v>
      </c>
      <c r="AA194" s="5" t="n">
        <v>1.1</v>
      </c>
      <c r="AB194" s="5" t="s">
        <v>99</v>
      </c>
      <c r="AC194" s="5"/>
      <c r="AD194" s="5" t="n">
        <v>1</v>
      </c>
      <c r="AE194" s="7" t="n">
        <f aca="false">IFERROR(IF(AB194="MSD",IF(COUNT(V194,W194,X194,Y194,Z194,AA194)&lt;6,"",(W194-Z194)/SQRT(((V194-1)*X194^2+(Y194-1)*AA194^2)/(V194+Y194-2))*AD194),IF(AB194="t",AC194*SQRT(1/V194+1/Y194)*AD194,IF(AB194="F",SQRT(AC194)*SQRT(1/V194+1/Y194)*AD194,IF(AB194="z",2*(AC194/SQRT(V194+Y194))/SQRT(1-(AC194/SQRT(V194+Y194))^2)*AD194,IF(AB194="t_paired",AC194/SQRT(V194)*AD194,""))))),"")</f>
        <v>0.173087608284779</v>
      </c>
      <c r="AF194" s="7" t="n">
        <f aca="false">IF(AE194="","",IF(AB194="t_paired",1-3/(4*(V194-1)-1),1-3/(4*(V194+Y194)-9)))</f>
        <v>0.998474834773767</v>
      </c>
      <c r="AG194" s="7" t="n">
        <f aca="false">IF(AE194="","",AE194*AF194)</f>
        <v>0.172823621083531</v>
      </c>
      <c r="AH194" s="7" t="n">
        <f aca="false">IF(AG194="","",IF(AB194="t_paired",1/V194+AG194^2/(2*V194),(V194+Y194)/(V194*Y194)+AG194^2/(2*(V194+Y194))))</f>
        <v>0.00814348790112511</v>
      </c>
      <c r="AI194" s="7" t="n">
        <f aca="false">IF(AH194="","",SQRT(AH194))</f>
        <v>0.0902412760388788</v>
      </c>
      <c r="AJ194" s="7" t="n">
        <f aca="false">IF(AI194="","",AG194-1.96*AI194)</f>
        <v>-0.00404927995267113</v>
      </c>
      <c r="AK194" s="7" t="n">
        <f aca="false">IF(AI194="","",AG194+1.96*AI194)</f>
        <v>0.349696522119734</v>
      </c>
      <c r="AL194" s="7" t="n">
        <f aca="false">IF(AI194="","",AG194/AI194)</f>
        <v>1.91512829460738</v>
      </c>
      <c r="AM194" s="8" t="n">
        <f aca="false">IF(AL194="","",2*(1-NORMSDIST(ABS(AL194))))</f>
        <v>0.0554761442124363</v>
      </c>
      <c r="AN194" s="9" t="n">
        <f aca="false">IF(COUNT(V194)=0,"",IF(AB194="t_paired",V194,V194+N(Y194)))</f>
        <v>494</v>
      </c>
      <c r="AO194" s="7" t="n">
        <f aca="false">IF(AH194="","",1/AH194)</f>
        <v>122.797505459772</v>
      </c>
      <c r="AP194" s="5" t="s">
        <v>88</v>
      </c>
      <c r="AQ194" s="5" t="s">
        <v>227</v>
      </c>
      <c r="AR194" s="5"/>
      <c r="AS194" s="7" t="n">
        <f aca="false">IF(AND(AP194="Y",ISNUMBER(AO194)),AO194,0)</f>
        <v>122.797505459772</v>
      </c>
      <c r="AT194" s="7" t="n">
        <f aca="false">IF(AS194&gt;0,AS194*AG194,0)</f>
        <v>21.2223095535825</v>
      </c>
      <c r="AU194" s="7" t="n">
        <f aca="false">IF(AS194&gt;0,AS194*AG194^2,0)</f>
        <v>3.66771638480575</v>
      </c>
      <c r="AV194" s="9" t="n">
        <f aca="false">IF(AS194&gt;0,AS194^2,0)</f>
        <v>15079.2273471428</v>
      </c>
      <c r="AW194" s="7" t="n">
        <f aca="false">IF(AS194&gt;0,AG194,0)</f>
        <v>0.172823621083531</v>
      </c>
      <c r="AX194" s="7" t="n">
        <f aca="false">IF(AS194&gt;0,AH194,1)</f>
        <v>0.00814348790112511</v>
      </c>
    </row>
    <row r="195" customFormat="false" ht="15" hidden="false" customHeight="false" outlineLevel="0" collapsed="false">
      <c r="A195" s="5" t="s">
        <v>692</v>
      </c>
      <c r="B195" s="5" t="s">
        <v>693</v>
      </c>
      <c r="C195" s="5" t="s">
        <v>694</v>
      </c>
      <c r="D195" s="5" t="n">
        <v>2025</v>
      </c>
      <c r="E195" s="5" t="s">
        <v>221</v>
      </c>
      <c r="F195" s="5" t="s">
        <v>173</v>
      </c>
      <c r="G195" s="5" t="s">
        <v>395</v>
      </c>
      <c r="H195" s="5" t="s">
        <v>131</v>
      </c>
      <c r="I195" s="5" t="s">
        <v>188</v>
      </c>
      <c r="J195" s="5" t="s">
        <v>189</v>
      </c>
      <c r="K195" s="5" t="s">
        <v>163</v>
      </c>
      <c r="L195" s="5" t="s">
        <v>164</v>
      </c>
      <c r="M195" s="5"/>
      <c r="N195" s="5"/>
      <c r="O195" s="5" t="s">
        <v>190</v>
      </c>
      <c r="P195" s="10" t="s">
        <v>113</v>
      </c>
      <c r="Q195" s="10" t="s">
        <v>114</v>
      </c>
      <c r="R195" s="5" t="s">
        <v>125</v>
      </c>
      <c r="S195" s="10" t="s">
        <v>235</v>
      </c>
      <c r="T195" s="5"/>
      <c r="U195" s="10" t="s">
        <v>98</v>
      </c>
      <c r="V195" s="5" t="n">
        <v>31</v>
      </c>
      <c r="W195" s="5" t="n">
        <v>3.398</v>
      </c>
      <c r="X195" s="5" t="n">
        <v>0.747</v>
      </c>
      <c r="Y195" s="5" t="n">
        <v>30</v>
      </c>
      <c r="Z195" s="5" t="n">
        <v>3.333</v>
      </c>
      <c r="AA195" s="5" t="n">
        <v>0.967</v>
      </c>
      <c r="AB195" s="5" t="s">
        <v>99</v>
      </c>
      <c r="AC195" s="5"/>
      <c r="AD195" s="5" t="n">
        <v>1</v>
      </c>
      <c r="AE195" s="7" t="n">
        <f aca="false">IFERROR(IF(AB195="MSD",IF(COUNT(V195,W195,X195,Y195,Z195,AA195)&lt;6,"",(W195-Z195)/SQRT(((V195-1)*X195^2+(Y195-1)*AA195^2)/(V195+Y195-2))*AD195),IF(AB195="t",AC195*SQRT(1/V195+1/Y195)*AD195,IF(AB195="F",SQRT(AC195)*SQRT(1/V195+1/Y195)*AD195,IF(AB195="z",2*(AC195/SQRT(V195+Y195))/SQRT(1-(AC195/SQRT(V195+Y195))^2)*AD195,IF(AB195="t_paired",AC195/SQRT(V195)*AD195,""))))),"")</f>
        <v>0.075390337682685</v>
      </c>
      <c r="AF195" s="7" t="n">
        <f aca="false">IF(AE195="","",IF(AB195="t_paired",1-3/(4*(V195-1)-1),1-3/(4*(V195+Y195)-9)))</f>
        <v>0.987234042553192</v>
      </c>
      <c r="AG195" s="7" t="n">
        <f aca="false">IF(AE195="","",AE195*AF195)</f>
        <v>0.0744279078399273</v>
      </c>
      <c r="AH195" s="7" t="n">
        <f aca="false">IF(AG195="","",IF(AB195="t_paired",1/V195+AG195^2/(2*V195),(V195+Y195)/(V195*Y195)+AG195^2/(2*(V195+Y195))))</f>
        <v>0.0656368036975397</v>
      </c>
      <c r="AI195" s="7" t="n">
        <f aca="false">IF(AH195="","",SQRT(AH195))</f>
        <v>0.256196806571705</v>
      </c>
      <c r="AJ195" s="7" t="n">
        <f aca="false">IF(AI195="","",AG195-1.96*AI195)</f>
        <v>-0.427717833040615</v>
      </c>
      <c r="AK195" s="7" t="n">
        <f aca="false">IF(AI195="","",AG195+1.96*AI195)</f>
        <v>0.576573648720469</v>
      </c>
      <c r="AL195" s="7" t="n">
        <f aca="false">IF(AI195="","",AG195/AI195)</f>
        <v>0.290510677458801</v>
      </c>
      <c r="AM195" s="8" t="n">
        <f aca="false">IF(AL195="","",2*(1-NORMSDIST(ABS(AL195))))</f>
        <v>0.771425583409391</v>
      </c>
      <c r="AN195" s="9" t="n">
        <f aca="false">IF(COUNT(V195)=0,"",IF(AB195="t_paired",V195,V195+N(Y195)))</f>
        <v>61</v>
      </c>
      <c r="AO195" s="7" t="n">
        <f aca="false">IF(AH195="","",1/AH195)</f>
        <v>15.2353549177698</v>
      </c>
      <c r="AP195" s="5" t="s">
        <v>100</v>
      </c>
      <c r="AQ195" s="5" t="s">
        <v>227</v>
      </c>
      <c r="AR195" s="5"/>
      <c r="AS195" s="9" t="n">
        <f aca="false">IF(AND(AP195="Y",ISNUMBER(AO195)),AO195,0)</f>
        <v>0</v>
      </c>
      <c r="AT195" s="7" t="n">
        <f aca="false">IF(AS195&gt;0,AS195*AG195,0)</f>
        <v>0</v>
      </c>
      <c r="AU195" s="7" t="n">
        <f aca="false">IF(AS195&gt;0,AS195*AG195^2,0)</f>
        <v>0</v>
      </c>
      <c r="AV195" s="9" t="n">
        <f aca="false">IF(AS195&gt;0,AS195^2,0)</f>
        <v>0</v>
      </c>
      <c r="AW195" s="7" t="n">
        <f aca="false">IF(AS195&gt;0,AG195,0)</f>
        <v>0</v>
      </c>
      <c r="AX195" s="7" t="n">
        <f aca="false">IF(AS195&gt;0,AH195,1)</f>
        <v>1</v>
      </c>
    </row>
    <row r="196" customFormat="false" ht="15" hidden="false" customHeight="false" outlineLevel="0" collapsed="false">
      <c r="A196" s="5" t="s">
        <v>695</v>
      </c>
      <c r="B196" s="5" t="s">
        <v>693</v>
      </c>
      <c r="C196" s="5" t="s">
        <v>694</v>
      </c>
      <c r="D196" s="5" t="n">
        <v>2025</v>
      </c>
      <c r="E196" s="5" t="s">
        <v>221</v>
      </c>
      <c r="F196" s="5" t="s">
        <v>173</v>
      </c>
      <c r="G196" s="5" t="s">
        <v>395</v>
      </c>
      <c r="H196" s="5" t="s">
        <v>131</v>
      </c>
      <c r="I196" s="5" t="s">
        <v>188</v>
      </c>
      <c r="J196" s="5" t="s">
        <v>189</v>
      </c>
      <c r="K196" s="5" t="s">
        <v>163</v>
      </c>
      <c r="L196" s="5" t="s">
        <v>164</v>
      </c>
      <c r="M196" s="5"/>
      <c r="N196" s="5"/>
      <c r="O196" s="5" t="s">
        <v>190</v>
      </c>
      <c r="P196" s="11" t="s">
        <v>113</v>
      </c>
      <c r="Q196" s="11" t="s">
        <v>114</v>
      </c>
      <c r="R196" s="5" t="s">
        <v>125</v>
      </c>
      <c r="S196" s="11" t="s">
        <v>235</v>
      </c>
      <c r="T196" s="5"/>
      <c r="U196" s="11" t="s">
        <v>86</v>
      </c>
      <c r="V196" s="5" t="n">
        <v>31</v>
      </c>
      <c r="W196" s="5" t="n">
        <v>3.71</v>
      </c>
      <c r="X196" s="5" t="n">
        <v>0.596</v>
      </c>
      <c r="Y196" s="5" t="n">
        <v>30</v>
      </c>
      <c r="Z196" s="5" t="n">
        <v>3.272</v>
      </c>
      <c r="AA196" s="5" t="n">
        <v>0.817</v>
      </c>
      <c r="AB196" s="5" t="s">
        <v>99</v>
      </c>
      <c r="AC196" s="5"/>
      <c r="AD196" s="5" t="n">
        <v>1</v>
      </c>
      <c r="AE196" s="7" t="n">
        <f aca="false">IFERROR(IF(AB196="MSD",IF(COUNT(V196,W196,X196,Y196,Z196,AA196)&lt;6,"",(W196-Z196)/SQRT(((V196-1)*X196^2+(Y196-1)*AA196^2)/(V196+Y196-2))*AD196),IF(AB196="t",AC196*SQRT(1/V196+1/Y196)*AD196,IF(AB196="F",SQRT(AC196)*SQRT(1/V196+1/Y196)*AD196,IF(AB196="z",2*(AC196/SQRT(V196+Y196))/SQRT(1-(AC196/SQRT(V196+Y196))^2)*AD196,IF(AB196="t_paired",AC196/SQRT(V196)*AD196,""))))),"")</f>
        <v>0.614102166949944</v>
      </c>
      <c r="AF196" s="7" t="n">
        <f aca="false">IF(AE196="","",IF(AB196="t_paired",1-3/(4*(V196-1)-1),1-3/(4*(V196+Y196)-9)))</f>
        <v>0.987234042553192</v>
      </c>
      <c r="AG196" s="7" t="n">
        <f aca="false">IF(AE196="","",AE196*AF196)</f>
        <v>0.606262564818668</v>
      </c>
      <c r="AH196" s="7" t="n">
        <f aca="false">IF(AG196="","",IF(AB196="t_paired",1/V196+AG196^2/(2*V196),(V196+Y196)/(V196*Y196)+AG196^2/(2*(V196+Y196))))</f>
        <v>0.0686041379929092</v>
      </c>
      <c r="AI196" s="7" t="n">
        <f aca="false">IF(AH196="","",SQRT(AH196))</f>
        <v>0.261923916420225</v>
      </c>
      <c r="AJ196" s="7" t="n">
        <f aca="false">IF(AI196="","",AG196-1.96*AI196)</f>
        <v>0.0928916886350264</v>
      </c>
      <c r="AK196" s="7" t="n">
        <f aca="false">IF(AI196="","",AG196+1.96*AI196)</f>
        <v>1.11963344100231</v>
      </c>
      <c r="AL196" s="7" t="n">
        <f aca="false">IF(AI196="","",AG196/AI196)</f>
        <v>2.31465141902503</v>
      </c>
      <c r="AM196" s="8" t="n">
        <f aca="false">IF(AL196="","",2*(1-NORMSDIST(ABS(AL196))))</f>
        <v>0.0206320164493239</v>
      </c>
      <c r="AN196" s="9" t="n">
        <f aca="false">IF(COUNT(V196)=0,"",IF(AB196="t_paired",V196,V196+N(Y196)))</f>
        <v>61</v>
      </c>
      <c r="AO196" s="7" t="n">
        <f aca="false">IF(AH196="","",1/AH196)</f>
        <v>14.5763802192713</v>
      </c>
      <c r="AP196" s="5" t="s">
        <v>88</v>
      </c>
      <c r="AQ196" s="5" t="s">
        <v>227</v>
      </c>
      <c r="AR196" s="5"/>
      <c r="AS196" s="7" t="n">
        <f aca="false">IF(AND(AP196="Y",ISNUMBER(AO196)),AO196,0)</f>
        <v>14.5763802192713</v>
      </c>
      <c r="AT196" s="7" t="n">
        <f aca="false">IF(AS196&gt;0,AS196*AG196,0)</f>
        <v>8.83711365750752</v>
      </c>
      <c r="AU196" s="7" t="n">
        <f aca="false">IF(AS196&gt;0,AS196*AG196^2,0)</f>
        <v>5.35761119159459</v>
      </c>
      <c r="AV196" s="9" t="n">
        <f aca="false">IF(AS196&gt;0,AS196^2,0)</f>
        <v>212.470860296764</v>
      </c>
      <c r="AW196" s="7" t="n">
        <f aca="false">IF(AS196&gt;0,AG196,0)</f>
        <v>0.606262564818668</v>
      </c>
      <c r="AX196" s="7" t="n">
        <f aca="false">IF(AS196&gt;0,AH196,1)</f>
        <v>0.0686041379929092</v>
      </c>
    </row>
    <row r="197" customFormat="false" ht="15" hidden="false" customHeight="false" outlineLevel="0" collapsed="false">
      <c r="A197" s="5" t="s">
        <v>696</v>
      </c>
      <c r="B197" s="5" t="s">
        <v>693</v>
      </c>
      <c r="C197" s="5" t="s">
        <v>694</v>
      </c>
      <c r="D197" s="5" t="n">
        <v>2025</v>
      </c>
      <c r="E197" s="5" t="s">
        <v>221</v>
      </c>
      <c r="F197" s="5" t="s">
        <v>173</v>
      </c>
      <c r="G197" s="5" t="s">
        <v>395</v>
      </c>
      <c r="H197" s="5" t="s">
        <v>131</v>
      </c>
      <c r="I197" s="5" t="s">
        <v>188</v>
      </c>
      <c r="J197" s="5" t="s">
        <v>189</v>
      </c>
      <c r="K197" s="5" t="s">
        <v>163</v>
      </c>
      <c r="L197" s="5" t="s">
        <v>164</v>
      </c>
      <c r="M197" s="5"/>
      <c r="N197" s="5"/>
      <c r="O197" s="5" t="s">
        <v>190</v>
      </c>
      <c r="P197" s="10" t="s">
        <v>113</v>
      </c>
      <c r="Q197" s="10" t="s">
        <v>425</v>
      </c>
      <c r="R197" s="5"/>
      <c r="S197" s="10" t="s">
        <v>697</v>
      </c>
      <c r="T197" s="5"/>
      <c r="U197" s="10" t="s">
        <v>98</v>
      </c>
      <c r="V197" s="5" t="n">
        <v>31</v>
      </c>
      <c r="W197" s="5" t="n">
        <v>3.642</v>
      </c>
      <c r="X197" s="5" t="n">
        <v>0.391</v>
      </c>
      <c r="Y197" s="5" t="n">
        <v>30</v>
      </c>
      <c r="Z197" s="5" t="n">
        <v>3.78</v>
      </c>
      <c r="AA197" s="5" t="n">
        <v>0.505</v>
      </c>
      <c r="AB197" s="5" t="s">
        <v>99</v>
      </c>
      <c r="AC197" s="5"/>
      <c r="AD197" s="5" t="n">
        <v>1</v>
      </c>
      <c r="AE197" s="7" t="n">
        <f aca="false">IFERROR(IF(AB197="MSD",IF(COUNT(V197,W197,X197,Y197,Z197,AA197)&lt;6,"",(W197-Z197)/SQRT(((V197-1)*X197^2+(Y197-1)*AA197^2)/(V197+Y197-2))*AD197),IF(AB197="t",AC197*SQRT(1/V197+1/Y197)*AD197,IF(AB197="F",SQRT(AC197)*SQRT(1/V197+1/Y197)*AD197,IF(AB197="z",2*(AC197/SQRT(V197+Y197))/SQRT(1-(AC197/SQRT(V197+Y197))^2)*AD197,IF(AB197="t_paired",AC197/SQRT(V197)*AD197,""))))),"")</f>
        <v>-0.306222872176001</v>
      </c>
      <c r="AF197" s="7" t="n">
        <f aca="false">IF(AE197="","",IF(AB197="t_paired",1-3/(4*(V197-1)-1),1-3/(4*(V197+Y197)-9)))</f>
        <v>0.987234042553192</v>
      </c>
      <c r="AG197" s="7" t="n">
        <f aca="false">IF(AE197="","",AE197*AF197)</f>
        <v>-0.302313644020562</v>
      </c>
      <c r="AH197" s="7" t="n">
        <f aca="false">IF(AG197="","",IF(AB197="t_paired",1/V197+AG197^2/(2*V197),(V197+Y197)/(V197*Y197)+AG197^2/(2*(V197+Y197))))</f>
        <v>0.0663405252212738</v>
      </c>
      <c r="AI197" s="7" t="n">
        <f aca="false">IF(AH197="","",SQRT(AH197))</f>
        <v>0.257566545229138</v>
      </c>
      <c r="AJ197" s="7" t="n">
        <f aca="false">IF(AI197="","",AG197-1.96*AI197)</f>
        <v>-0.807144072669674</v>
      </c>
      <c r="AK197" s="7" t="n">
        <f aca="false">IF(AI197="","",AG197+1.96*AI197)</f>
        <v>0.202516784628549</v>
      </c>
      <c r="AL197" s="7" t="n">
        <f aca="false">IF(AI197="","",AG197/AI197)</f>
        <v>-1.17373024416512</v>
      </c>
      <c r="AM197" s="8" t="n">
        <f aca="false">IF(AL197="","",2*(1-NORMSDIST(ABS(AL197))))</f>
        <v>0.240503092065703</v>
      </c>
      <c r="AN197" s="9" t="n">
        <f aca="false">IF(COUNT(V197)=0,"",IF(AB197="t_paired",V197,V197+N(Y197)))</f>
        <v>61</v>
      </c>
      <c r="AO197" s="7" t="n">
        <f aca="false">IF(AH197="","",1/AH197)</f>
        <v>15.073742582902</v>
      </c>
      <c r="AP197" s="5" t="s">
        <v>100</v>
      </c>
      <c r="AQ197" s="5" t="s">
        <v>210</v>
      </c>
      <c r="AR197" s="5"/>
      <c r="AS197" s="9" t="n">
        <f aca="false">IF(AND(AP197="Y",ISNUMBER(AO197)),AO197,0)</f>
        <v>0</v>
      </c>
      <c r="AT197" s="7" t="n">
        <f aca="false">IF(AS197&gt;0,AS197*AG197,0)</f>
        <v>0</v>
      </c>
      <c r="AU197" s="7" t="n">
        <f aca="false">IF(AS197&gt;0,AS197*AG197^2,0)</f>
        <v>0</v>
      </c>
      <c r="AV197" s="9" t="n">
        <f aca="false">IF(AS197&gt;0,AS197^2,0)</f>
        <v>0</v>
      </c>
      <c r="AW197" s="7" t="n">
        <f aca="false">IF(AS197&gt;0,AG197,0)</f>
        <v>0</v>
      </c>
      <c r="AX197" s="7" t="n">
        <f aca="false">IF(AS197&gt;0,AH197,1)</f>
        <v>1</v>
      </c>
    </row>
    <row r="198" customFormat="false" ht="15" hidden="false" customHeight="false" outlineLevel="0" collapsed="false">
      <c r="A198" s="5" t="s">
        <v>698</v>
      </c>
      <c r="B198" s="5" t="s">
        <v>693</v>
      </c>
      <c r="C198" s="5" t="s">
        <v>694</v>
      </c>
      <c r="D198" s="5" t="n">
        <v>2025</v>
      </c>
      <c r="E198" s="5" t="s">
        <v>221</v>
      </c>
      <c r="F198" s="5" t="s">
        <v>173</v>
      </c>
      <c r="G198" s="5" t="s">
        <v>395</v>
      </c>
      <c r="H198" s="5" t="s">
        <v>131</v>
      </c>
      <c r="I198" s="5" t="s">
        <v>188</v>
      </c>
      <c r="J198" s="5" t="s">
        <v>189</v>
      </c>
      <c r="K198" s="5" t="s">
        <v>163</v>
      </c>
      <c r="L198" s="5" t="s">
        <v>164</v>
      </c>
      <c r="M198" s="5"/>
      <c r="N198" s="5"/>
      <c r="O198" s="5" t="s">
        <v>190</v>
      </c>
      <c r="P198" s="11" t="s">
        <v>113</v>
      </c>
      <c r="Q198" s="11" t="s">
        <v>425</v>
      </c>
      <c r="R198" s="5"/>
      <c r="S198" s="11" t="s">
        <v>697</v>
      </c>
      <c r="T198" s="5"/>
      <c r="U198" s="11" t="s">
        <v>86</v>
      </c>
      <c r="V198" s="5" t="n">
        <v>31</v>
      </c>
      <c r="W198" s="5" t="n">
        <v>3.881</v>
      </c>
      <c r="X198" s="5" t="n">
        <v>0.372</v>
      </c>
      <c r="Y198" s="5" t="n">
        <v>30</v>
      </c>
      <c r="Z198" s="5" t="n">
        <v>3.67</v>
      </c>
      <c r="AA198" s="5" t="n">
        <v>0.353</v>
      </c>
      <c r="AB198" s="5" t="s">
        <v>99</v>
      </c>
      <c r="AC198" s="5"/>
      <c r="AD198" s="5" t="n">
        <v>1</v>
      </c>
      <c r="AE198" s="7" t="n">
        <f aca="false">IFERROR(IF(AB198="MSD",IF(COUNT(V198,W198,X198,Y198,Z198,AA198)&lt;6,"",(W198-Z198)/SQRT(((V198-1)*X198^2+(Y198-1)*AA198^2)/(V198+Y198-2))*AD198),IF(AB198="t",AC198*SQRT(1/V198+1/Y198)*AD198,IF(AB198="F",SQRT(AC198)*SQRT(1/V198+1/Y198)*AD198,IF(AB198="z",2*(AC198/SQRT(V198+Y198))/SQRT(1-(AC198/SQRT(V198+Y198))^2)*AD198,IF(AB198="t_paired",AC198/SQRT(V198)*AD198,""))))),"")</f>
        <v>0.581611077365853</v>
      </c>
      <c r="AF198" s="7" t="n">
        <f aca="false">IF(AE198="","",IF(AB198="t_paired",1-3/(4*(V198-1)-1),1-3/(4*(V198+Y198)-9)))</f>
        <v>0.987234042553192</v>
      </c>
      <c r="AG198" s="7" t="n">
        <f aca="false">IF(AE198="","",AE198*AF198)</f>
        <v>0.574186255101608</v>
      </c>
      <c r="AH198" s="7" t="n">
        <f aca="false">IF(AG198="","",IF(AB198="t_paired",1/V198+AG198^2/(2*V198),(V198+Y198)/(V198*Y198)+AG198^2/(2*(V198+Y198))))</f>
        <v>0.0682937737146067</v>
      </c>
      <c r="AI198" s="7" t="n">
        <f aca="false">IF(AH198="","",SQRT(AH198))</f>
        <v>0.261330774526474</v>
      </c>
      <c r="AJ198" s="7" t="n">
        <f aca="false">IF(AI198="","",AG198-1.96*AI198)</f>
        <v>0.0619779370297189</v>
      </c>
      <c r="AK198" s="7" t="n">
        <f aca="false">IF(AI198="","",AG198+1.96*AI198)</f>
        <v>1.0863945731735</v>
      </c>
      <c r="AL198" s="7" t="n">
        <f aca="false">IF(AI198="","",AG198/AI198)</f>
        <v>2.1971627954726</v>
      </c>
      <c r="AM198" s="8" t="n">
        <f aca="false">IF(AL198="","",2*(1-NORMSDIST(ABS(AL198))))</f>
        <v>0.0280088216496139</v>
      </c>
      <c r="AN198" s="9" t="n">
        <f aca="false">IF(COUNT(V198)=0,"",IF(AB198="t_paired",V198,V198+N(Y198)))</f>
        <v>61</v>
      </c>
      <c r="AO198" s="7" t="n">
        <f aca="false">IF(AH198="","",1/AH198)</f>
        <v>14.6426232672235</v>
      </c>
      <c r="AP198" s="5" t="s">
        <v>88</v>
      </c>
      <c r="AQ198" s="5" t="s">
        <v>210</v>
      </c>
      <c r="AR198" s="5"/>
      <c r="AS198" s="7" t="n">
        <f aca="false">IF(AND(AP198="Y",ISNUMBER(AO198)),AO198,0)</f>
        <v>14.6426232672235</v>
      </c>
      <c r="AT198" s="7" t="n">
        <f aca="false">IF(AS198&gt;0,AS198*AG198,0)</f>
        <v>8.40759301867075</v>
      </c>
      <c r="AU198" s="7" t="n">
        <f aca="false">IF(AS198&gt;0,AS198*AG198^2,0)</f>
        <v>4.82752434980898</v>
      </c>
      <c r="AV198" s="9" t="n">
        <f aca="false">IF(AS198&gt;0,AS198^2,0)</f>
        <v>214.406416145836</v>
      </c>
      <c r="AW198" s="7" t="n">
        <f aca="false">IF(AS198&gt;0,AG198,0)</f>
        <v>0.574186255101608</v>
      </c>
      <c r="AX198" s="7" t="n">
        <f aca="false">IF(AS198&gt;0,AH198,1)</f>
        <v>0.0682937737146067</v>
      </c>
    </row>
    <row r="199" customFormat="false" ht="15" hidden="false" customHeight="false" outlineLevel="0" collapsed="false">
      <c r="A199" s="5" t="s">
        <v>699</v>
      </c>
      <c r="B199" s="5" t="s">
        <v>693</v>
      </c>
      <c r="C199" s="5" t="s">
        <v>694</v>
      </c>
      <c r="D199" s="5" t="n">
        <v>2025</v>
      </c>
      <c r="E199" s="5" t="s">
        <v>221</v>
      </c>
      <c r="F199" s="5" t="s">
        <v>173</v>
      </c>
      <c r="G199" s="5" t="s">
        <v>395</v>
      </c>
      <c r="H199" s="5" t="s">
        <v>131</v>
      </c>
      <c r="I199" s="5" t="s">
        <v>188</v>
      </c>
      <c r="J199" s="5" t="s">
        <v>189</v>
      </c>
      <c r="K199" s="5" t="s">
        <v>163</v>
      </c>
      <c r="L199" s="5" t="s">
        <v>164</v>
      </c>
      <c r="M199" s="5"/>
      <c r="N199" s="5"/>
      <c r="O199" s="5" t="s">
        <v>190</v>
      </c>
      <c r="P199" s="10" t="s">
        <v>113</v>
      </c>
      <c r="Q199" s="10" t="s">
        <v>430</v>
      </c>
      <c r="R199" s="5"/>
      <c r="S199" s="10" t="s">
        <v>700</v>
      </c>
      <c r="T199" s="5"/>
      <c r="U199" s="10" t="s">
        <v>98</v>
      </c>
      <c r="V199" s="5" t="n">
        <v>31</v>
      </c>
      <c r="W199" s="5" t="n">
        <v>3.359</v>
      </c>
      <c r="X199" s="5" t="n">
        <v>0.65</v>
      </c>
      <c r="Y199" s="5" t="n">
        <v>30</v>
      </c>
      <c r="Z199" s="5" t="n">
        <v>3.331</v>
      </c>
      <c r="AA199" s="5" t="n">
        <v>0.589</v>
      </c>
      <c r="AB199" s="5" t="s">
        <v>99</v>
      </c>
      <c r="AC199" s="5"/>
      <c r="AD199" s="5" t="n">
        <v>1</v>
      </c>
      <c r="AE199" s="7" t="n">
        <f aca="false">IFERROR(IF(AB199="MSD",IF(COUNT(V199,W199,X199,Y199,Z199,AA199)&lt;6,"",(W199-Z199)/SQRT(((V199-1)*X199^2+(Y199-1)*AA199^2)/(V199+Y199-2))*AD199),IF(AB199="t",AC199*SQRT(1/V199+1/Y199)*AD199,IF(AB199="F",SQRT(AC199)*SQRT(1/V199+1/Y199)*AD199,IF(AB199="z",2*(AC199/SQRT(V199+Y199))/SQRT(1-(AC199/SQRT(V199+Y199))^2)*AD199,IF(AB199="t_paired",AC199/SQRT(V199)*AD199,""))))),"")</f>
        <v>0.045105529577559</v>
      </c>
      <c r="AF199" s="7" t="n">
        <f aca="false">IF(AE199="","",IF(AB199="t_paired",1-3/(4*(V199-1)-1),1-3/(4*(V199+Y199)-9)))</f>
        <v>0.987234042553192</v>
      </c>
      <c r="AG199" s="7" t="n">
        <f aca="false">IF(AE199="","",AE199*AF199)</f>
        <v>0.0445297143063561</v>
      </c>
      <c r="AH199" s="7" t="n">
        <f aca="false">IF(AG199="","",IF(AB199="t_paired",1/V199+AG199^2/(2*V199),(V199+Y199)/(V199*Y199)+AG199^2/(2*(V199+Y199))))</f>
        <v>0.0656076510909067</v>
      </c>
      <c r="AI199" s="7" t="n">
        <f aca="false">IF(AH199="","",SQRT(AH199))</f>
        <v>0.256139905307445</v>
      </c>
      <c r="AJ199" s="7" t="n">
        <f aca="false">IF(AI199="","",AG199-1.96*AI199)</f>
        <v>-0.457504500096235</v>
      </c>
      <c r="AK199" s="7" t="n">
        <f aca="false">IF(AI199="","",AG199+1.96*AI199)</f>
        <v>0.546563928708947</v>
      </c>
      <c r="AL199" s="7" t="n">
        <f aca="false">IF(AI199="","",AG199/AI199)</f>
        <v>0.173849187040602</v>
      </c>
      <c r="AM199" s="8" t="n">
        <f aca="false">IF(AL199="","",2*(1-NORMSDIST(ABS(AL199))))</f>
        <v>0.861983987259629</v>
      </c>
      <c r="AN199" s="9" t="n">
        <f aca="false">IF(COUNT(V199)=0,"",IF(AB199="t_paired",V199,V199+N(Y199)))</f>
        <v>61</v>
      </c>
      <c r="AO199" s="7" t="n">
        <f aca="false">IF(AH199="","",1/AH199)</f>
        <v>15.2421247121679</v>
      </c>
      <c r="AP199" s="5" t="s">
        <v>100</v>
      </c>
      <c r="AQ199" s="5" t="s">
        <v>210</v>
      </c>
      <c r="AR199" s="5"/>
      <c r="AS199" s="9" t="n">
        <f aca="false">IF(AND(AP199="Y",ISNUMBER(AO199)),AO199,0)</f>
        <v>0</v>
      </c>
      <c r="AT199" s="7" t="n">
        <f aca="false">IF(AS199&gt;0,AS199*AG199,0)</f>
        <v>0</v>
      </c>
      <c r="AU199" s="7" t="n">
        <f aca="false">IF(AS199&gt;0,AS199*AG199^2,0)</f>
        <v>0</v>
      </c>
      <c r="AV199" s="9" t="n">
        <f aca="false">IF(AS199&gt;0,AS199^2,0)</f>
        <v>0</v>
      </c>
      <c r="AW199" s="7" t="n">
        <f aca="false">IF(AS199&gt;0,AG199,0)</f>
        <v>0</v>
      </c>
      <c r="AX199" s="7" t="n">
        <f aca="false">IF(AS199&gt;0,AH199,1)</f>
        <v>1</v>
      </c>
    </row>
    <row r="200" customFormat="false" ht="15" hidden="false" customHeight="false" outlineLevel="0" collapsed="false">
      <c r="A200" s="5" t="s">
        <v>701</v>
      </c>
      <c r="B200" s="5" t="s">
        <v>693</v>
      </c>
      <c r="C200" s="5" t="s">
        <v>694</v>
      </c>
      <c r="D200" s="5" t="n">
        <v>2025</v>
      </c>
      <c r="E200" s="5" t="s">
        <v>221</v>
      </c>
      <c r="F200" s="5" t="s">
        <v>173</v>
      </c>
      <c r="G200" s="5" t="s">
        <v>395</v>
      </c>
      <c r="H200" s="5" t="s">
        <v>131</v>
      </c>
      <c r="I200" s="5" t="s">
        <v>188</v>
      </c>
      <c r="J200" s="5" t="s">
        <v>189</v>
      </c>
      <c r="K200" s="5" t="s">
        <v>163</v>
      </c>
      <c r="L200" s="5" t="s">
        <v>164</v>
      </c>
      <c r="M200" s="5"/>
      <c r="N200" s="5"/>
      <c r="O200" s="5" t="s">
        <v>190</v>
      </c>
      <c r="P200" s="11" t="s">
        <v>113</v>
      </c>
      <c r="Q200" s="11" t="s">
        <v>430</v>
      </c>
      <c r="R200" s="5"/>
      <c r="S200" s="11" t="s">
        <v>700</v>
      </c>
      <c r="T200" s="5"/>
      <c r="U200" s="11" t="s">
        <v>86</v>
      </c>
      <c r="V200" s="5" t="n">
        <v>31</v>
      </c>
      <c r="W200" s="5" t="n">
        <v>3.657</v>
      </c>
      <c r="X200" s="5" t="n">
        <v>0.614</v>
      </c>
      <c r="Y200" s="5" t="n">
        <v>30</v>
      </c>
      <c r="Z200" s="5" t="n">
        <v>3.414</v>
      </c>
      <c r="AA200" s="5" t="n">
        <v>0.517</v>
      </c>
      <c r="AB200" s="5" t="s">
        <v>99</v>
      </c>
      <c r="AC200" s="5"/>
      <c r="AD200" s="5" t="n">
        <v>1</v>
      </c>
      <c r="AE200" s="7" t="n">
        <f aca="false">IFERROR(IF(AB200="MSD",IF(COUNT(V200,W200,X200,Y200,Z200,AA200)&lt;6,"",(W200-Z200)/SQRT(((V200-1)*X200^2+(Y200-1)*AA200^2)/(V200+Y200-2))*AD200),IF(AB200="t",AC200*SQRT(1/V200+1/Y200)*AD200,IF(AB200="F",SQRT(AC200)*SQRT(1/V200+1/Y200)*AD200,IF(AB200="z",2*(AC200/SQRT(V200+Y200))/SQRT(1-(AC200/SQRT(V200+Y200))^2)*AD200,IF(AB200="t_paired",AC200/SQRT(V200)*AD200,""))))),"")</f>
        <v>0.427520028480619</v>
      </c>
      <c r="AF200" s="7" t="n">
        <f aca="false">IF(AE200="","",IF(AB200="t_paired",1-3/(4*(V200-1)-1),1-3/(4*(V200+Y200)-9)))</f>
        <v>0.987234042553192</v>
      </c>
      <c r="AG200" s="7" t="n">
        <f aca="false">IF(AE200="","",AE200*AF200)</f>
        <v>0.422062325989377</v>
      </c>
      <c r="AH200" s="7" t="n">
        <f aca="false">IF(AG200="","",IF(AB200="t_paired",1/V200+AG200^2/(2*V200),(V200+Y200)/(V200*Y200)+AG200^2/(2*(V200+Y200))))</f>
        <v>0.0670515339725736</v>
      </c>
      <c r="AI200" s="7" t="n">
        <f aca="false">IF(AH200="","",SQRT(AH200))</f>
        <v>0.25894310952905</v>
      </c>
      <c r="AJ200" s="7" t="n">
        <f aca="false">IF(AI200="","",AG200-1.96*AI200)</f>
        <v>-0.0854661686875612</v>
      </c>
      <c r="AK200" s="7" t="n">
        <f aca="false">IF(AI200="","",AG200+1.96*AI200)</f>
        <v>0.929590820666315</v>
      </c>
      <c r="AL200" s="7" t="n">
        <f aca="false">IF(AI200="","",AG200/AI200)</f>
        <v>1.62994229410853</v>
      </c>
      <c r="AM200" s="8" t="n">
        <f aca="false">IF(AL200="","",2*(1-NORMSDIST(ABS(AL200))))</f>
        <v>0.103113693674417</v>
      </c>
      <c r="AN200" s="9" t="n">
        <f aca="false">IF(COUNT(V200)=0,"",IF(AB200="t_paired",V200,V200+N(Y200)))</f>
        <v>61</v>
      </c>
      <c r="AO200" s="7" t="n">
        <f aca="false">IF(AH200="","",1/AH200)</f>
        <v>14.9139019013202</v>
      </c>
      <c r="AP200" s="5" t="s">
        <v>88</v>
      </c>
      <c r="AQ200" s="5" t="s">
        <v>210</v>
      </c>
      <c r="AR200" s="5"/>
      <c r="AS200" s="7" t="n">
        <f aca="false">IF(AND(AP200="Y",ISNUMBER(AO200)),AO200,0)</f>
        <v>14.9139019013202</v>
      </c>
      <c r="AT200" s="7" t="n">
        <f aca="false">IF(AS200&gt;0,AS200*AG200,0)</f>
        <v>6.29459612604859</v>
      </c>
      <c r="AU200" s="7" t="n">
        <f aca="false">IF(AS200&gt;0,AS200*AG200^2,0)</f>
        <v>2.65671188212379</v>
      </c>
      <c r="AV200" s="9" t="n">
        <f aca="false">IF(AS200&gt;0,AS200^2,0)</f>
        <v>222.424469922202</v>
      </c>
      <c r="AW200" s="7" t="n">
        <f aca="false">IF(AS200&gt;0,AG200,0)</f>
        <v>0.422062325989377</v>
      </c>
      <c r="AX200" s="7" t="n">
        <f aca="false">IF(AS200&gt;0,AH200,1)</f>
        <v>0.0670515339725736</v>
      </c>
    </row>
    <row r="201" customFormat="false" ht="15" hidden="false" customHeight="false" outlineLevel="0" collapsed="false">
      <c r="A201" s="5" t="s">
        <v>702</v>
      </c>
      <c r="B201" s="5" t="s">
        <v>703</v>
      </c>
      <c r="C201" s="5" t="s">
        <v>704</v>
      </c>
      <c r="D201" s="5" t="n">
        <v>2025</v>
      </c>
      <c r="E201" s="5" t="s">
        <v>221</v>
      </c>
      <c r="F201" s="5" t="s">
        <v>260</v>
      </c>
      <c r="G201" s="5" t="s">
        <v>160</v>
      </c>
      <c r="H201" s="5" t="s">
        <v>131</v>
      </c>
      <c r="I201" s="5" t="s">
        <v>705</v>
      </c>
      <c r="J201" s="5" t="s">
        <v>162</v>
      </c>
      <c r="K201" s="5" t="s">
        <v>163</v>
      </c>
      <c r="L201" s="5" t="s">
        <v>164</v>
      </c>
      <c r="M201" s="5" t="s">
        <v>706</v>
      </c>
      <c r="N201" s="5" t="n">
        <v>40</v>
      </c>
      <c r="O201" s="5" t="s">
        <v>190</v>
      </c>
      <c r="P201" s="6" t="s">
        <v>82</v>
      </c>
      <c r="Q201" s="6" t="s">
        <v>191</v>
      </c>
      <c r="R201" s="5"/>
      <c r="S201" s="6" t="s">
        <v>562</v>
      </c>
      <c r="T201" s="5" t="s">
        <v>634</v>
      </c>
      <c r="U201" s="6" t="s">
        <v>86</v>
      </c>
      <c r="V201" s="5" t="n">
        <v>49</v>
      </c>
      <c r="W201" s="5" t="n">
        <v>13.28</v>
      </c>
      <c r="X201" s="5" t="n">
        <v>1.63</v>
      </c>
      <c r="Y201" s="5" t="n">
        <v>50</v>
      </c>
      <c r="Z201" s="5" t="n">
        <v>12.58</v>
      </c>
      <c r="AA201" s="5" t="n">
        <v>1.46</v>
      </c>
      <c r="AB201" s="5" t="s">
        <v>99</v>
      </c>
      <c r="AC201" s="5"/>
      <c r="AD201" s="5" t="n">
        <v>1</v>
      </c>
      <c r="AE201" s="7" t="n">
        <f aca="false">IFERROR(IF(AB201="MSD",IF(COUNT(V201,W201,X201,Y201,Z201,AA201)&lt;6,"",(W201-Z201)/SQRT(((V201-1)*X201^2+(Y201-1)*AA201^2)/(V201+Y201-2))*AD201),IF(AB201="t",AC201*SQRT(1/V201+1/Y201)*AD201,IF(AB201="F",SQRT(AC201)*SQRT(1/V201+1/Y201)*AD201,IF(AB201="z",2*(AC201/SQRT(V201+Y201))/SQRT(1-(AC201/SQRT(V201+Y201))^2)*AD201,IF(AB201="t_paired",AC201/SQRT(V201)*AD201,""))))),"")</f>
        <v>0.452646336261568</v>
      </c>
      <c r="AF201" s="7" t="n">
        <f aca="false">IF(AE201="","",IF(AB201="t_paired",1-3/(4*(V201-1)-1),1-3/(4*(V201+Y201)-9)))</f>
        <v>0.992248062015504</v>
      </c>
      <c r="AG201" s="7" t="n">
        <f aca="false">IF(AE201="","",AE201*AF201)</f>
        <v>0.449137449933959</v>
      </c>
      <c r="AH201" s="7" t="n">
        <f aca="false">IF(AG201="","",IF(AB201="t_paired",1/V201+AG201^2/(2*V201),(V201+Y201)/(V201*Y201)+AG201^2/(2*(V201+Y201))))</f>
        <v>0.0414269736134535</v>
      </c>
      <c r="AI201" s="7" t="n">
        <f aca="false">IF(AH201="","",SQRT(AH201))</f>
        <v>0.203536172739524</v>
      </c>
      <c r="AJ201" s="7" t="n">
        <f aca="false">IF(AI201="","",AG201-1.96*AI201)</f>
        <v>0.0502065513644915</v>
      </c>
      <c r="AK201" s="7" t="n">
        <f aca="false">IF(AI201="","",AG201+1.96*AI201)</f>
        <v>0.848068348503427</v>
      </c>
      <c r="AL201" s="7" t="n">
        <f aca="false">IF(AI201="","",AG201/AI201)</f>
        <v>2.20667139353526</v>
      </c>
      <c r="AM201" s="8" t="n">
        <f aca="false">IF(AL201="","",2*(1-NORMSDIST(ABS(AL201))))</f>
        <v>0.0273370251765788</v>
      </c>
      <c r="AN201" s="9" t="n">
        <f aca="false">IF(COUNT(V201)=0,"",IF(AB201="t_paired",V201,V201+N(Y201)))</f>
        <v>99</v>
      </c>
      <c r="AO201" s="7" t="n">
        <f aca="false">IF(AH201="","",1/AH201)</f>
        <v>24.1388620209333</v>
      </c>
      <c r="AP201" s="5" t="s">
        <v>88</v>
      </c>
      <c r="AQ201" s="5" t="s">
        <v>167</v>
      </c>
      <c r="AR201" s="5"/>
      <c r="AS201" s="7" t="n">
        <f aca="false">IF(AND(AP201="Y",ISNUMBER(AO201)),AO201,0)</f>
        <v>24.1388620209333</v>
      </c>
      <c r="AT201" s="7" t="n">
        <f aca="false">IF(AS201&gt;0,AS201*AG201,0)</f>
        <v>10.8416669323897</v>
      </c>
      <c r="AU201" s="7" t="n">
        <f aca="false">IF(AS201&gt;0,AS201*AG201^2,0)</f>
        <v>4.86939863904684</v>
      </c>
      <c r="AV201" s="9" t="n">
        <f aca="false">IF(AS201&gt;0,AS201^2,0)</f>
        <v>582.684659665658</v>
      </c>
      <c r="AW201" s="7" t="n">
        <f aca="false">IF(AS201&gt;0,AG201,0)</f>
        <v>0.449137449933959</v>
      </c>
      <c r="AX201" s="7" t="n">
        <f aca="false">IF(AS201&gt;0,AH201,1)</f>
        <v>0.0414269736134535</v>
      </c>
    </row>
    <row r="202" customFormat="false" ht="15" hidden="false" customHeight="false" outlineLevel="0" collapsed="false">
      <c r="A202" s="5" t="s">
        <v>707</v>
      </c>
      <c r="B202" s="5" t="s">
        <v>708</v>
      </c>
      <c r="C202" s="5" t="s">
        <v>709</v>
      </c>
      <c r="D202" s="5" t="n">
        <v>2026</v>
      </c>
      <c r="E202" s="5" t="s">
        <v>221</v>
      </c>
      <c r="F202" s="5" t="s">
        <v>173</v>
      </c>
      <c r="G202" s="5" t="s">
        <v>395</v>
      </c>
      <c r="H202" s="5" t="s">
        <v>74</v>
      </c>
      <c r="I202" s="5" t="s">
        <v>207</v>
      </c>
      <c r="J202" s="5" t="s">
        <v>162</v>
      </c>
      <c r="K202" s="5" t="s">
        <v>163</v>
      </c>
      <c r="L202" s="5" t="s">
        <v>164</v>
      </c>
      <c r="M202" s="5"/>
      <c r="N202" s="5"/>
      <c r="O202" s="5" t="s">
        <v>81</v>
      </c>
      <c r="P202" s="11" t="s">
        <v>113</v>
      </c>
      <c r="Q202" s="11" t="s">
        <v>422</v>
      </c>
      <c r="R202" s="5"/>
      <c r="S202" s="11" t="s">
        <v>710</v>
      </c>
      <c r="T202" s="5"/>
      <c r="U202" s="11" t="s">
        <v>86</v>
      </c>
      <c r="V202" s="5" t="n">
        <v>186</v>
      </c>
      <c r="W202" s="5" t="n">
        <v>4.55</v>
      </c>
      <c r="X202" s="5" t="n">
        <v>0.68</v>
      </c>
      <c r="Y202" s="5" t="n">
        <v>186</v>
      </c>
      <c r="Z202" s="5" t="n">
        <v>3.61</v>
      </c>
      <c r="AA202" s="5" t="n">
        <v>0.93</v>
      </c>
      <c r="AB202" s="5" t="s">
        <v>99</v>
      </c>
      <c r="AC202" s="5"/>
      <c r="AD202" s="5" t="n">
        <v>1</v>
      </c>
      <c r="AE202" s="7" t="n">
        <f aca="false">IFERROR(IF(AB202="MSD",IF(COUNT(V202,W202,X202,Y202,Z202,AA202)&lt;6,"",(W202-Z202)/SQRT(((V202-1)*X202^2+(Y202-1)*AA202^2)/(V202+Y202-2))*AD202),IF(AB202="t",AC202*SQRT(1/V202+1/Y202)*AD202,IF(AB202="F",SQRT(AC202)*SQRT(1/V202+1/Y202)*AD202,IF(AB202="z",2*(AC202/SQRT(V202+Y202))/SQRT(1-(AC202/SQRT(V202+Y202))^2)*AD202,IF(AB202="t_paired",AC202/SQRT(V202)*AD202,""))))),"")</f>
        <v>1.15387377851861</v>
      </c>
      <c r="AF202" s="7" t="n">
        <f aca="false">IF(AE202="","",IF(AB202="t_paired",1-3/(4*(V202-1)-1),1-3/(4*(V202+Y202)-9)))</f>
        <v>0.997971602434077</v>
      </c>
      <c r="AG202" s="7" t="n">
        <f aca="false">IF(AE202="","",AE202*AF202)</f>
        <v>1.15153326375488</v>
      </c>
      <c r="AH202" s="7" t="n">
        <f aca="false">IF(AG202="","",IF(AB202="t_paired",1/V202+AG202^2/(2*V202),(V202+Y202)/(V202*Y202)+AG202^2/(2*(V202+Y202))))</f>
        <v>0.0125349850235672</v>
      </c>
      <c r="AI202" s="7" t="n">
        <f aca="false">IF(AH202="","",SQRT(AH202))</f>
        <v>0.111959747336117</v>
      </c>
      <c r="AJ202" s="7" t="n">
        <f aca="false">IF(AI202="","",AG202-1.96*AI202)</f>
        <v>0.932092158976088</v>
      </c>
      <c r="AK202" s="7" t="n">
        <f aca="false">IF(AI202="","",AG202+1.96*AI202)</f>
        <v>1.37097436853367</v>
      </c>
      <c r="AL202" s="7" t="n">
        <f aca="false">IF(AI202="","",AG202/AI202)</f>
        <v>10.285243501826</v>
      </c>
      <c r="AM202" s="8" t="n">
        <f aca="false">IF(AL202="","",2*(1-NORMSDIST(ABS(AL202))))</f>
        <v>0</v>
      </c>
      <c r="AN202" s="9" t="n">
        <f aca="false">IF(COUNT(V202)=0,"",IF(AB202="t_paired",V202,V202+N(Y202)))</f>
        <v>372</v>
      </c>
      <c r="AO202" s="7" t="n">
        <f aca="false">IF(AH202="","",1/AH202)</f>
        <v>79.7767207635183</v>
      </c>
      <c r="AP202" s="5" t="s">
        <v>88</v>
      </c>
      <c r="AQ202" s="5" t="s">
        <v>441</v>
      </c>
      <c r="AR202" s="5"/>
      <c r="AS202" s="7" t="n">
        <f aca="false">IF(AND(AP202="Y",ISNUMBER(AO202)),AO202,0)</f>
        <v>79.7767207635183</v>
      </c>
      <c r="AT202" s="7" t="n">
        <f aca="false">IF(AS202&gt;0,AS202*AG202,0)</f>
        <v>91.8655476324757</v>
      </c>
      <c r="AU202" s="7" t="n">
        <f aca="false">IF(AS202&gt;0,AS202*AG202^2,0)</f>
        <v>105.786233891854</v>
      </c>
      <c r="AV202" s="9" t="n">
        <f aca="false">IF(AS202&gt;0,AS202^2,0)</f>
        <v>6364.32517578037</v>
      </c>
      <c r="AW202" s="7" t="n">
        <f aca="false">IF(AS202&gt;0,AG202,0)</f>
        <v>1.15153326375488</v>
      </c>
      <c r="AX202" s="7" t="n">
        <f aca="false">IF(AS202&gt;0,AH202,1)</f>
        <v>0.0125349850235672</v>
      </c>
    </row>
    <row r="203" customFormat="false" ht="15" hidden="false" customHeight="false" outlineLevel="0" collapsed="false">
      <c r="A203" s="5" t="s">
        <v>711</v>
      </c>
      <c r="B203" s="5" t="s">
        <v>708</v>
      </c>
      <c r="C203" s="5" t="s">
        <v>709</v>
      </c>
      <c r="D203" s="5" t="n">
        <v>2026</v>
      </c>
      <c r="E203" s="5" t="s">
        <v>221</v>
      </c>
      <c r="F203" s="5" t="s">
        <v>173</v>
      </c>
      <c r="G203" s="5" t="s">
        <v>395</v>
      </c>
      <c r="H203" s="5" t="s">
        <v>74</v>
      </c>
      <c r="I203" s="5" t="s">
        <v>207</v>
      </c>
      <c r="J203" s="5" t="s">
        <v>162</v>
      </c>
      <c r="K203" s="5" t="s">
        <v>163</v>
      </c>
      <c r="L203" s="5" t="s">
        <v>164</v>
      </c>
      <c r="M203" s="5"/>
      <c r="N203" s="5"/>
      <c r="O203" s="5" t="s">
        <v>81</v>
      </c>
      <c r="P203" s="11" t="s">
        <v>113</v>
      </c>
      <c r="Q203" s="11" t="s">
        <v>315</v>
      </c>
      <c r="R203" s="5"/>
      <c r="S203" s="11" t="s">
        <v>712</v>
      </c>
      <c r="T203" s="5"/>
      <c r="U203" s="11" t="s">
        <v>86</v>
      </c>
      <c r="V203" s="5" t="n">
        <v>186</v>
      </c>
      <c r="W203" s="5" t="n">
        <v>4.41</v>
      </c>
      <c r="X203" s="5" t="n">
        <v>0.75</v>
      </c>
      <c r="Y203" s="5" t="n">
        <v>186</v>
      </c>
      <c r="Z203" s="5" t="n">
        <v>3.52</v>
      </c>
      <c r="AA203" s="5" t="n">
        <v>0.81</v>
      </c>
      <c r="AB203" s="5" t="s">
        <v>99</v>
      </c>
      <c r="AC203" s="5"/>
      <c r="AD203" s="5" t="n">
        <v>1</v>
      </c>
      <c r="AE203" s="7" t="n">
        <f aca="false">IFERROR(IF(AB203="MSD",IF(COUNT(V203,W203,X203,Y203,Z203,AA203)&lt;6,"",(W203-Z203)/SQRT(((V203-1)*X203^2+(Y203-1)*AA203^2)/(V203+Y203-2))*AD203),IF(AB203="t",AC203*SQRT(1/V203+1/Y203)*AD203,IF(AB203="F",SQRT(AC203)*SQRT(1/V203+1/Y203)*AD203,IF(AB203="z",2*(AC203/SQRT(V203+Y203))/SQRT(1-(AC203/SQRT(V203+Y203))^2)*AD203,IF(AB203="t_paired",AC203/SQRT(V203)*AD203,""))))),"")</f>
        <v>1.14018262233573</v>
      </c>
      <c r="AF203" s="7" t="n">
        <f aca="false">IF(AE203="","",IF(AB203="t_paired",1-3/(4*(V203-1)-1),1-3/(4*(V203+Y203)-9)))</f>
        <v>0.997971602434077</v>
      </c>
      <c r="AG203" s="7" t="n">
        <f aca="false">IF(AE203="","",AE203*AF203)</f>
        <v>1.13786987867988</v>
      </c>
      <c r="AH203" s="7" t="n">
        <f aca="false">IF(AG203="","",IF(AB203="t_paired",1/V203+AG203^2/(2*V203),(V203+Y203)/(V203*Y203)+AG203^2/(2*(V203+Y203))))</f>
        <v>0.0124929406731276</v>
      </c>
      <c r="AI203" s="7" t="n">
        <f aca="false">IF(AH203="","",SQRT(AH203))</f>
        <v>0.111771824146909</v>
      </c>
      <c r="AJ203" s="7" t="n">
        <f aca="false">IF(AI203="","",AG203-1.96*AI203)</f>
        <v>0.918797103351935</v>
      </c>
      <c r="AK203" s="7" t="n">
        <f aca="false">IF(AI203="","",AG203+1.96*AI203)</f>
        <v>1.35694265400782</v>
      </c>
      <c r="AL203" s="7" t="n">
        <f aca="false">IF(AI203="","",AG203/AI203)</f>
        <v>10.1802926396217</v>
      </c>
      <c r="AM203" s="8" t="n">
        <f aca="false">IF(AL203="","",2*(1-NORMSDIST(ABS(AL203))))</f>
        <v>0</v>
      </c>
      <c r="AN203" s="9" t="n">
        <f aca="false">IF(COUNT(V203)=0,"",IF(AB203="t_paired",V203,V203+N(Y203)))</f>
        <v>372</v>
      </c>
      <c r="AO203" s="7" t="n">
        <f aca="false">IF(AH203="","",1/AH203)</f>
        <v>80.0452052214579</v>
      </c>
      <c r="AP203" s="5" t="s">
        <v>88</v>
      </c>
      <c r="AQ203" s="5" t="s">
        <v>441</v>
      </c>
      <c r="AR203" s="5"/>
      <c r="AS203" s="7" t="n">
        <f aca="false">IF(AND(AP203="Y",ISNUMBER(AO203)),AO203,0)</f>
        <v>80.0452052214579</v>
      </c>
      <c r="AT203" s="7" t="n">
        <f aca="false">IF(AS203&gt;0,AS203*AG203,0)</f>
        <v>91.0810279542462</v>
      </c>
      <c r="AU203" s="7" t="n">
        <f aca="false">IF(AS203&gt;0,AS203*AG203^2,0)</f>
        <v>103.638358228337</v>
      </c>
      <c r="AV203" s="9" t="n">
        <f aca="false">IF(AS203&gt;0,AS203^2,0)</f>
        <v>6407.23487894531</v>
      </c>
      <c r="AW203" s="7" t="n">
        <f aca="false">IF(AS203&gt;0,AG203,0)</f>
        <v>1.13786987867988</v>
      </c>
      <c r="AX203" s="7" t="n">
        <f aca="false">IF(AS203&gt;0,AH203,1)</f>
        <v>0.0124929406731276</v>
      </c>
    </row>
    <row r="204" customFormat="false" ht="15" hidden="false" customHeight="false" outlineLevel="0" collapsed="false">
      <c r="A204" s="5" t="s">
        <v>713</v>
      </c>
      <c r="B204" s="5" t="s">
        <v>714</v>
      </c>
      <c r="C204" s="5" t="s">
        <v>715</v>
      </c>
      <c r="D204" s="5" t="n">
        <v>2025</v>
      </c>
      <c r="E204" s="5" t="s">
        <v>360</v>
      </c>
      <c r="F204" s="5" t="s">
        <v>72</v>
      </c>
      <c r="G204" s="5" t="s">
        <v>395</v>
      </c>
      <c r="H204" s="5" t="s">
        <v>174</v>
      </c>
      <c r="I204" s="5" t="s">
        <v>396</v>
      </c>
      <c r="J204" s="5" t="s">
        <v>76</v>
      </c>
      <c r="K204" s="5" t="s">
        <v>163</v>
      </c>
      <c r="L204" s="5" t="s">
        <v>164</v>
      </c>
      <c r="M204" s="5"/>
      <c r="N204" s="5"/>
      <c r="O204" s="5" t="s">
        <v>261</v>
      </c>
      <c r="P204" s="10" t="s">
        <v>113</v>
      </c>
      <c r="Q204" s="10" t="s">
        <v>114</v>
      </c>
      <c r="R204" s="5" t="s">
        <v>115</v>
      </c>
      <c r="S204" s="10" t="s">
        <v>397</v>
      </c>
      <c r="T204" s="5"/>
      <c r="U204" s="10" t="s">
        <v>98</v>
      </c>
      <c r="V204" s="5" t="n">
        <v>30</v>
      </c>
      <c r="W204" s="5" t="n">
        <v>2.11</v>
      </c>
      <c r="X204" s="5" t="n">
        <v>1.15</v>
      </c>
      <c r="Y204" s="5" t="n">
        <v>30</v>
      </c>
      <c r="Z204" s="5" t="n">
        <v>2.15</v>
      </c>
      <c r="AA204" s="5" t="n">
        <v>0.95</v>
      </c>
      <c r="AB204" s="5" t="s">
        <v>99</v>
      </c>
      <c r="AC204" s="5"/>
      <c r="AD204" s="5" t="n">
        <v>1</v>
      </c>
      <c r="AE204" s="7" t="n">
        <f aca="false">IFERROR(IF(AB204="MSD",IF(COUNT(V204,W204,X204,Y204,Z204,AA204)&lt;6,"",(W204-Z204)/SQRT(((V204-1)*X204^2+(Y204-1)*AA204^2)/(V204+Y204-2))*AD204),IF(AB204="t",AC204*SQRT(1/V204+1/Y204)*AD204,IF(AB204="F",SQRT(AC204)*SQRT(1/V204+1/Y204)*AD204,IF(AB204="z",2*(AC204/SQRT(V204+Y204))/SQRT(1-(AC204/SQRT(V204+Y204))^2)*AD204,IF(AB204="t_paired",AC204/SQRT(V204)*AD204,""))))),"")</f>
        <v>-0.0379236370511982</v>
      </c>
      <c r="AF204" s="7" t="n">
        <f aca="false">IF(AE204="","",IF(AB204="t_paired",1-3/(4*(V204-1)-1),1-3/(4*(V204+Y204)-9)))</f>
        <v>0.987012987012987</v>
      </c>
      <c r="AG204" s="7" t="n">
        <f aca="false">IF(AE204="","",AE204*AF204)</f>
        <v>-0.0374311222842995</v>
      </c>
      <c r="AH204" s="7" t="n">
        <f aca="false">IF(AG204="","",IF(AB204="t_paired",1/V204+AG204^2/(2*V204),(V204+Y204)/(V204*Y204)+AG204^2/(2*(V204+Y204))))</f>
        <v>0.0666783424076289</v>
      </c>
      <c r="AI204" s="7" t="n">
        <f aca="false">IF(AH204="","",SQRT(AH204))</f>
        <v>0.258221498732443</v>
      </c>
      <c r="AJ204" s="7" t="n">
        <f aca="false">IF(AI204="","",AG204-1.96*AI204)</f>
        <v>-0.543545259799887</v>
      </c>
      <c r="AK204" s="7" t="n">
        <f aca="false">IF(AI204="","",AG204+1.96*AI204)</f>
        <v>0.468683015231288</v>
      </c>
      <c r="AL204" s="7" t="n">
        <f aca="false">IF(AI204="","",AG204/AI204)</f>
        <v>-0.144957420153014</v>
      </c>
      <c r="AM204" s="8" t="n">
        <f aca="false">IF(AL204="","",2*(1-NORMSDIST(ABS(AL204))))</f>
        <v>0.884744490417544</v>
      </c>
      <c r="AN204" s="9" t="n">
        <f aca="false">IF(COUNT(V204)=0,"",IF(AB204="t_paired",V204,V204+N(Y204)))</f>
        <v>60</v>
      </c>
      <c r="AO204" s="7" t="n">
        <f aca="false">IF(AH204="","",1/AH204)</f>
        <v>14.9973734182928</v>
      </c>
      <c r="AP204" s="5" t="s">
        <v>100</v>
      </c>
      <c r="AQ204" s="5" t="s">
        <v>227</v>
      </c>
      <c r="AR204" s="5"/>
      <c r="AS204" s="9" t="n">
        <f aca="false">IF(AND(AP204="Y",ISNUMBER(AO204)),AO204,0)</f>
        <v>0</v>
      </c>
      <c r="AT204" s="7" t="n">
        <f aca="false">IF(AS204&gt;0,AS204*AG204,0)</f>
        <v>0</v>
      </c>
      <c r="AU204" s="7" t="n">
        <f aca="false">IF(AS204&gt;0,AS204*AG204^2,0)</f>
        <v>0</v>
      </c>
      <c r="AV204" s="9" t="n">
        <f aca="false">IF(AS204&gt;0,AS204^2,0)</f>
        <v>0</v>
      </c>
      <c r="AW204" s="7" t="n">
        <f aca="false">IF(AS204&gt;0,AG204,0)</f>
        <v>0</v>
      </c>
      <c r="AX204" s="7" t="n">
        <f aca="false">IF(AS204&gt;0,AH204,1)</f>
        <v>1</v>
      </c>
    </row>
    <row r="205" customFormat="false" ht="15" hidden="false" customHeight="false" outlineLevel="0" collapsed="false">
      <c r="A205" s="5" t="s">
        <v>716</v>
      </c>
      <c r="B205" s="5" t="s">
        <v>714</v>
      </c>
      <c r="C205" s="5" t="s">
        <v>715</v>
      </c>
      <c r="D205" s="5" t="n">
        <v>2025</v>
      </c>
      <c r="E205" s="5" t="s">
        <v>360</v>
      </c>
      <c r="F205" s="5" t="s">
        <v>72</v>
      </c>
      <c r="G205" s="5" t="s">
        <v>395</v>
      </c>
      <c r="H205" s="5" t="s">
        <v>174</v>
      </c>
      <c r="I205" s="5" t="s">
        <v>396</v>
      </c>
      <c r="J205" s="5" t="s">
        <v>76</v>
      </c>
      <c r="K205" s="5" t="s">
        <v>163</v>
      </c>
      <c r="L205" s="5" t="s">
        <v>164</v>
      </c>
      <c r="M205" s="5"/>
      <c r="N205" s="5"/>
      <c r="O205" s="5" t="s">
        <v>261</v>
      </c>
      <c r="P205" s="11" t="s">
        <v>113</v>
      </c>
      <c r="Q205" s="11" t="s">
        <v>114</v>
      </c>
      <c r="R205" s="5" t="s">
        <v>115</v>
      </c>
      <c r="S205" s="11" t="s">
        <v>397</v>
      </c>
      <c r="T205" s="5"/>
      <c r="U205" s="11" t="s">
        <v>86</v>
      </c>
      <c r="V205" s="5" t="n">
        <v>30</v>
      </c>
      <c r="W205" s="5" t="n">
        <v>4.67</v>
      </c>
      <c r="X205" s="5" t="n">
        <v>0.99</v>
      </c>
      <c r="Y205" s="5" t="n">
        <v>30</v>
      </c>
      <c r="Z205" s="5" t="n">
        <v>2.17</v>
      </c>
      <c r="AA205" s="5" t="n">
        <v>0.89</v>
      </c>
      <c r="AB205" s="5" t="s">
        <v>99</v>
      </c>
      <c r="AC205" s="5"/>
      <c r="AD205" s="5" t="n">
        <v>1</v>
      </c>
      <c r="AE205" s="7" t="n">
        <f aca="false">IFERROR(IF(AB205="MSD",IF(COUNT(V205,W205,X205,Y205,Z205,AA205)&lt;6,"",(W205-Z205)/SQRT(((V205-1)*X205^2+(Y205-1)*AA205^2)/(V205+Y205-2))*AD205),IF(AB205="t",AC205*SQRT(1/V205+1/Y205)*AD205,IF(AB205="F",SQRT(AC205)*SQRT(1/V205+1/Y205)*AD205,IF(AB205="z",2*(AC205/SQRT(V205+Y205))/SQRT(1-(AC205/SQRT(V205+Y205))^2)*AD205,IF(AB205="t_paired",AC205/SQRT(V205)*AD205,""))))),"")</f>
        <v>2.65582002019833</v>
      </c>
      <c r="AF205" s="7" t="n">
        <f aca="false">IF(AE205="","",IF(AB205="t_paired",1-3/(4*(V205-1)-1),1-3/(4*(V205+Y205)-9)))</f>
        <v>0.987012987012987</v>
      </c>
      <c r="AG205" s="7" t="n">
        <f aca="false">IF(AE205="","",AE205*AF205)</f>
        <v>2.62132885110485</v>
      </c>
      <c r="AH205" s="7" t="n">
        <f aca="false">IF(AG205="","",IF(AB205="t_paired",1/V205+AG205^2/(2*V205),(V205+Y205)/(V205*Y205)+AG205^2/(2*(V205+Y205))))</f>
        <v>0.123928041213622</v>
      </c>
      <c r="AI205" s="7" t="n">
        <f aca="false">IF(AH205="","",SQRT(AH205))</f>
        <v>0.352034147794816</v>
      </c>
      <c r="AJ205" s="7" t="n">
        <f aca="false">IF(AI205="","",AG205-1.96*AI205)</f>
        <v>1.93134192142701</v>
      </c>
      <c r="AK205" s="7" t="n">
        <f aca="false">IF(AI205="","",AG205+1.96*AI205)</f>
        <v>3.31131578078269</v>
      </c>
      <c r="AL205" s="7" t="n">
        <f aca="false">IF(AI205="","",AG205/AI205)</f>
        <v>7.44623459833419</v>
      </c>
      <c r="AM205" s="8" t="n">
        <f aca="false">IF(AL205="","",2*(1-NORMSDIST(ABS(AL205))))</f>
        <v>9.61453139325386E-014</v>
      </c>
      <c r="AN205" s="9" t="n">
        <f aca="false">IF(COUNT(V205)=0,"",IF(AB205="t_paired",V205,V205+N(Y205)))</f>
        <v>60</v>
      </c>
      <c r="AO205" s="7" t="n">
        <f aca="false">IF(AH205="","",1/AH205)</f>
        <v>8.06919878832137</v>
      </c>
      <c r="AP205" s="5" t="s">
        <v>88</v>
      </c>
      <c r="AQ205" s="5" t="s">
        <v>227</v>
      </c>
      <c r="AR205" s="5"/>
      <c r="AS205" s="7" t="n">
        <f aca="false">IF(AND(AP205="Y",ISNUMBER(AO205)),AO205,0)</f>
        <v>8.06919878832137</v>
      </c>
      <c r="AT205" s="7" t="n">
        <f aca="false">IF(AS205&gt;0,AS205*AG205,0)</f>
        <v>21.1520235891271</v>
      </c>
      <c r="AU205" s="7" t="n">
        <f aca="false">IF(AS205&gt;0,AS205*AG205^2,0)</f>
        <v>55.4464096934291</v>
      </c>
      <c r="AV205" s="9" t="n">
        <f aca="false">IF(AS205&gt;0,AS205^2,0)</f>
        <v>65.111969085447</v>
      </c>
      <c r="AW205" s="7" t="n">
        <f aca="false">IF(AS205&gt;0,AG205,0)</f>
        <v>2.62132885110485</v>
      </c>
      <c r="AX205" s="7" t="n">
        <f aca="false">IF(AS205&gt;0,AH205,1)</f>
        <v>0.123928041213622</v>
      </c>
    </row>
    <row r="206" customFormat="false" ht="15" hidden="false" customHeight="false" outlineLevel="0" collapsed="false">
      <c r="A206" s="5" t="s">
        <v>717</v>
      </c>
      <c r="B206" s="5" t="s">
        <v>718</v>
      </c>
      <c r="C206" s="5" t="s">
        <v>719</v>
      </c>
      <c r="D206" s="5" t="n">
        <v>2023</v>
      </c>
      <c r="E206" s="5" t="s">
        <v>720</v>
      </c>
      <c r="F206" s="5" t="s">
        <v>199</v>
      </c>
      <c r="G206" s="5" t="s">
        <v>160</v>
      </c>
      <c r="H206" s="5" t="s">
        <v>162</v>
      </c>
      <c r="I206" s="5"/>
      <c r="J206" s="5" t="s">
        <v>162</v>
      </c>
      <c r="K206" s="5" t="s">
        <v>163</v>
      </c>
      <c r="L206" s="5" t="s">
        <v>164</v>
      </c>
      <c r="M206" s="5"/>
      <c r="N206" s="5"/>
      <c r="O206" s="5" t="s">
        <v>162</v>
      </c>
      <c r="P206" s="10" t="s">
        <v>82</v>
      </c>
      <c r="Q206" s="10" t="s">
        <v>83</v>
      </c>
      <c r="R206" s="5"/>
      <c r="S206" s="10" t="s">
        <v>721</v>
      </c>
      <c r="T206" s="5"/>
      <c r="U206" s="10" t="s">
        <v>98</v>
      </c>
      <c r="V206" s="5" t="n">
        <v>21</v>
      </c>
      <c r="W206" s="5" t="n">
        <v>20.73</v>
      </c>
      <c r="X206" s="5" t="n">
        <v>3.53</v>
      </c>
      <c r="Y206" s="5" t="n">
        <v>24</v>
      </c>
      <c r="Z206" s="5" t="n">
        <v>20</v>
      </c>
      <c r="AA206" s="5" t="n">
        <v>3.61</v>
      </c>
      <c r="AB206" s="5" t="s">
        <v>99</v>
      </c>
      <c r="AC206" s="5"/>
      <c r="AD206" s="5" t="n">
        <v>1</v>
      </c>
      <c r="AE206" s="7" t="n">
        <f aca="false">IFERROR(IF(AB206="MSD",IF(COUNT(V206,W206,X206,Y206,Z206,AA206)&lt;6,"",(W206-Z206)/SQRT(((V206-1)*X206^2+(Y206-1)*AA206^2)/(V206+Y206-2))*AD206),IF(AB206="t",AC206*SQRT(1/V206+1/Y206)*AD206,IF(AB206="F",SQRT(AC206)*SQRT(1/V206+1/Y206)*AD206,IF(AB206="z",2*(AC206/SQRT(V206+Y206))/SQRT(1-(AC206/SQRT(V206+Y206))^2)*AD206,IF(AB206="t_paired",AC206/SQRT(V206)*AD206,""))))),"")</f>
        <v>0.204309330722915</v>
      </c>
      <c r="AF206" s="7" t="n">
        <f aca="false">IF(AE206="","",IF(AB206="t_paired",1-3/(4*(V206-1)-1),1-3/(4*(V206+Y206)-9)))</f>
        <v>0.982456140350877</v>
      </c>
      <c r="AG206" s="7" t="n">
        <f aca="false">IF(AE206="","",AE206*AF206)</f>
        <v>0.200724956499706</v>
      </c>
      <c r="AH206" s="7" t="n">
        <f aca="false">IF(AG206="","",IF(AB206="t_paired",1/V206+AG206^2/(2*V206),(V206+Y206)/(V206*Y206)+AG206^2/(2*(V206+Y206))))</f>
        <v>0.0897333865986233</v>
      </c>
      <c r="AI206" s="7" t="n">
        <f aca="false">IF(AH206="","",SQRT(AH206))</f>
        <v>0.299555314756095</v>
      </c>
      <c r="AJ206" s="7" t="n">
        <f aca="false">IF(AI206="","",AG206-1.96*AI206)</f>
        <v>-0.386403460422241</v>
      </c>
      <c r="AK206" s="7" t="n">
        <f aca="false">IF(AI206="","",AG206+1.96*AI206)</f>
        <v>0.787853373421653</v>
      </c>
      <c r="AL206" s="7" t="n">
        <f aca="false">IF(AI206="","",AG206/AI206)</f>
        <v>0.670076432004355</v>
      </c>
      <c r="AM206" s="8" t="n">
        <f aca="false">IF(AL206="","",2*(1-NORMSDIST(ABS(AL206))))</f>
        <v>0.502809068001484</v>
      </c>
      <c r="AN206" s="9" t="n">
        <f aca="false">IF(COUNT(V206)=0,"",IF(AB206="t_paired",V206,V206+N(Y206)))</f>
        <v>45</v>
      </c>
      <c r="AO206" s="7" t="n">
        <f aca="false">IF(AH206="","",1/AH206)</f>
        <v>11.1441241427006</v>
      </c>
      <c r="AP206" s="5" t="s">
        <v>100</v>
      </c>
      <c r="AQ206" s="5" t="s">
        <v>210</v>
      </c>
      <c r="AR206" s="5"/>
      <c r="AS206" s="9" t="n">
        <f aca="false">IF(AND(AP206="Y",ISNUMBER(AO206)),AO206,0)</f>
        <v>0</v>
      </c>
      <c r="AT206" s="7" t="n">
        <f aca="false">IF(AS206&gt;0,AS206*AG206,0)</f>
        <v>0</v>
      </c>
      <c r="AU206" s="7" t="n">
        <f aca="false">IF(AS206&gt;0,AS206*AG206^2,0)</f>
        <v>0</v>
      </c>
      <c r="AV206" s="9" t="n">
        <f aca="false">IF(AS206&gt;0,AS206^2,0)</f>
        <v>0</v>
      </c>
      <c r="AW206" s="7" t="n">
        <f aca="false">IF(AS206&gt;0,AG206,0)</f>
        <v>0</v>
      </c>
      <c r="AX206" s="7" t="n">
        <f aca="false">IF(AS206&gt;0,AH206,1)</f>
        <v>1</v>
      </c>
    </row>
    <row r="207" customFormat="false" ht="15" hidden="false" customHeight="false" outlineLevel="0" collapsed="false">
      <c r="A207" s="5" t="s">
        <v>722</v>
      </c>
      <c r="B207" s="5" t="s">
        <v>718</v>
      </c>
      <c r="C207" s="5" t="s">
        <v>719</v>
      </c>
      <c r="D207" s="5" t="n">
        <v>2023</v>
      </c>
      <c r="E207" s="5" t="s">
        <v>720</v>
      </c>
      <c r="F207" s="5" t="s">
        <v>199</v>
      </c>
      <c r="G207" s="5" t="s">
        <v>160</v>
      </c>
      <c r="H207" s="5" t="s">
        <v>162</v>
      </c>
      <c r="I207" s="5"/>
      <c r="J207" s="5" t="s">
        <v>162</v>
      </c>
      <c r="K207" s="5" t="s">
        <v>163</v>
      </c>
      <c r="L207" s="5" t="s">
        <v>164</v>
      </c>
      <c r="M207" s="5"/>
      <c r="N207" s="5"/>
      <c r="O207" s="5" t="s">
        <v>162</v>
      </c>
      <c r="P207" s="6" t="s">
        <v>82</v>
      </c>
      <c r="Q207" s="6" t="s">
        <v>83</v>
      </c>
      <c r="R207" s="5"/>
      <c r="S207" s="6" t="s">
        <v>721</v>
      </c>
      <c r="T207" s="5"/>
      <c r="U207" s="6" t="s">
        <v>86</v>
      </c>
      <c r="V207" s="5" t="n">
        <v>21</v>
      </c>
      <c r="W207" s="5" t="n">
        <v>24.95</v>
      </c>
      <c r="X207" s="5" t="n">
        <v>2.87</v>
      </c>
      <c r="Y207" s="5" t="n">
        <v>24</v>
      </c>
      <c r="Z207" s="5" t="n">
        <v>21.83</v>
      </c>
      <c r="AA207" s="5" t="n">
        <v>4.2</v>
      </c>
      <c r="AB207" s="5" t="s">
        <v>99</v>
      </c>
      <c r="AC207" s="5"/>
      <c r="AD207" s="5" t="n">
        <v>1</v>
      </c>
      <c r="AE207" s="7" t="n">
        <f aca="false">IFERROR(IF(AB207="MSD",IF(COUNT(V207,W207,X207,Y207,Z207,AA207)&lt;6,"",(W207-Z207)/SQRT(((V207-1)*X207^2+(Y207-1)*AA207^2)/(V207+Y207-2))*AD207),IF(AB207="t",AC207*SQRT(1/V207+1/Y207)*AD207,IF(AB207="F",SQRT(AC207)*SQRT(1/V207+1/Y207)*AD207,IF(AB207="z",2*(AC207/SQRT(V207+Y207))/SQRT(1-(AC207/SQRT(V207+Y207))^2)*AD207,IF(AB207="t_paired",AC207/SQRT(V207)*AD207,""))))),"")</f>
        <v>0.856597858493215</v>
      </c>
      <c r="AF207" s="7" t="n">
        <f aca="false">IF(AE207="","",IF(AB207="t_paired",1-3/(4*(V207-1)-1),1-3/(4*(V207+Y207)-9)))</f>
        <v>0.982456140350877</v>
      </c>
      <c r="AG207" s="7" t="n">
        <f aca="false">IF(AE207="","",AE207*AF207)</f>
        <v>0.84156982588807</v>
      </c>
      <c r="AH207" s="7" t="n">
        <f aca="false">IF(AG207="","",IF(AB207="t_paired",1/V207+AG207^2/(2*V207),(V207+Y207)/(V207*Y207)+AG207^2/(2*(V207+Y207))))</f>
        <v>0.0971550450839951</v>
      </c>
      <c r="AI207" s="7" t="n">
        <f aca="false">IF(AH207="","",SQRT(AH207))</f>
        <v>0.311697040544172</v>
      </c>
      <c r="AJ207" s="7" t="n">
        <f aca="false">IF(AI207="","",AG207-1.96*AI207)</f>
        <v>0.230643626421494</v>
      </c>
      <c r="AK207" s="7" t="n">
        <f aca="false">IF(AI207="","",AG207+1.96*AI207)</f>
        <v>1.45249602535465</v>
      </c>
      <c r="AL207" s="7" t="n">
        <f aca="false">IF(AI207="","",AG207/AI207)</f>
        <v>2.699960912105</v>
      </c>
      <c r="AM207" s="8" t="n">
        <f aca="false">IF(AL207="","",2*(1-NORMSDIST(ABS(AL207))))</f>
        <v>0.00693476231388313</v>
      </c>
      <c r="AN207" s="9" t="n">
        <f aca="false">IF(COUNT(V207)=0,"",IF(AB207="t_paired",V207,V207+N(Y207)))</f>
        <v>45</v>
      </c>
      <c r="AO207" s="7" t="n">
        <f aca="false">IF(AH207="","",1/AH207)</f>
        <v>10.2928262668753</v>
      </c>
      <c r="AP207" s="5" t="s">
        <v>88</v>
      </c>
      <c r="AQ207" s="5" t="s">
        <v>210</v>
      </c>
      <c r="AR207" s="5"/>
      <c r="AS207" s="7" t="n">
        <f aca="false">IF(AND(AP207="Y",ISNUMBER(AO207)),AO207,0)</f>
        <v>10.2928262668753</v>
      </c>
      <c r="AT207" s="7" t="n">
        <f aca="false">IF(AS207&gt;0,AS207*AG207,0)</f>
        <v>8.66213200931041</v>
      </c>
      <c r="AU207" s="7" t="n">
        <f aca="false">IF(AS207&gt;0,AS207*AG207^2,0)</f>
        <v>7.28978892689484</v>
      </c>
      <c r="AV207" s="9" t="n">
        <f aca="false">IF(AS207&gt;0,AS207^2,0)</f>
        <v>105.942272560078</v>
      </c>
      <c r="AW207" s="7" t="n">
        <f aca="false">IF(AS207&gt;0,AG207,0)</f>
        <v>0.84156982588807</v>
      </c>
      <c r="AX207" s="7" t="n">
        <f aca="false">IF(AS207&gt;0,AH207,1)</f>
        <v>0.0971550450839951</v>
      </c>
    </row>
    <row r="208" customFormat="false" ht="15" hidden="false" customHeight="false" outlineLevel="0" collapsed="false">
      <c r="A208" s="5" t="s">
        <v>723</v>
      </c>
      <c r="B208" s="5" t="s">
        <v>718</v>
      </c>
      <c r="C208" s="5" t="s">
        <v>719</v>
      </c>
      <c r="D208" s="5" t="n">
        <v>2023</v>
      </c>
      <c r="E208" s="5" t="s">
        <v>720</v>
      </c>
      <c r="F208" s="5" t="s">
        <v>199</v>
      </c>
      <c r="G208" s="5" t="s">
        <v>160</v>
      </c>
      <c r="H208" s="5" t="s">
        <v>162</v>
      </c>
      <c r="I208" s="5"/>
      <c r="J208" s="5" t="s">
        <v>162</v>
      </c>
      <c r="K208" s="5" t="s">
        <v>163</v>
      </c>
      <c r="L208" s="5" t="s">
        <v>164</v>
      </c>
      <c r="M208" s="5"/>
      <c r="N208" s="5"/>
      <c r="O208" s="5" t="s">
        <v>162</v>
      </c>
      <c r="P208" s="10" t="s">
        <v>82</v>
      </c>
      <c r="Q208" s="10" t="s">
        <v>83</v>
      </c>
      <c r="R208" s="5"/>
      <c r="S208" s="10" t="s">
        <v>724</v>
      </c>
      <c r="T208" s="5"/>
      <c r="U208" s="10" t="s">
        <v>98</v>
      </c>
      <c r="V208" s="5" t="n">
        <v>21</v>
      </c>
      <c r="W208" s="5" t="n">
        <v>110.82</v>
      </c>
      <c r="X208" s="5" t="n">
        <v>11.21</v>
      </c>
      <c r="Y208" s="5" t="n">
        <v>24</v>
      </c>
      <c r="Z208" s="5" t="n">
        <v>108.48</v>
      </c>
      <c r="AA208" s="5" t="n">
        <v>17.82</v>
      </c>
      <c r="AB208" s="5" t="s">
        <v>99</v>
      </c>
      <c r="AC208" s="5"/>
      <c r="AD208" s="5" t="n">
        <v>1</v>
      </c>
      <c r="AE208" s="7" t="n">
        <f aca="false">IFERROR(IF(AB208="MSD",IF(COUNT(V208,W208,X208,Y208,Z208,AA208)&lt;6,"",(W208-Z208)/SQRT(((V208-1)*X208^2+(Y208-1)*AA208^2)/(V208+Y208-2))*AD208),IF(AB208="t",AC208*SQRT(1/V208+1/Y208)*AD208,IF(AB208="F",SQRT(AC208)*SQRT(1/V208+1/Y208)*AD208,IF(AB208="z",2*(AC208/SQRT(V208+Y208))/SQRT(1-(AC208/SQRT(V208+Y208))^2)*AD208,IF(AB208="t_paired",AC208/SQRT(V208)*AD208,""))))),"")</f>
        <v>0.154867744327897</v>
      </c>
      <c r="AF208" s="7" t="n">
        <f aca="false">IF(AE208="","",IF(AB208="t_paired",1-3/(4*(V208-1)-1),1-3/(4*(V208+Y208)-9)))</f>
        <v>0.982456140350877</v>
      </c>
      <c r="AG208" s="7" t="n">
        <f aca="false">IF(AE208="","",AE208*AF208)</f>
        <v>0.152150766357232</v>
      </c>
      <c r="AH208" s="7" t="n">
        <f aca="false">IF(AG208="","",IF(AB208="t_paired",1/V208+AG208^2/(2*V208),(V208+Y208)/(V208*Y208)+AG208^2/(2*(V208+Y208))))</f>
        <v>0.0895429349046376</v>
      </c>
      <c r="AI208" s="7" t="n">
        <f aca="false">IF(AH208="","",SQRT(AH208))</f>
        <v>0.299237255208367</v>
      </c>
      <c r="AJ208" s="7" t="n">
        <f aca="false">IF(AI208="","",AG208-1.96*AI208)</f>
        <v>-0.434354253851168</v>
      </c>
      <c r="AK208" s="7" t="n">
        <f aca="false">IF(AI208="","",AG208+1.96*AI208)</f>
        <v>0.738655786565632</v>
      </c>
      <c r="AL208" s="7" t="n">
        <f aca="false">IF(AI208="","",AG208/AI208)</f>
        <v>0.50846197693962</v>
      </c>
      <c r="AM208" s="8" t="n">
        <f aca="false">IF(AL208="","",2*(1-NORMSDIST(ABS(AL208))))</f>
        <v>0.611129398051303</v>
      </c>
      <c r="AN208" s="9" t="n">
        <f aca="false">IF(COUNT(V208)=0,"",IF(AB208="t_paired",V208,V208+N(Y208)))</f>
        <v>45</v>
      </c>
      <c r="AO208" s="7" t="n">
        <f aca="false">IF(AH208="","",1/AH208)</f>
        <v>11.1678269320186</v>
      </c>
      <c r="AP208" s="5" t="s">
        <v>100</v>
      </c>
      <c r="AQ208" s="5" t="s">
        <v>210</v>
      </c>
      <c r="AR208" s="5"/>
      <c r="AS208" s="9" t="n">
        <f aca="false">IF(AND(AP208="Y",ISNUMBER(AO208)),AO208,0)</f>
        <v>0</v>
      </c>
      <c r="AT208" s="7" t="n">
        <f aca="false">IF(AS208&gt;0,AS208*AG208,0)</f>
        <v>0</v>
      </c>
      <c r="AU208" s="7" t="n">
        <f aca="false">IF(AS208&gt;0,AS208*AG208^2,0)</f>
        <v>0</v>
      </c>
      <c r="AV208" s="9" t="n">
        <f aca="false">IF(AS208&gt;0,AS208^2,0)</f>
        <v>0</v>
      </c>
      <c r="AW208" s="7" t="n">
        <f aca="false">IF(AS208&gt;0,AG208,0)</f>
        <v>0</v>
      </c>
      <c r="AX208" s="7" t="n">
        <f aca="false">IF(AS208&gt;0,AH208,1)</f>
        <v>1</v>
      </c>
    </row>
    <row r="209" customFormat="false" ht="15" hidden="false" customHeight="false" outlineLevel="0" collapsed="false">
      <c r="A209" s="5" t="s">
        <v>725</v>
      </c>
      <c r="B209" s="5" t="s">
        <v>718</v>
      </c>
      <c r="C209" s="5" t="s">
        <v>719</v>
      </c>
      <c r="D209" s="5" t="n">
        <v>2023</v>
      </c>
      <c r="E209" s="5" t="s">
        <v>720</v>
      </c>
      <c r="F209" s="5" t="s">
        <v>199</v>
      </c>
      <c r="G209" s="5" t="s">
        <v>160</v>
      </c>
      <c r="H209" s="5" t="s">
        <v>162</v>
      </c>
      <c r="I209" s="5"/>
      <c r="J209" s="5" t="s">
        <v>162</v>
      </c>
      <c r="K209" s="5" t="s">
        <v>163</v>
      </c>
      <c r="L209" s="5" t="s">
        <v>164</v>
      </c>
      <c r="M209" s="5"/>
      <c r="N209" s="5"/>
      <c r="O209" s="5" t="s">
        <v>162</v>
      </c>
      <c r="P209" s="6" t="s">
        <v>82</v>
      </c>
      <c r="Q209" s="6" t="s">
        <v>83</v>
      </c>
      <c r="R209" s="5"/>
      <c r="S209" s="6" t="s">
        <v>724</v>
      </c>
      <c r="T209" s="5"/>
      <c r="U209" s="6" t="s">
        <v>86</v>
      </c>
      <c r="V209" s="5" t="n">
        <v>21</v>
      </c>
      <c r="W209" s="5" t="n">
        <v>126.73</v>
      </c>
      <c r="X209" s="5" t="n">
        <v>8.34</v>
      </c>
      <c r="Y209" s="5" t="n">
        <v>24</v>
      </c>
      <c r="Z209" s="5" t="n">
        <v>112.61</v>
      </c>
      <c r="AA209" s="5" t="n">
        <v>15.32</v>
      </c>
      <c r="AB209" s="5" t="s">
        <v>99</v>
      </c>
      <c r="AC209" s="5"/>
      <c r="AD209" s="5" t="n">
        <v>1</v>
      </c>
      <c r="AE209" s="7" t="n">
        <f aca="false">IFERROR(IF(AB209="MSD",IF(COUNT(V209,W209,X209,Y209,Z209,AA209)&lt;6,"",(W209-Z209)/SQRT(((V209-1)*X209^2+(Y209-1)*AA209^2)/(V209+Y209-2))*AD209),IF(AB209="t",AC209*SQRT(1/V209+1/Y209)*AD209,IF(AB209="F",SQRT(AC209)*SQRT(1/V209+1/Y209)*AD209,IF(AB209="z",2*(AC209/SQRT(V209+Y209))/SQRT(1-(AC209/SQRT(V209+Y209))^2)*AD209,IF(AB209="t_paired",AC209/SQRT(V209)*AD209,""))))),"")</f>
        <v>1.12371835278264</v>
      </c>
      <c r="AF209" s="7" t="n">
        <f aca="false">IF(AE209="","",IF(AB209="t_paired",1-3/(4*(V209-1)-1),1-3/(4*(V209+Y209)-9)))</f>
        <v>0.982456140350877</v>
      </c>
      <c r="AG209" s="7" t="n">
        <f aca="false">IF(AE209="","",AE209*AF209)</f>
        <v>1.10400399571628</v>
      </c>
      <c r="AH209" s="7" t="n">
        <f aca="false">IF(AG209="","",IF(AB209="t_paired",1/V209+AG209^2/(2*V209),(V209+Y209)/(V209*Y209)+AG209^2/(2*(V209+Y209))))</f>
        <v>0.102828212314131</v>
      </c>
      <c r="AI209" s="7" t="n">
        <f aca="false">IF(AH209="","",SQRT(AH209))</f>
        <v>0.320668383714595</v>
      </c>
      <c r="AJ209" s="7" t="n">
        <f aca="false">IF(AI209="","",AG209-1.96*AI209)</f>
        <v>0.47549396363567</v>
      </c>
      <c r="AK209" s="7" t="n">
        <f aca="false">IF(AI209="","",AG209+1.96*AI209)</f>
        <v>1.73251402779688</v>
      </c>
      <c r="AL209" s="7" t="n">
        <f aca="false">IF(AI209="","",AG209/AI209)</f>
        <v>3.44282146848276</v>
      </c>
      <c r="AM209" s="8" t="n">
        <f aca="false">IF(AL209="","",2*(1-NORMSDIST(ABS(AL209))))</f>
        <v>0.000575679215334857</v>
      </c>
      <c r="AN209" s="9" t="n">
        <f aca="false">IF(COUNT(V209)=0,"",IF(AB209="t_paired",V209,V209+N(Y209)))</f>
        <v>45</v>
      </c>
      <c r="AO209" s="7" t="n">
        <f aca="false">IF(AH209="","",1/AH209)</f>
        <v>9.72495755294363</v>
      </c>
      <c r="AP209" s="5" t="s">
        <v>88</v>
      </c>
      <c r="AQ209" s="5" t="s">
        <v>210</v>
      </c>
      <c r="AR209" s="5"/>
      <c r="AS209" s="7" t="n">
        <f aca="false">IF(AND(AP209="Y",ISNUMBER(AO209)),AO209,0)</f>
        <v>9.72495755294363</v>
      </c>
      <c r="AT209" s="7" t="n">
        <f aca="false">IF(AS209&gt;0,AS209*AG209,0)</f>
        <v>10.736391996621</v>
      </c>
      <c r="AU209" s="7" t="n">
        <f aca="false">IF(AS209&gt;0,AS209*AG209^2,0)</f>
        <v>11.8530196638458</v>
      </c>
      <c r="AV209" s="9" t="n">
        <f aca="false">IF(AS209&gt;0,AS209^2,0)</f>
        <v>94.5747994065554</v>
      </c>
      <c r="AW209" s="7" t="n">
        <f aca="false">IF(AS209&gt;0,AG209,0)</f>
        <v>1.10400399571628</v>
      </c>
      <c r="AX209" s="7" t="n">
        <f aca="false">IF(AS209&gt;0,AH209,1)</f>
        <v>0.102828212314131</v>
      </c>
    </row>
    <row r="210" customFormat="false" ht="15" hidden="false" customHeight="false" outlineLevel="0" collapsed="false">
      <c r="A210" s="5" t="s">
        <v>726</v>
      </c>
      <c r="B210" s="5" t="s">
        <v>718</v>
      </c>
      <c r="C210" s="5" t="s">
        <v>719</v>
      </c>
      <c r="D210" s="5" t="n">
        <v>2023</v>
      </c>
      <c r="E210" s="5" t="s">
        <v>720</v>
      </c>
      <c r="F210" s="5" t="s">
        <v>199</v>
      </c>
      <c r="G210" s="5" t="s">
        <v>160</v>
      </c>
      <c r="H210" s="5" t="s">
        <v>162</v>
      </c>
      <c r="I210" s="5"/>
      <c r="J210" s="5" t="s">
        <v>162</v>
      </c>
      <c r="K210" s="5" t="s">
        <v>163</v>
      </c>
      <c r="L210" s="5" t="s">
        <v>164</v>
      </c>
      <c r="M210" s="5"/>
      <c r="N210" s="5"/>
      <c r="O210" s="5" t="s">
        <v>162</v>
      </c>
      <c r="P210" s="10" t="s">
        <v>82</v>
      </c>
      <c r="Q210" s="10" t="s">
        <v>83</v>
      </c>
      <c r="R210" s="5"/>
      <c r="S210" s="10" t="s">
        <v>727</v>
      </c>
      <c r="T210" s="5"/>
      <c r="U210" s="10" t="s">
        <v>98</v>
      </c>
      <c r="V210" s="5" t="n">
        <v>21</v>
      </c>
      <c r="W210" s="5" t="n">
        <v>33.23</v>
      </c>
      <c r="X210" s="5" t="n">
        <v>3.21</v>
      </c>
      <c r="Y210" s="5" t="n">
        <v>24</v>
      </c>
      <c r="Z210" s="5" t="n">
        <v>32.04</v>
      </c>
      <c r="AA210" s="5" t="n">
        <v>6.14</v>
      </c>
      <c r="AB210" s="5" t="s">
        <v>99</v>
      </c>
      <c r="AC210" s="5"/>
      <c r="AD210" s="5" t="n">
        <v>1</v>
      </c>
      <c r="AE210" s="7" t="n">
        <f aca="false">IFERROR(IF(AB210="MSD",IF(COUNT(V210,W210,X210,Y210,Z210,AA210)&lt;6,"",(W210-Z210)/SQRT(((V210-1)*X210^2+(Y210-1)*AA210^2)/(V210+Y210-2))*AD210),IF(AB210="t",AC210*SQRT(1/V210+1/Y210)*AD210,IF(AB210="F",SQRT(AC210)*SQRT(1/V210+1/Y210)*AD210,IF(AB210="z",2*(AC210/SQRT(V210+Y210))/SQRT(1-(AC210/SQRT(V210+Y210))^2)*AD210,IF(AB210="t_paired",AC210/SQRT(V210)*AD210,""))))),"")</f>
        <v>0.238202525004289</v>
      </c>
      <c r="AF210" s="7" t="n">
        <f aca="false">IF(AE210="","",IF(AB210="t_paired",1-3/(4*(V210-1)-1),1-3/(4*(V210+Y210)-9)))</f>
        <v>0.982456140350877</v>
      </c>
      <c r="AG210" s="7" t="n">
        <f aca="false">IF(AE210="","",AE210*AF210)</f>
        <v>0.234023533337547</v>
      </c>
      <c r="AH210" s="7" t="n">
        <f aca="false">IF(AG210="","",IF(AB210="t_paired",1/V210+AG210^2/(2*V210),(V210+Y210)/(V210*Y210)+AG210^2/(2*(V210+Y210))))</f>
        <v>0.0898942366652231</v>
      </c>
      <c r="AI210" s="7" t="n">
        <f aca="false">IF(AH210="","",SQRT(AH210))</f>
        <v>0.299823675958426</v>
      </c>
      <c r="AJ210" s="7" t="n">
        <f aca="false">IF(AI210="","",AG210-1.96*AI210)</f>
        <v>-0.353630871540967</v>
      </c>
      <c r="AK210" s="7" t="n">
        <f aca="false">IF(AI210="","",AG210+1.96*AI210)</f>
        <v>0.821677938216061</v>
      </c>
      <c r="AL210" s="7" t="n">
        <f aca="false">IF(AI210="","",AG210/AI210)</f>
        <v>0.780537202705757</v>
      </c>
      <c r="AM210" s="8" t="n">
        <f aca="false">IF(AL210="","",2*(1-NORMSDIST(ABS(AL210))))</f>
        <v>0.435074738508152</v>
      </c>
      <c r="AN210" s="9" t="n">
        <f aca="false">IF(COUNT(V210)=0,"",IF(AB210="t_paired",V210,V210+N(Y210)))</f>
        <v>45</v>
      </c>
      <c r="AO210" s="7" t="n">
        <f aca="false">IF(AH210="","",1/AH210)</f>
        <v>11.124183675135</v>
      </c>
      <c r="AP210" s="5" t="s">
        <v>100</v>
      </c>
      <c r="AQ210" s="5" t="s">
        <v>210</v>
      </c>
      <c r="AR210" s="5"/>
      <c r="AS210" s="9" t="n">
        <f aca="false">IF(AND(AP210="Y",ISNUMBER(AO210)),AO210,0)</f>
        <v>0</v>
      </c>
      <c r="AT210" s="7" t="n">
        <f aca="false">IF(AS210&gt;0,AS210*AG210,0)</f>
        <v>0</v>
      </c>
      <c r="AU210" s="7" t="n">
        <f aca="false">IF(AS210&gt;0,AS210*AG210^2,0)</f>
        <v>0</v>
      </c>
      <c r="AV210" s="9" t="n">
        <f aca="false">IF(AS210&gt;0,AS210^2,0)</f>
        <v>0</v>
      </c>
      <c r="AW210" s="7" t="n">
        <f aca="false">IF(AS210&gt;0,AG210,0)</f>
        <v>0</v>
      </c>
      <c r="AX210" s="7" t="n">
        <f aca="false">IF(AS210&gt;0,AH210,1)</f>
        <v>1</v>
      </c>
    </row>
    <row r="211" customFormat="false" ht="15" hidden="false" customHeight="false" outlineLevel="0" collapsed="false">
      <c r="A211" s="5" t="s">
        <v>728</v>
      </c>
      <c r="B211" s="5" t="s">
        <v>718</v>
      </c>
      <c r="C211" s="5" t="s">
        <v>719</v>
      </c>
      <c r="D211" s="5" t="n">
        <v>2023</v>
      </c>
      <c r="E211" s="5" t="s">
        <v>720</v>
      </c>
      <c r="F211" s="5" t="s">
        <v>199</v>
      </c>
      <c r="G211" s="5" t="s">
        <v>160</v>
      </c>
      <c r="H211" s="5" t="s">
        <v>162</v>
      </c>
      <c r="I211" s="5"/>
      <c r="J211" s="5" t="s">
        <v>162</v>
      </c>
      <c r="K211" s="5" t="s">
        <v>163</v>
      </c>
      <c r="L211" s="5" t="s">
        <v>164</v>
      </c>
      <c r="M211" s="5"/>
      <c r="N211" s="5"/>
      <c r="O211" s="5" t="s">
        <v>162</v>
      </c>
      <c r="P211" s="6" t="s">
        <v>82</v>
      </c>
      <c r="Q211" s="6" t="s">
        <v>83</v>
      </c>
      <c r="R211" s="5"/>
      <c r="S211" s="6" t="s">
        <v>727</v>
      </c>
      <c r="T211" s="5"/>
      <c r="U211" s="6" t="s">
        <v>86</v>
      </c>
      <c r="V211" s="5" t="n">
        <v>21</v>
      </c>
      <c r="W211" s="5" t="n">
        <v>37.14</v>
      </c>
      <c r="X211" s="5" t="n">
        <v>1.96</v>
      </c>
      <c r="Y211" s="5" t="n">
        <v>24</v>
      </c>
      <c r="Z211" s="5" t="n">
        <v>32.35</v>
      </c>
      <c r="AA211" s="5" t="n">
        <v>4.3</v>
      </c>
      <c r="AB211" s="5" t="s">
        <v>99</v>
      </c>
      <c r="AC211" s="5"/>
      <c r="AD211" s="5" t="n">
        <v>1</v>
      </c>
      <c r="AE211" s="7" t="n">
        <f aca="false">IFERROR(IF(AB211="MSD",IF(COUNT(V211,W211,X211,Y211,Z211,AA211)&lt;6,"",(W211-Z211)/SQRT(((V211-1)*X211^2+(Y211-1)*AA211^2)/(V211+Y211-2))*AD211),IF(AB211="t",AC211*SQRT(1/V211+1/Y211)*AD211,IF(AB211="F",SQRT(AC211)*SQRT(1/V211+1/Y211)*AD211,IF(AB211="z",2*(AC211/SQRT(V211+Y211))/SQRT(1-(AC211/SQRT(V211+Y211))^2)*AD211,IF(AB211="t_paired",AC211/SQRT(V211)*AD211,""))))),"")</f>
        <v>1.40176033107079</v>
      </c>
      <c r="AF211" s="7" t="n">
        <f aca="false">IF(AE211="","",IF(AB211="t_paired",1-3/(4*(V211-1)-1),1-3/(4*(V211+Y211)-9)))</f>
        <v>0.982456140350877</v>
      </c>
      <c r="AG211" s="7" t="n">
        <f aca="false">IF(AE211="","",AE211*AF211)</f>
        <v>1.37716804456078</v>
      </c>
      <c r="AH211" s="7" t="n">
        <f aca="false">IF(AG211="","",IF(AB211="t_paired",1/V211+AG211^2/(2*V211),(V211+Y211)/(V211*Y211)+AG211^2/(2*(V211+Y211))))</f>
        <v>0.11035895676304</v>
      </c>
      <c r="AI211" s="7" t="n">
        <f aca="false">IF(AH211="","",SQRT(AH211))</f>
        <v>0.332203185961605</v>
      </c>
      <c r="AJ211" s="7" t="n">
        <f aca="false">IF(AI211="","",AG211-1.96*AI211)</f>
        <v>0.72604980007603</v>
      </c>
      <c r="AK211" s="7" t="n">
        <f aca="false">IF(AI211="","",AG211+1.96*AI211)</f>
        <v>2.02828628904552</v>
      </c>
      <c r="AL211" s="7" t="n">
        <f aca="false">IF(AI211="","",AG211/AI211)</f>
        <v>4.14555941290685</v>
      </c>
      <c r="AM211" s="8" t="n">
        <f aca="false">IF(AL211="","",2*(1-NORMSDIST(ABS(AL211))))</f>
        <v>3.38985087275923E-005</v>
      </c>
      <c r="AN211" s="9" t="n">
        <f aca="false">IF(COUNT(V211)=0,"",IF(AB211="t_paired",V211,V211+N(Y211)))</f>
        <v>45</v>
      </c>
      <c r="AO211" s="7" t="n">
        <f aca="false">IF(AH211="","",1/AH211)</f>
        <v>9.06133973472739</v>
      </c>
      <c r="AP211" s="5" t="s">
        <v>88</v>
      </c>
      <c r="AQ211" s="5" t="s">
        <v>210</v>
      </c>
      <c r="AR211" s="5"/>
      <c r="AS211" s="7" t="n">
        <f aca="false">IF(AND(AP211="Y",ISNUMBER(AO211)),AO211,0)</f>
        <v>9.06133973472739</v>
      </c>
      <c r="AT211" s="7" t="n">
        <f aca="false">IF(AS211&gt;0,AS211*AG211,0)</f>
        <v>12.4789875235754</v>
      </c>
      <c r="AU211" s="7" t="n">
        <f aca="false">IF(AS211&gt;0,AS211*AG211^2,0)</f>
        <v>17.1856628459406</v>
      </c>
      <c r="AV211" s="9" t="n">
        <f aca="false">IF(AS211&gt;0,AS211^2,0)</f>
        <v>82.1078777881495</v>
      </c>
      <c r="AW211" s="7" t="n">
        <f aca="false">IF(AS211&gt;0,AG211,0)</f>
        <v>1.37716804456078</v>
      </c>
      <c r="AX211" s="7" t="n">
        <f aca="false">IF(AS211&gt;0,AH211,1)</f>
        <v>0.11035895676304</v>
      </c>
    </row>
    <row r="212" customFormat="false" ht="15" hidden="false" customHeight="false" outlineLevel="0" collapsed="false">
      <c r="A212" s="5" t="s">
        <v>729</v>
      </c>
      <c r="B212" s="5" t="s">
        <v>718</v>
      </c>
      <c r="C212" s="5" t="s">
        <v>719</v>
      </c>
      <c r="D212" s="5" t="n">
        <v>2023</v>
      </c>
      <c r="E212" s="5" t="s">
        <v>720</v>
      </c>
      <c r="F212" s="5" t="s">
        <v>199</v>
      </c>
      <c r="G212" s="5" t="s">
        <v>160</v>
      </c>
      <c r="H212" s="5" t="s">
        <v>162</v>
      </c>
      <c r="I212" s="5"/>
      <c r="J212" s="5" t="s">
        <v>162</v>
      </c>
      <c r="K212" s="5" t="s">
        <v>163</v>
      </c>
      <c r="L212" s="5" t="s">
        <v>164</v>
      </c>
      <c r="M212" s="5"/>
      <c r="N212" s="5"/>
      <c r="O212" s="5" t="s">
        <v>162</v>
      </c>
      <c r="P212" s="10" t="s">
        <v>82</v>
      </c>
      <c r="Q212" s="10" t="s">
        <v>83</v>
      </c>
      <c r="R212" s="5"/>
      <c r="S212" s="10" t="s">
        <v>209</v>
      </c>
      <c r="T212" s="5"/>
      <c r="U212" s="10" t="s">
        <v>98</v>
      </c>
      <c r="V212" s="5" t="n">
        <v>21</v>
      </c>
      <c r="W212" s="5" t="n">
        <v>19.14</v>
      </c>
      <c r="X212" s="5" t="n">
        <v>3.12</v>
      </c>
      <c r="Y212" s="5" t="n">
        <v>24</v>
      </c>
      <c r="Z212" s="5" t="n">
        <v>19.17</v>
      </c>
      <c r="AA212" s="5" t="n">
        <v>2.95</v>
      </c>
      <c r="AB212" s="5" t="s">
        <v>99</v>
      </c>
      <c r="AC212" s="5"/>
      <c r="AD212" s="5" t="n">
        <v>1</v>
      </c>
      <c r="AE212" s="7" t="n">
        <f aca="false">IFERROR(IF(AB212="MSD",IF(COUNT(V212,W212,X212,Y212,Z212,AA212)&lt;6,"",(W212-Z212)/SQRT(((V212-1)*X212^2+(Y212-1)*AA212^2)/(V212+Y212-2))*AD212),IF(AB212="t",AC212*SQRT(1/V212+1/Y212)*AD212,IF(AB212="F",SQRT(AC212)*SQRT(1/V212+1/Y212)*AD212,IF(AB212="z",2*(AC212/SQRT(V212+Y212))/SQRT(1-(AC212/SQRT(V212+Y212))^2)*AD212,IF(AB212="t_paired",AC212/SQRT(V212)*AD212,""))))),"")</f>
        <v>-0.00990015253835133</v>
      </c>
      <c r="AF212" s="7" t="n">
        <f aca="false">IF(AE212="","",IF(AB212="t_paired",1-3/(4*(V212-1)-1),1-3/(4*(V212+Y212)-9)))</f>
        <v>0.982456140350877</v>
      </c>
      <c r="AG212" s="7" t="n">
        <f aca="false">IF(AE212="","",AE212*AF212)</f>
        <v>-0.00972646565171359</v>
      </c>
      <c r="AH212" s="7" t="n">
        <f aca="false">IF(AG212="","",IF(AB212="t_paired",1/V212+AG212^2/(2*V212),(V212+Y212)/(V212*Y212)+AG212^2/(2*(V212+Y212))))</f>
        <v>0.0892867654427596</v>
      </c>
      <c r="AI212" s="7" t="n">
        <f aca="false">IF(AH212="","",SQRT(AH212))</f>
        <v>0.298808911250584</v>
      </c>
      <c r="AJ212" s="7" t="n">
        <f aca="false">IF(AI212="","",AG212-1.96*AI212)</f>
        <v>-0.595391931702859</v>
      </c>
      <c r="AK212" s="7" t="n">
        <f aca="false">IF(AI212="","",AG212+1.96*AI212)</f>
        <v>0.575939000399432</v>
      </c>
      <c r="AL212" s="7" t="n">
        <f aca="false">IF(AI212="","",AG212/AI212)</f>
        <v>-0.0325507884319985</v>
      </c>
      <c r="AM212" s="8" t="n">
        <f aca="false">IF(AL212="","",2*(1-NORMSDIST(ABS(AL212))))</f>
        <v>0.974032814154296</v>
      </c>
      <c r="AN212" s="9" t="n">
        <f aca="false">IF(COUNT(V212)=0,"",IF(AB212="t_paired",V212,V212+N(Y212)))</f>
        <v>45</v>
      </c>
      <c r="AO212" s="7" t="n">
        <f aca="false">IF(AH212="","",1/AH212)</f>
        <v>11.1998681444126</v>
      </c>
      <c r="AP212" s="5" t="s">
        <v>100</v>
      </c>
      <c r="AQ212" s="5" t="s">
        <v>210</v>
      </c>
      <c r="AR212" s="5"/>
      <c r="AS212" s="9" t="n">
        <f aca="false">IF(AND(AP212="Y",ISNUMBER(AO212)),AO212,0)</f>
        <v>0</v>
      </c>
      <c r="AT212" s="7" t="n">
        <f aca="false">IF(AS212&gt;0,AS212*AG212,0)</f>
        <v>0</v>
      </c>
      <c r="AU212" s="7" t="n">
        <f aca="false">IF(AS212&gt;0,AS212*AG212^2,0)</f>
        <v>0</v>
      </c>
      <c r="AV212" s="9" t="n">
        <f aca="false">IF(AS212&gt;0,AS212^2,0)</f>
        <v>0</v>
      </c>
      <c r="AW212" s="7" t="n">
        <f aca="false">IF(AS212&gt;0,AG212,0)</f>
        <v>0</v>
      </c>
      <c r="AX212" s="7" t="n">
        <f aca="false">IF(AS212&gt;0,AH212,1)</f>
        <v>1</v>
      </c>
    </row>
    <row r="213" customFormat="false" ht="15" hidden="false" customHeight="false" outlineLevel="0" collapsed="false">
      <c r="A213" s="5" t="s">
        <v>730</v>
      </c>
      <c r="B213" s="5" t="s">
        <v>718</v>
      </c>
      <c r="C213" s="5" t="s">
        <v>719</v>
      </c>
      <c r="D213" s="5" t="n">
        <v>2023</v>
      </c>
      <c r="E213" s="5" t="s">
        <v>720</v>
      </c>
      <c r="F213" s="5" t="s">
        <v>199</v>
      </c>
      <c r="G213" s="5" t="s">
        <v>160</v>
      </c>
      <c r="H213" s="5" t="s">
        <v>162</v>
      </c>
      <c r="I213" s="5"/>
      <c r="J213" s="5" t="s">
        <v>162</v>
      </c>
      <c r="K213" s="5" t="s">
        <v>163</v>
      </c>
      <c r="L213" s="5" t="s">
        <v>164</v>
      </c>
      <c r="M213" s="5"/>
      <c r="N213" s="5"/>
      <c r="O213" s="5" t="s">
        <v>162</v>
      </c>
      <c r="P213" s="6" t="s">
        <v>82</v>
      </c>
      <c r="Q213" s="6" t="s">
        <v>83</v>
      </c>
      <c r="R213" s="5"/>
      <c r="S213" s="6" t="s">
        <v>209</v>
      </c>
      <c r="T213" s="5"/>
      <c r="U213" s="6" t="s">
        <v>86</v>
      </c>
      <c r="V213" s="5" t="n">
        <v>21</v>
      </c>
      <c r="W213" s="5" t="n">
        <v>21.55</v>
      </c>
      <c r="X213" s="5" t="n">
        <v>2.84</v>
      </c>
      <c r="Y213" s="5" t="n">
        <v>24</v>
      </c>
      <c r="Z213" s="5" t="n">
        <v>18.96</v>
      </c>
      <c r="AA213" s="5" t="n">
        <v>5.43</v>
      </c>
      <c r="AB213" s="5" t="s">
        <v>99</v>
      </c>
      <c r="AC213" s="5"/>
      <c r="AD213" s="5" t="n">
        <v>1</v>
      </c>
      <c r="AE213" s="7" t="n">
        <f aca="false">IFERROR(IF(AB213="MSD",IF(COUNT(V213,W213,X213,Y213,Z213,AA213)&lt;6,"",(W213-Z213)/SQRT(((V213-1)*X213^2+(Y213-1)*AA213^2)/(V213+Y213-2))*AD213),IF(AB213="t",AC213*SQRT(1/V213+1/Y213)*AD213,IF(AB213="F",SQRT(AC213)*SQRT(1/V213+1/Y213)*AD213,IF(AB213="z",2*(AC213/SQRT(V213+Y213))/SQRT(1-(AC213/SQRT(V213+Y213))^2)*AD213,IF(AB213="t_paired",AC213/SQRT(V213)*AD213,""))))),"")</f>
        <v>0.586182397186014</v>
      </c>
      <c r="AF213" s="7" t="n">
        <f aca="false">IF(AE213="","",IF(AB213="t_paired",1-3/(4*(V213-1)-1),1-3/(4*(V213+Y213)-9)))</f>
        <v>0.982456140350877</v>
      </c>
      <c r="AG213" s="7" t="n">
        <f aca="false">IF(AE213="","",AE213*AF213)</f>
        <v>0.575898495480996</v>
      </c>
      <c r="AH213" s="7" t="n">
        <f aca="false">IF(AG213="","",IF(AB213="t_paired",1/V213+AG213^2/(2*V213),(V213+Y213)/(V213*Y213)+AG213^2/(2*(V213+Y213))))</f>
        <v>0.0929708151423507</v>
      </c>
      <c r="AI213" s="7" t="n">
        <f aca="false">IF(AH213="","",SQRT(AH213))</f>
        <v>0.304911159425743</v>
      </c>
      <c r="AJ213" s="7" t="n">
        <f aca="false">IF(AI213="","",AG213-1.96*AI213)</f>
        <v>-0.0217273769934594</v>
      </c>
      <c r="AK213" s="7" t="n">
        <f aca="false">IF(AI213="","",AG213+1.96*AI213)</f>
        <v>1.17352436795545</v>
      </c>
      <c r="AL213" s="7" t="n">
        <f aca="false">IF(AI213="","",AG213/AI213)</f>
        <v>1.88874194229434</v>
      </c>
      <c r="AM213" s="8" t="n">
        <f aca="false">IF(AL213="","",2*(1-NORMSDIST(ABS(AL213))))</f>
        <v>0.058926415609577</v>
      </c>
      <c r="AN213" s="9" t="n">
        <f aca="false">IF(COUNT(V213)=0,"",IF(AB213="t_paired",V213,V213+N(Y213)))</f>
        <v>45</v>
      </c>
      <c r="AO213" s="7" t="n">
        <f aca="false">IF(AH213="","",1/AH213)</f>
        <v>10.7560635933854</v>
      </c>
      <c r="AP213" s="5" t="s">
        <v>88</v>
      </c>
      <c r="AQ213" s="5" t="s">
        <v>210</v>
      </c>
      <c r="AR213" s="5"/>
      <c r="AS213" s="7" t="n">
        <f aca="false">IF(AND(AP213="Y",ISNUMBER(AO213)),AO213,0)</f>
        <v>10.7560635933854</v>
      </c>
      <c r="AT213" s="7" t="n">
        <f aca="false">IF(AS213&gt;0,AS213*AG213,0)</f>
        <v>6.19440084072856</v>
      </c>
      <c r="AU213" s="7" t="n">
        <f aca="false">IF(AS213&gt;0,AS213*AG213^2,0)</f>
        <v>3.56734612458179</v>
      </c>
      <c r="AV213" s="9" t="n">
        <f aca="false">IF(AS213&gt;0,AS213^2,0)</f>
        <v>115.69290402495</v>
      </c>
      <c r="AW213" s="7" t="n">
        <f aca="false">IF(AS213&gt;0,AG213,0)</f>
        <v>0.575898495480996</v>
      </c>
      <c r="AX213" s="7" t="n">
        <f aca="false">IF(AS213&gt;0,AH213,1)</f>
        <v>0.0929708151423507</v>
      </c>
    </row>
    <row r="214" customFormat="false" ht="15" hidden="false" customHeight="false" outlineLevel="0" collapsed="false">
      <c r="A214" s="5" t="s">
        <v>731</v>
      </c>
      <c r="B214" s="5" t="s">
        <v>718</v>
      </c>
      <c r="C214" s="5" t="s">
        <v>719</v>
      </c>
      <c r="D214" s="5" t="n">
        <v>2023</v>
      </c>
      <c r="E214" s="5" t="s">
        <v>720</v>
      </c>
      <c r="F214" s="5" t="s">
        <v>199</v>
      </c>
      <c r="G214" s="5" t="s">
        <v>160</v>
      </c>
      <c r="H214" s="5" t="s">
        <v>162</v>
      </c>
      <c r="I214" s="5"/>
      <c r="J214" s="5" t="s">
        <v>162</v>
      </c>
      <c r="K214" s="5" t="s">
        <v>163</v>
      </c>
      <c r="L214" s="5" t="s">
        <v>164</v>
      </c>
      <c r="M214" s="5"/>
      <c r="N214" s="5"/>
      <c r="O214" s="5" t="s">
        <v>162</v>
      </c>
      <c r="P214" s="10" t="s">
        <v>82</v>
      </c>
      <c r="Q214" s="10" t="s">
        <v>83</v>
      </c>
      <c r="R214" s="5"/>
      <c r="S214" s="10" t="s">
        <v>732</v>
      </c>
      <c r="T214" s="5"/>
      <c r="U214" s="10" t="s">
        <v>98</v>
      </c>
      <c r="V214" s="5" t="n">
        <v>21</v>
      </c>
      <c r="W214" s="5" t="n">
        <v>21.68</v>
      </c>
      <c r="X214" s="5" t="n">
        <v>2.42</v>
      </c>
      <c r="Y214" s="5" t="n">
        <v>24</v>
      </c>
      <c r="Z214" s="5" t="n">
        <v>21.26</v>
      </c>
      <c r="AA214" s="5" t="n">
        <v>6.29</v>
      </c>
      <c r="AB214" s="5" t="s">
        <v>99</v>
      </c>
      <c r="AC214" s="5"/>
      <c r="AD214" s="5" t="n">
        <v>1</v>
      </c>
      <c r="AE214" s="7" t="n">
        <f aca="false">IFERROR(IF(AB214="MSD",IF(COUNT(V214,W214,X214,Y214,Z214,AA214)&lt;6,"",(W214-Z214)/SQRT(((V214-1)*X214^2+(Y214-1)*AA214^2)/(V214+Y214-2))*AD214),IF(AB214="t",AC214*SQRT(1/V214+1/Y214)*AD214,IF(AB214="F",SQRT(AC214)*SQRT(1/V214+1/Y214)*AD214,IF(AB214="z",2*(AC214/SQRT(V214+Y214))/SQRT(1-(AC214/SQRT(V214+Y214))^2)*AD214,IF(AB214="t_paired",AC214/SQRT(V214)*AD214,""))))),"")</f>
        <v>0.0859363032015778</v>
      </c>
      <c r="AF214" s="7" t="n">
        <f aca="false">IF(AE214="","",IF(AB214="t_paired",1-3/(4*(V214-1)-1),1-3/(4*(V214+Y214)-9)))</f>
        <v>0.982456140350877</v>
      </c>
      <c r="AG214" s="7" t="n">
        <f aca="false">IF(AE214="","",AE214*AF214)</f>
        <v>0.0844286487594449</v>
      </c>
      <c r="AH214" s="7" t="n">
        <f aca="false">IF(AG214="","",IF(AB214="t_paired",1/V214+AG214^2/(2*V214),(V214+Y214)/(V214*Y214)+AG214^2/(2*(V214+Y214))))</f>
        <v>0.0893649164716181</v>
      </c>
      <c r="AI214" s="7" t="n">
        <f aca="false">IF(AH214="","",SQRT(AH214))</f>
        <v>0.298939653561748</v>
      </c>
      <c r="AJ214" s="7" t="n">
        <f aca="false">IF(AI214="","",AG214-1.96*AI214)</f>
        <v>-0.501493072221582</v>
      </c>
      <c r="AK214" s="7" t="n">
        <f aca="false">IF(AI214="","",AG214+1.96*AI214)</f>
        <v>0.670350369740472</v>
      </c>
      <c r="AL214" s="7" t="n">
        <f aca="false">IF(AI214="","",AG214/AI214)</f>
        <v>0.282427064303818</v>
      </c>
      <c r="AM214" s="8" t="n">
        <f aca="false">IF(AL214="","",2*(1-NORMSDIST(ABS(AL214))))</f>
        <v>0.777616065007856</v>
      </c>
      <c r="AN214" s="9" t="n">
        <f aca="false">IF(COUNT(V214)=0,"",IF(AB214="t_paired",V214,V214+N(Y214)))</f>
        <v>45</v>
      </c>
      <c r="AO214" s="7" t="n">
        <f aca="false">IF(AH214="","",1/AH214)</f>
        <v>11.1900736830834</v>
      </c>
      <c r="AP214" s="5" t="s">
        <v>100</v>
      </c>
      <c r="AQ214" s="5" t="s">
        <v>210</v>
      </c>
      <c r="AR214" s="5"/>
      <c r="AS214" s="9" t="n">
        <f aca="false">IF(AND(AP214="Y",ISNUMBER(AO214)),AO214,0)</f>
        <v>0</v>
      </c>
      <c r="AT214" s="7" t="n">
        <f aca="false">IF(AS214&gt;0,AS214*AG214,0)</f>
        <v>0</v>
      </c>
      <c r="AU214" s="7" t="n">
        <f aca="false">IF(AS214&gt;0,AS214*AG214^2,0)</f>
        <v>0</v>
      </c>
      <c r="AV214" s="9" t="n">
        <f aca="false">IF(AS214&gt;0,AS214^2,0)</f>
        <v>0</v>
      </c>
      <c r="AW214" s="7" t="n">
        <f aca="false">IF(AS214&gt;0,AG214,0)</f>
        <v>0</v>
      </c>
      <c r="AX214" s="7" t="n">
        <f aca="false">IF(AS214&gt;0,AH214,1)</f>
        <v>1</v>
      </c>
    </row>
    <row r="215" customFormat="false" ht="15" hidden="false" customHeight="false" outlineLevel="0" collapsed="false">
      <c r="A215" s="5" t="s">
        <v>733</v>
      </c>
      <c r="B215" s="5" t="s">
        <v>718</v>
      </c>
      <c r="C215" s="5" t="s">
        <v>719</v>
      </c>
      <c r="D215" s="5" t="n">
        <v>2023</v>
      </c>
      <c r="E215" s="5" t="s">
        <v>720</v>
      </c>
      <c r="F215" s="5" t="s">
        <v>199</v>
      </c>
      <c r="G215" s="5" t="s">
        <v>160</v>
      </c>
      <c r="H215" s="5" t="s">
        <v>162</v>
      </c>
      <c r="I215" s="5"/>
      <c r="J215" s="5" t="s">
        <v>162</v>
      </c>
      <c r="K215" s="5" t="s">
        <v>163</v>
      </c>
      <c r="L215" s="5" t="s">
        <v>164</v>
      </c>
      <c r="M215" s="5"/>
      <c r="N215" s="5"/>
      <c r="O215" s="5" t="s">
        <v>162</v>
      </c>
      <c r="P215" s="6" t="s">
        <v>82</v>
      </c>
      <c r="Q215" s="6" t="s">
        <v>83</v>
      </c>
      <c r="R215" s="5"/>
      <c r="S215" s="6" t="s">
        <v>732</v>
      </c>
      <c r="T215" s="5"/>
      <c r="U215" s="6" t="s">
        <v>86</v>
      </c>
      <c r="V215" s="5" t="n">
        <v>21</v>
      </c>
      <c r="W215" s="5" t="n">
        <v>25</v>
      </c>
      <c r="X215" s="5" t="n">
        <v>2.99</v>
      </c>
      <c r="Y215" s="5" t="n">
        <v>24</v>
      </c>
      <c r="Z215" s="5" t="n">
        <v>22.26</v>
      </c>
      <c r="AA215" s="5" t="n">
        <v>4.09</v>
      </c>
      <c r="AB215" s="5" t="s">
        <v>99</v>
      </c>
      <c r="AC215" s="5"/>
      <c r="AD215" s="5" t="n">
        <v>1</v>
      </c>
      <c r="AE215" s="7" t="n">
        <f aca="false">IFERROR(IF(AB215="MSD",IF(COUNT(V215,W215,X215,Y215,Z215,AA215)&lt;6,"",(W215-Z215)/SQRT(((V215-1)*X215^2+(Y215-1)*AA215^2)/(V215+Y215-2))*AD215),IF(AB215="t",AC215*SQRT(1/V215+1/Y215)*AD215,IF(AB215="F",SQRT(AC215)*SQRT(1/V215+1/Y215)*AD215,IF(AB215="z",2*(AC215/SQRT(V215+Y215))/SQRT(1-(AC215/SQRT(V215+Y215))^2)*AD215,IF(AB215="t_paired",AC215/SQRT(V215)*AD215,""))))),"")</f>
        <v>0.756866387474068</v>
      </c>
      <c r="AF215" s="7" t="n">
        <f aca="false">IF(AE215="","",IF(AB215="t_paired",1-3/(4*(V215-1)-1),1-3/(4*(V215+Y215)-9)))</f>
        <v>0.982456140350877</v>
      </c>
      <c r="AG215" s="7" t="n">
        <f aca="false">IF(AE215="","",AE215*AF215)</f>
        <v>0.743588029799084</v>
      </c>
      <c r="AH215" s="7" t="n">
        <f aca="false">IF(AG215="","",IF(AB215="t_paired",1/V215+AG215^2/(2*V215),(V215+Y215)/(V215*Y215)+AG215^2/(2*(V215+Y215))))</f>
        <v>0.0954293049308308</v>
      </c>
      <c r="AI215" s="7" t="n">
        <f aca="false">IF(AH215="","",SQRT(AH215))</f>
        <v>0.308916339695444</v>
      </c>
      <c r="AJ215" s="7" t="n">
        <f aca="false">IF(AI215="","",AG215-1.96*AI215)</f>
        <v>0.138112003996015</v>
      </c>
      <c r="AK215" s="7" t="n">
        <f aca="false">IF(AI215="","",AG215+1.96*AI215)</f>
        <v>1.34906405560215</v>
      </c>
      <c r="AL215" s="7" t="n">
        <f aca="false">IF(AI215="","",AG215/AI215)</f>
        <v>2.40708546052364</v>
      </c>
      <c r="AM215" s="8" t="n">
        <f aca="false">IF(AL215="","",2*(1-NORMSDIST(ABS(AL215))))</f>
        <v>0.016080406414686</v>
      </c>
      <c r="AN215" s="9" t="n">
        <f aca="false">IF(COUNT(V215)=0,"",IF(AB215="t_paired",V215,V215+N(Y215)))</f>
        <v>45</v>
      </c>
      <c r="AO215" s="7" t="n">
        <f aca="false">IF(AH215="","",1/AH215)</f>
        <v>10.4789613706693</v>
      </c>
      <c r="AP215" s="5" t="s">
        <v>88</v>
      </c>
      <c r="AQ215" s="5" t="s">
        <v>210</v>
      </c>
      <c r="AR215" s="5"/>
      <c r="AS215" s="7" t="n">
        <f aca="false">IF(AND(AP215="Y",ISNUMBER(AO215)),AO215,0)</f>
        <v>10.4789613706693</v>
      </c>
      <c r="AT215" s="7" t="n">
        <f aca="false">IF(AS215&gt;0,AS215*AG215,0)</f>
        <v>7.79203023995672</v>
      </c>
      <c r="AU215" s="7" t="n">
        <f aca="false">IF(AS215&gt;0,AS215*AG215^2,0)</f>
        <v>5.7940604142643</v>
      </c>
      <c r="AV215" s="9" t="n">
        <f aca="false">IF(AS215&gt;0,AS215^2,0)</f>
        <v>109.80863140798</v>
      </c>
      <c r="AW215" s="7" t="n">
        <f aca="false">IF(AS215&gt;0,AG215,0)</f>
        <v>0.743588029799084</v>
      </c>
      <c r="AX215" s="7" t="n">
        <f aca="false">IF(AS215&gt;0,AH215,1)</f>
        <v>0.0954293049308308</v>
      </c>
    </row>
    <row r="216" customFormat="false" ht="15" hidden="false" customHeight="false" outlineLevel="0" collapsed="false">
      <c r="A216" s="5" t="s">
        <v>734</v>
      </c>
      <c r="B216" s="5" t="s">
        <v>718</v>
      </c>
      <c r="C216" s="5" t="s">
        <v>719</v>
      </c>
      <c r="D216" s="5" t="n">
        <v>2023</v>
      </c>
      <c r="E216" s="5" t="s">
        <v>720</v>
      </c>
      <c r="F216" s="5" t="s">
        <v>199</v>
      </c>
      <c r="G216" s="5" t="s">
        <v>160</v>
      </c>
      <c r="H216" s="5" t="s">
        <v>162</v>
      </c>
      <c r="I216" s="5"/>
      <c r="J216" s="5" t="s">
        <v>162</v>
      </c>
      <c r="K216" s="5" t="s">
        <v>163</v>
      </c>
      <c r="L216" s="5" t="s">
        <v>164</v>
      </c>
      <c r="M216" s="5"/>
      <c r="N216" s="5"/>
      <c r="O216" s="5" t="s">
        <v>162</v>
      </c>
      <c r="P216" s="10" t="s">
        <v>113</v>
      </c>
      <c r="Q216" s="10" t="s">
        <v>315</v>
      </c>
      <c r="R216" s="5"/>
      <c r="S216" s="10" t="s">
        <v>735</v>
      </c>
      <c r="T216" s="5"/>
      <c r="U216" s="10" t="s">
        <v>98</v>
      </c>
      <c r="V216" s="5" t="n">
        <v>21</v>
      </c>
      <c r="W216" s="5" t="n">
        <v>16.05</v>
      </c>
      <c r="X216" s="5" t="n">
        <v>3.46</v>
      </c>
      <c r="Y216" s="5" t="n">
        <v>24</v>
      </c>
      <c r="Z216" s="5" t="n">
        <v>16</v>
      </c>
      <c r="AA216" s="5" t="n">
        <v>2.98</v>
      </c>
      <c r="AB216" s="5" t="s">
        <v>99</v>
      </c>
      <c r="AC216" s="5"/>
      <c r="AD216" s="5" t="n">
        <v>1</v>
      </c>
      <c r="AE216" s="7" t="n">
        <f aca="false">IFERROR(IF(AB216="MSD",IF(COUNT(V216,W216,X216,Y216,Z216,AA216)&lt;6,"",(W216-Z216)/SQRT(((V216-1)*X216^2+(Y216-1)*AA216^2)/(V216+Y216-2))*AD216),IF(AB216="t",AC216*SQRT(1/V216+1/Y216)*AD216,IF(AB216="F",SQRT(AC216)*SQRT(1/V216+1/Y216)*AD216,IF(AB216="z",2*(AC216/SQRT(V216+Y216))/SQRT(1-(AC216/SQRT(V216+Y216))^2)*AD216,IF(AB216="t_paired",AC216/SQRT(V216)*AD216,""))))),"")</f>
        <v>0.015565702248303</v>
      </c>
      <c r="AF216" s="7" t="n">
        <f aca="false">IF(AE216="","",IF(AB216="t_paired",1-3/(4*(V216-1)-1),1-3/(4*(V216+Y216)-9)))</f>
        <v>0.982456140350877</v>
      </c>
      <c r="AG216" s="7" t="n">
        <f aca="false">IF(AE216="","",AE216*AF216)</f>
        <v>0.0152926197527187</v>
      </c>
      <c r="AH216" s="7" t="n">
        <f aca="false">IF(AG216="","",IF(AB216="t_paired",1/V216+AG216^2/(2*V216),(V216+Y216)/(V216*Y216)+AG216^2/(2*(V216+Y216))))</f>
        <v>0.0892883127770354</v>
      </c>
      <c r="AI216" s="7" t="n">
        <f aca="false">IF(AH216="","",SQRT(AH216))</f>
        <v>0.298811500409598</v>
      </c>
      <c r="AJ216" s="7" t="n">
        <f aca="false">IF(AI216="","",AG216-1.96*AI216)</f>
        <v>-0.570377921050094</v>
      </c>
      <c r="AK216" s="7" t="n">
        <f aca="false">IF(AI216="","",AG216+1.96*AI216)</f>
        <v>0.600963160555532</v>
      </c>
      <c r="AL216" s="7" t="n">
        <f aca="false">IF(AI216="","",AG216/AI216)</f>
        <v>0.0511781498762806</v>
      </c>
      <c r="AM216" s="8" t="n">
        <f aca="false">IF(AL216="","",2*(1-NORMSDIST(ABS(AL216))))</f>
        <v>0.959183562896453</v>
      </c>
      <c r="AN216" s="9" t="n">
        <f aca="false">IF(COUNT(V216)=0,"",IF(AB216="t_paired",V216,V216+N(Y216)))</f>
        <v>45</v>
      </c>
      <c r="AO216" s="7" t="n">
        <f aca="false">IF(AH216="","",1/AH216)</f>
        <v>11.1996740547347</v>
      </c>
      <c r="AP216" s="5" t="s">
        <v>100</v>
      </c>
      <c r="AQ216" s="5" t="s">
        <v>210</v>
      </c>
      <c r="AR216" s="5"/>
      <c r="AS216" s="9" t="n">
        <f aca="false">IF(AND(AP216="Y",ISNUMBER(AO216)),AO216,0)</f>
        <v>0</v>
      </c>
      <c r="AT216" s="7" t="n">
        <f aca="false">IF(AS216&gt;0,AS216*AG216,0)</f>
        <v>0</v>
      </c>
      <c r="AU216" s="7" t="n">
        <f aca="false">IF(AS216&gt;0,AS216*AG216^2,0)</f>
        <v>0</v>
      </c>
      <c r="AV216" s="9" t="n">
        <f aca="false">IF(AS216&gt;0,AS216^2,0)</f>
        <v>0</v>
      </c>
      <c r="AW216" s="7" t="n">
        <f aca="false">IF(AS216&gt;0,AG216,0)</f>
        <v>0</v>
      </c>
      <c r="AX216" s="7" t="n">
        <f aca="false">IF(AS216&gt;0,AH216,1)</f>
        <v>1</v>
      </c>
    </row>
    <row r="217" customFormat="false" ht="15" hidden="false" customHeight="false" outlineLevel="0" collapsed="false">
      <c r="A217" s="5" t="s">
        <v>736</v>
      </c>
      <c r="B217" s="5" t="s">
        <v>718</v>
      </c>
      <c r="C217" s="5" t="s">
        <v>719</v>
      </c>
      <c r="D217" s="5" t="n">
        <v>2023</v>
      </c>
      <c r="E217" s="5" t="s">
        <v>720</v>
      </c>
      <c r="F217" s="5" t="s">
        <v>199</v>
      </c>
      <c r="G217" s="5" t="s">
        <v>160</v>
      </c>
      <c r="H217" s="5" t="s">
        <v>162</v>
      </c>
      <c r="I217" s="5"/>
      <c r="J217" s="5" t="s">
        <v>162</v>
      </c>
      <c r="K217" s="5" t="s">
        <v>163</v>
      </c>
      <c r="L217" s="5" t="s">
        <v>164</v>
      </c>
      <c r="M217" s="5"/>
      <c r="N217" s="5"/>
      <c r="O217" s="5" t="s">
        <v>162</v>
      </c>
      <c r="P217" s="11" t="s">
        <v>113</v>
      </c>
      <c r="Q217" s="11" t="s">
        <v>315</v>
      </c>
      <c r="R217" s="5"/>
      <c r="S217" s="11" t="s">
        <v>735</v>
      </c>
      <c r="T217" s="5"/>
      <c r="U217" s="11" t="s">
        <v>86</v>
      </c>
      <c r="V217" s="5" t="n">
        <v>21</v>
      </c>
      <c r="W217" s="5" t="n">
        <v>18.09</v>
      </c>
      <c r="X217" s="5" t="n">
        <v>1.82</v>
      </c>
      <c r="Y217" s="5" t="n">
        <v>24</v>
      </c>
      <c r="Z217" s="5" t="n">
        <v>16.57</v>
      </c>
      <c r="AA217" s="5" t="n">
        <v>2.97</v>
      </c>
      <c r="AB217" s="5" t="s">
        <v>99</v>
      </c>
      <c r="AC217" s="5"/>
      <c r="AD217" s="5" t="n">
        <v>1</v>
      </c>
      <c r="AE217" s="7" t="n">
        <f aca="false">IFERROR(IF(AB217="MSD",IF(COUNT(V217,W217,X217,Y217,Z217,AA217)&lt;6,"",(W217-Z217)/SQRT(((V217-1)*X217^2+(Y217-1)*AA217^2)/(V217+Y217-2))*AD217),IF(AB217="t",AC217*SQRT(1/V217+1/Y217)*AD217,IF(AB217="F",SQRT(AC217)*SQRT(1/V217+1/Y217)*AD217,IF(AB217="z",2*(AC217/SQRT(V217+Y217))/SQRT(1-(AC217/SQRT(V217+Y217))^2)*AD217,IF(AB217="t_paired",AC217/SQRT(V217)*AD217,""))))),"")</f>
        <v>0.607572080838987</v>
      </c>
      <c r="AF217" s="7" t="n">
        <f aca="false">IF(AE217="","",IF(AB217="t_paired",1-3/(4*(V217-1)-1),1-3/(4*(V217+Y217)-9)))</f>
        <v>0.982456140350877</v>
      </c>
      <c r="AG217" s="7" t="n">
        <f aca="false">IF(AE217="","",AE217*AF217)</f>
        <v>0.596912921526022</v>
      </c>
      <c r="AH217" s="7" t="n">
        <f aca="false">IF(AG217="","",IF(AB217="t_paired",1/V217+AG217^2/(2*V217),(V217+Y217)/(V217*Y217)+AG217^2/(2*(V217+Y217))))</f>
        <v>0.093244659128878</v>
      </c>
      <c r="AI217" s="7" t="n">
        <f aca="false">IF(AH217="","",SQRT(AH217))</f>
        <v>0.305359884609747</v>
      </c>
      <c r="AJ217" s="7" t="n">
        <f aca="false">IF(AI217="","",AG217-1.96*AI217)</f>
        <v>-0.00159245230908178</v>
      </c>
      <c r="AK217" s="7" t="n">
        <f aca="false">IF(AI217="","",AG217+1.96*AI217)</f>
        <v>1.19541829536113</v>
      </c>
      <c r="AL217" s="7" t="n">
        <f aca="false">IF(AI217="","",AG217/AI217)</f>
        <v>1.95478499832708</v>
      </c>
      <c r="AM217" s="8" t="n">
        <f aca="false">IF(AL217="","",2*(1-NORMSDIST(ABS(AL217))))</f>
        <v>0.0506084525714639</v>
      </c>
      <c r="AN217" s="9" t="n">
        <f aca="false">IF(COUNT(V217)=0,"",IF(AB217="t_paired",V217,V217+N(Y217)))</f>
        <v>45</v>
      </c>
      <c r="AO217" s="7" t="n">
        <f aca="false">IF(AH217="","",1/AH217)</f>
        <v>10.7244748315059</v>
      </c>
      <c r="AP217" s="5" t="s">
        <v>88</v>
      </c>
      <c r="AQ217" s="5" t="s">
        <v>210</v>
      </c>
      <c r="AR217" s="5"/>
      <c r="AS217" s="7" t="n">
        <f aca="false">IF(AND(AP217="Y",ISNUMBER(AO217)),AO217,0)</f>
        <v>10.7244748315059</v>
      </c>
      <c r="AT217" s="7" t="n">
        <f aca="false">IF(AS217&gt;0,AS217*AG217,0)</f>
        <v>6.40157760350649</v>
      </c>
      <c r="AU217" s="7" t="n">
        <f aca="false">IF(AS217&gt;0,AS217*AG217^2,0)</f>
        <v>3.82118438968461</v>
      </c>
      <c r="AV217" s="9" t="n">
        <f aca="false">IF(AS217&gt;0,AS217^2,0)</f>
        <v>115.014360411604</v>
      </c>
      <c r="AW217" s="7" t="n">
        <f aca="false">IF(AS217&gt;0,AG217,0)</f>
        <v>0.596912921526022</v>
      </c>
      <c r="AX217" s="7" t="n">
        <f aca="false">IF(AS217&gt;0,AH217,1)</f>
        <v>0.093244659128878</v>
      </c>
    </row>
    <row r="218" customFormat="false" ht="15" hidden="false" customHeight="false" outlineLevel="0" collapsed="false">
      <c r="A218" s="5" t="s">
        <v>737</v>
      </c>
      <c r="B218" s="5" t="s">
        <v>738</v>
      </c>
      <c r="C218" s="5" t="s">
        <v>739</v>
      </c>
      <c r="D218" s="5" t="n">
        <v>2024</v>
      </c>
      <c r="E218" s="5" t="s">
        <v>720</v>
      </c>
      <c r="F218" s="5" t="s">
        <v>260</v>
      </c>
      <c r="G218" s="5" t="s">
        <v>160</v>
      </c>
      <c r="H218" s="5" t="s">
        <v>131</v>
      </c>
      <c r="I218" s="5" t="s">
        <v>705</v>
      </c>
      <c r="J218" s="5" t="s">
        <v>162</v>
      </c>
      <c r="K218" s="5" t="s">
        <v>163</v>
      </c>
      <c r="L218" s="5" t="s">
        <v>164</v>
      </c>
      <c r="M218" s="5" t="s">
        <v>740</v>
      </c>
      <c r="N218" s="5" t="n">
        <v>40</v>
      </c>
      <c r="O218" s="5" t="s">
        <v>190</v>
      </c>
      <c r="P218" s="10" t="s">
        <v>82</v>
      </c>
      <c r="Q218" s="10" t="s">
        <v>103</v>
      </c>
      <c r="R218" s="5"/>
      <c r="S218" s="10" t="s">
        <v>625</v>
      </c>
      <c r="T218" s="5" t="s">
        <v>741</v>
      </c>
      <c r="U218" s="10" t="s">
        <v>98</v>
      </c>
      <c r="V218" s="5" t="n">
        <v>33</v>
      </c>
      <c r="W218" s="5" t="n">
        <v>17.66</v>
      </c>
      <c r="X218" s="5" t="n">
        <v>8.56</v>
      </c>
      <c r="Y218" s="5" t="n">
        <v>33</v>
      </c>
      <c r="Z218" s="5" t="n">
        <v>14.33</v>
      </c>
      <c r="AA218" s="5" t="n">
        <v>7.13</v>
      </c>
      <c r="AB218" s="5" t="s">
        <v>99</v>
      </c>
      <c r="AC218" s="5"/>
      <c r="AD218" s="5" t="n">
        <v>1</v>
      </c>
      <c r="AE218" s="7" t="n">
        <f aca="false">IFERROR(IF(AB218="MSD",IF(COUNT(V218,W218,X218,Y218,Z218,AA218)&lt;6,"",(W218-Z218)/SQRT(((V218-1)*X218^2+(Y218-1)*AA218^2)/(V218+Y218-2))*AD218),IF(AB218="t",AC218*SQRT(1/V218+1/Y218)*AD218,IF(AB218="F",SQRT(AC218)*SQRT(1/V218+1/Y218)*AD218,IF(AB218="z",2*(AC218/SQRT(V218+Y218))/SQRT(1-(AC218/SQRT(V218+Y218))^2)*AD218,IF(AB218="t_paired",AC218/SQRT(V218)*AD218,""))))),"")</f>
        <v>0.422722114878408</v>
      </c>
      <c r="AF218" s="7" t="n">
        <f aca="false">IF(AE218="","",IF(AB218="t_paired",1-3/(4*(V218-1)-1),1-3/(4*(V218+Y218)-9)))</f>
        <v>0.988235294117647</v>
      </c>
      <c r="AG218" s="7" t="n">
        <f aca="false">IF(AE218="","",AE218*AF218)</f>
        <v>0.417748913526898</v>
      </c>
      <c r="AH218" s="7" t="n">
        <f aca="false">IF(AG218="","",IF(AB218="t_paired",1/V218+AG218^2/(2*V218),(V218+Y218)/(V218*Y218)+AG218^2/(2*(V218+Y218))))</f>
        <v>0.0619281375360068</v>
      </c>
      <c r="AI218" s="7" t="n">
        <f aca="false">IF(AH218="","",SQRT(AH218))</f>
        <v>0.248853646820791</v>
      </c>
      <c r="AJ218" s="7" t="n">
        <f aca="false">IF(AI218="","",AG218-1.96*AI218)</f>
        <v>-0.0700042342418523</v>
      </c>
      <c r="AK218" s="7" t="n">
        <f aca="false">IF(AI218="","",AG218+1.96*AI218)</f>
        <v>0.905502061295647</v>
      </c>
      <c r="AL218" s="7" t="n">
        <f aca="false">IF(AI218="","",AG218/AI218)</f>
        <v>1.67869315504842</v>
      </c>
      <c r="AM218" s="8" t="n">
        <f aca="false">IF(AL218="","",2*(1-NORMSDIST(ABS(AL218))))</f>
        <v>0.0932118606645314</v>
      </c>
      <c r="AN218" s="9" t="n">
        <f aca="false">IF(COUNT(V218)=0,"",IF(AB218="t_paired",V218,V218+N(Y218)))</f>
        <v>66</v>
      </c>
      <c r="AO218" s="7" t="n">
        <f aca="false">IF(AH218="","",1/AH218)</f>
        <v>16.1477486613992</v>
      </c>
      <c r="AP218" s="5" t="s">
        <v>100</v>
      </c>
      <c r="AQ218" s="5" t="s">
        <v>167</v>
      </c>
      <c r="AR218" s="5"/>
      <c r="AS218" s="9" t="n">
        <f aca="false">IF(AND(AP218="Y",ISNUMBER(AO218)),AO218,0)</f>
        <v>0</v>
      </c>
      <c r="AT218" s="7" t="n">
        <f aca="false">IF(AS218&gt;0,AS218*AG218,0)</f>
        <v>0</v>
      </c>
      <c r="AU218" s="7" t="n">
        <f aca="false">IF(AS218&gt;0,AS218*AG218^2,0)</f>
        <v>0</v>
      </c>
      <c r="AV218" s="9" t="n">
        <f aca="false">IF(AS218&gt;0,AS218^2,0)</f>
        <v>0</v>
      </c>
      <c r="AW218" s="7" t="n">
        <f aca="false">IF(AS218&gt;0,AG218,0)</f>
        <v>0</v>
      </c>
      <c r="AX218" s="7" t="n">
        <f aca="false">IF(AS218&gt;0,AH218,1)</f>
        <v>1</v>
      </c>
    </row>
    <row r="219" customFormat="false" ht="15" hidden="false" customHeight="false" outlineLevel="0" collapsed="false">
      <c r="A219" s="5" t="s">
        <v>742</v>
      </c>
      <c r="B219" s="5" t="s">
        <v>738</v>
      </c>
      <c r="C219" s="5" t="s">
        <v>739</v>
      </c>
      <c r="D219" s="5" t="n">
        <v>2024</v>
      </c>
      <c r="E219" s="5" t="s">
        <v>720</v>
      </c>
      <c r="F219" s="5" t="s">
        <v>260</v>
      </c>
      <c r="G219" s="5" t="s">
        <v>160</v>
      </c>
      <c r="H219" s="5" t="s">
        <v>131</v>
      </c>
      <c r="I219" s="5" t="s">
        <v>705</v>
      </c>
      <c r="J219" s="5" t="s">
        <v>162</v>
      </c>
      <c r="K219" s="5" t="s">
        <v>163</v>
      </c>
      <c r="L219" s="5" t="s">
        <v>164</v>
      </c>
      <c r="M219" s="5" t="s">
        <v>740</v>
      </c>
      <c r="N219" s="5" t="n">
        <v>40</v>
      </c>
      <c r="O219" s="5" t="s">
        <v>190</v>
      </c>
      <c r="P219" s="6" t="s">
        <v>82</v>
      </c>
      <c r="Q219" s="6" t="s">
        <v>103</v>
      </c>
      <c r="R219" s="5"/>
      <c r="S219" s="6" t="s">
        <v>625</v>
      </c>
      <c r="T219" s="5" t="s">
        <v>741</v>
      </c>
      <c r="U219" s="6" t="s">
        <v>86</v>
      </c>
      <c r="V219" s="5" t="n">
        <v>33</v>
      </c>
      <c r="W219" s="5" t="n">
        <v>21.24</v>
      </c>
      <c r="X219" s="5" t="n">
        <v>13.25</v>
      </c>
      <c r="Y219" s="5" t="n">
        <v>33</v>
      </c>
      <c r="Z219" s="5" t="n">
        <v>21.57</v>
      </c>
      <c r="AA219" s="5" t="n">
        <v>10.85</v>
      </c>
      <c r="AB219" s="5" t="s">
        <v>99</v>
      </c>
      <c r="AC219" s="5"/>
      <c r="AD219" s="5" t="n">
        <v>1</v>
      </c>
      <c r="AE219" s="7" t="n">
        <f aca="false">IFERROR(IF(AB219="MSD",IF(COUNT(V219,W219,X219,Y219,Z219,AA219)&lt;6,"",(W219-Z219)/SQRT(((V219-1)*X219^2+(Y219-1)*AA219^2)/(V219+Y219-2))*AD219),IF(AB219="t",AC219*SQRT(1/V219+1/Y219)*AD219,IF(AB219="F",SQRT(AC219)*SQRT(1/V219+1/Y219)*AD219,IF(AB219="z",2*(AC219/SQRT(V219+Y219))/SQRT(1-(AC219/SQRT(V219+Y219))^2)*AD219,IF(AB219="t_paired",AC219/SQRT(V219)*AD219,""))))),"")</f>
        <v>-0.0272510983982709</v>
      </c>
      <c r="AF219" s="7" t="n">
        <f aca="false">IF(AE219="","",IF(AB219="t_paired",1-3/(4*(V219-1)-1),1-3/(4*(V219+Y219)-9)))</f>
        <v>0.988235294117647</v>
      </c>
      <c r="AG219" s="7" t="n">
        <f aca="false">IF(AE219="","",AE219*AF219)</f>
        <v>-0.0269304972406442</v>
      </c>
      <c r="AH219" s="7" t="n">
        <f aca="false">IF(AG219="","",IF(AB219="t_paired",1/V219+AG219^2/(2*V219),(V219+Y219)/(V219*Y219)+AG219^2/(2*(V219+Y219))))</f>
        <v>0.060611554936982</v>
      </c>
      <c r="AI219" s="7" t="n">
        <f aca="false">IF(AH219="","",SQRT(AH219))</f>
        <v>0.246194140744621</v>
      </c>
      <c r="AJ219" s="7" t="n">
        <f aca="false">IF(AI219="","",AG219-1.96*AI219)</f>
        <v>-0.509471013100101</v>
      </c>
      <c r="AK219" s="7" t="n">
        <f aca="false">IF(AI219="","",AG219+1.96*AI219)</f>
        <v>0.455610018618812</v>
      </c>
      <c r="AL219" s="7" t="n">
        <f aca="false">IF(AI219="","",AG219/AI219)</f>
        <v>-0.109387238701913</v>
      </c>
      <c r="AM219" s="8" t="n">
        <f aca="false">IF(AL219="","",2*(1-NORMSDIST(ABS(AL219))))</f>
        <v>0.912895355049795</v>
      </c>
      <c r="AN219" s="9" t="n">
        <f aca="false">IF(COUNT(V219)=0,"",IF(AB219="t_paired",V219,V219+N(Y219)))</f>
        <v>66</v>
      </c>
      <c r="AO219" s="7" t="n">
        <f aca="false">IF(AH219="","",1/AH219)</f>
        <v>16.4985043040012</v>
      </c>
      <c r="AP219" s="5" t="s">
        <v>88</v>
      </c>
      <c r="AQ219" s="5" t="s">
        <v>167</v>
      </c>
      <c r="AR219" s="5"/>
      <c r="AS219" s="7" t="n">
        <f aca="false">IF(AND(AP219="Y",ISNUMBER(AO219)),AO219,0)</f>
        <v>16.4985043040012</v>
      </c>
      <c r="AT219" s="7" t="n">
        <f aca="false">IF(AS219&gt;0,AS219*AG219,0)</f>
        <v>-0.44431292463366</v>
      </c>
      <c r="AU219" s="7" t="n">
        <f aca="false">IF(AS219&gt;0,AS219*AG219^2,0)</f>
        <v>0.0119655679908293</v>
      </c>
      <c r="AV219" s="9" t="n">
        <f aca="false">IF(AS219&gt;0,AS219^2,0)</f>
        <v>272.200644269144</v>
      </c>
      <c r="AW219" s="7" t="n">
        <f aca="false">IF(AS219&gt;0,AG219,0)</f>
        <v>-0.0269304972406442</v>
      </c>
      <c r="AX219" s="7" t="n">
        <f aca="false">IF(AS219&gt;0,AH219,1)</f>
        <v>0.060611554936982</v>
      </c>
    </row>
    <row r="220" customFormat="false" ht="15" hidden="false" customHeight="false" outlineLevel="0" collapsed="false">
      <c r="A220" s="5" t="s">
        <v>743</v>
      </c>
      <c r="B220" s="5" t="s">
        <v>738</v>
      </c>
      <c r="C220" s="5" t="s">
        <v>739</v>
      </c>
      <c r="D220" s="5" t="n">
        <v>2024</v>
      </c>
      <c r="E220" s="5" t="s">
        <v>720</v>
      </c>
      <c r="F220" s="5" t="s">
        <v>260</v>
      </c>
      <c r="G220" s="5" t="s">
        <v>160</v>
      </c>
      <c r="H220" s="5" t="s">
        <v>131</v>
      </c>
      <c r="I220" s="5" t="s">
        <v>705</v>
      </c>
      <c r="J220" s="5" t="s">
        <v>162</v>
      </c>
      <c r="K220" s="5" t="s">
        <v>163</v>
      </c>
      <c r="L220" s="5" t="s">
        <v>164</v>
      </c>
      <c r="M220" s="5" t="s">
        <v>740</v>
      </c>
      <c r="N220" s="5" t="n">
        <v>40</v>
      </c>
      <c r="O220" s="5" t="s">
        <v>190</v>
      </c>
      <c r="P220" s="10" t="s">
        <v>82</v>
      </c>
      <c r="Q220" s="10" t="s">
        <v>191</v>
      </c>
      <c r="R220" s="5"/>
      <c r="S220" s="10" t="s">
        <v>744</v>
      </c>
      <c r="T220" s="5" t="s">
        <v>741</v>
      </c>
      <c r="U220" s="10" t="s">
        <v>98</v>
      </c>
      <c r="V220" s="5" t="n">
        <v>33</v>
      </c>
      <c r="W220" s="5" t="n">
        <v>7.39</v>
      </c>
      <c r="X220" s="5" t="n">
        <v>7.67</v>
      </c>
      <c r="Y220" s="5" t="n">
        <v>33</v>
      </c>
      <c r="Z220" s="5" t="n">
        <v>6.78</v>
      </c>
      <c r="AA220" s="5" t="n">
        <v>9.01</v>
      </c>
      <c r="AB220" s="5" t="s">
        <v>99</v>
      </c>
      <c r="AC220" s="5"/>
      <c r="AD220" s="5" t="n">
        <v>1</v>
      </c>
      <c r="AE220" s="7" t="n">
        <f aca="false">IFERROR(IF(AB220="MSD",IF(COUNT(V220,W220,X220,Y220,Z220,AA220)&lt;6,"",(W220-Z220)/SQRT(((V220-1)*X220^2+(Y220-1)*AA220^2)/(V220+Y220-2))*AD220),IF(AB220="t",AC220*SQRT(1/V220+1/Y220)*AD220,IF(AB220="F",SQRT(AC220)*SQRT(1/V220+1/Y220)*AD220,IF(AB220="z",2*(AC220/SQRT(V220+Y220))/SQRT(1-(AC220/SQRT(V220+Y220))^2)*AD220,IF(AB220="t_paired",AC220/SQRT(V220)*AD220,""))))),"")</f>
        <v>0.0729066017805732</v>
      </c>
      <c r="AF220" s="7" t="n">
        <f aca="false">IF(AE220="","",IF(AB220="t_paired",1-3/(4*(V220-1)-1),1-3/(4*(V220+Y220)-9)))</f>
        <v>0.988235294117647</v>
      </c>
      <c r="AG220" s="7" t="n">
        <f aca="false">IF(AE220="","",AE220*AF220)</f>
        <v>0.0720488770537429</v>
      </c>
      <c r="AH220" s="7" t="n">
        <f aca="false">IF(AG220="","",IF(AB220="t_paired",1/V220+AG220^2/(2*V220),(V220+Y220)/(V220*Y220)+AG220^2/(2*(V220+Y220))))</f>
        <v>0.0606453866718538</v>
      </c>
      <c r="AI220" s="7" t="n">
        <f aca="false">IF(AH220="","",SQRT(AH220))</f>
        <v>0.246262840623294</v>
      </c>
      <c r="AJ220" s="7" t="n">
        <f aca="false">IF(AI220="","",AG220-1.96*AI220)</f>
        <v>-0.410626290567913</v>
      </c>
      <c r="AK220" s="7" t="n">
        <f aca="false">IF(AI220="","",AG220+1.96*AI220)</f>
        <v>0.554724044675399</v>
      </c>
      <c r="AL220" s="7" t="n">
        <f aca="false">IF(AI220="","",AG220/AI220)</f>
        <v>0.292569016386664</v>
      </c>
      <c r="AM220" s="8" t="n">
        <f aca="false">IF(AL220="","",2*(1-NORMSDIST(ABS(AL220))))</f>
        <v>0.76985159929649</v>
      </c>
      <c r="AN220" s="9" t="n">
        <f aca="false">IF(COUNT(V220)=0,"",IF(AB220="t_paired",V220,V220+N(Y220)))</f>
        <v>66</v>
      </c>
      <c r="AO220" s="7" t="n">
        <f aca="false">IF(AH220="","",1/AH220)</f>
        <v>16.4893004213313</v>
      </c>
      <c r="AP220" s="5" t="s">
        <v>100</v>
      </c>
      <c r="AQ220" s="5" t="s">
        <v>167</v>
      </c>
      <c r="AR220" s="5"/>
      <c r="AS220" s="9" t="n">
        <f aca="false">IF(AND(AP220="Y",ISNUMBER(AO220)),AO220,0)</f>
        <v>0</v>
      </c>
      <c r="AT220" s="7" t="n">
        <f aca="false">IF(AS220&gt;0,AS220*AG220,0)</f>
        <v>0</v>
      </c>
      <c r="AU220" s="7" t="n">
        <f aca="false">IF(AS220&gt;0,AS220*AG220^2,0)</f>
        <v>0</v>
      </c>
      <c r="AV220" s="9" t="n">
        <f aca="false">IF(AS220&gt;0,AS220^2,0)</f>
        <v>0</v>
      </c>
      <c r="AW220" s="7" t="n">
        <f aca="false">IF(AS220&gt;0,AG220,0)</f>
        <v>0</v>
      </c>
      <c r="AX220" s="7" t="n">
        <f aca="false">IF(AS220&gt;0,AH220,1)</f>
        <v>1</v>
      </c>
    </row>
    <row r="221" customFormat="false" ht="15" hidden="false" customHeight="false" outlineLevel="0" collapsed="false">
      <c r="A221" s="5" t="s">
        <v>745</v>
      </c>
      <c r="B221" s="5" t="s">
        <v>738</v>
      </c>
      <c r="C221" s="5" t="s">
        <v>739</v>
      </c>
      <c r="D221" s="5" t="n">
        <v>2024</v>
      </c>
      <c r="E221" s="5" t="s">
        <v>720</v>
      </c>
      <c r="F221" s="5" t="s">
        <v>260</v>
      </c>
      <c r="G221" s="5" t="s">
        <v>160</v>
      </c>
      <c r="H221" s="5" t="s">
        <v>131</v>
      </c>
      <c r="I221" s="5" t="s">
        <v>705</v>
      </c>
      <c r="J221" s="5" t="s">
        <v>162</v>
      </c>
      <c r="K221" s="5" t="s">
        <v>163</v>
      </c>
      <c r="L221" s="5" t="s">
        <v>164</v>
      </c>
      <c r="M221" s="5" t="s">
        <v>740</v>
      </c>
      <c r="N221" s="5" t="n">
        <v>40</v>
      </c>
      <c r="O221" s="5" t="s">
        <v>190</v>
      </c>
      <c r="P221" s="6" t="s">
        <v>82</v>
      </c>
      <c r="Q221" s="6" t="s">
        <v>191</v>
      </c>
      <c r="R221" s="5"/>
      <c r="S221" s="6" t="s">
        <v>744</v>
      </c>
      <c r="T221" s="5" t="s">
        <v>741</v>
      </c>
      <c r="U221" s="6" t="s">
        <v>86</v>
      </c>
      <c r="V221" s="5" t="n">
        <v>33</v>
      </c>
      <c r="W221" s="5" t="n">
        <v>11.96</v>
      </c>
      <c r="X221" s="5" t="n">
        <v>13.39</v>
      </c>
      <c r="Y221" s="5" t="n">
        <v>33</v>
      </c>
      <c r="Z221" s="5" t="n">
        <v>13.66</v>
      </c>
      <c r="AA221" s="5" t="n">
        <v>10.86</v>
      </c>
      <c r="AB221" s="5" t="s">
        <v>99</v>
      </c>
      <c r="AC221" s="5"/>
      <c r="AD221" s="5" t="n">
        <v>1</v>
      </c>
      <c r="AE221" s="7" t="n">
        <f aca="false">IFERROR(IF(AB221="MSD",IF(COUNT(V221,W221,X221,Y221,Z221,AA221)&lt;6,"",(W221-Z221)/SQRT(((V221-1)*X221^2+(Y221-1)*AA221^2)/(V221+Y221-2))*AD221),IF(AB221="t",AC221*SQRT(1/V221+1/Y221)*AD221,IF(AB221="F",SQRT(AC221)*SQRT(1/V221+1/Y221)*AD221,IF(AB221="z",2*(AC221/SQRT(V221+Y221))/SQRT(1-(AC221/SQRT(V221+Y221))^2)*AD221,IF(AB221="t_paired",AC221/SQRT(V221)*AD221,""))))),"")</f>
        <v>-0.139449305761451</v>
      </c>
      <c r="AF221" s="7" t="n">
        <f aca="false">IF(AE221="","",IF(AB221="t_paired",1-3/(4*(V221-1)-1),1-3/(4*(V221+Y221)-9)))</f>
        <v>0.988235294117647</v>
      </c>
      <c r="AG221" s="7" t="n">
        <f aca="false">IF(AE221="","",AE221*AF221)</f>
        <v>-0.137808725693669</v>
      </c>
      <c r="AH221" s="7" t="n">
        <f aca="false">IF(AG221="","",IF(AB221="t_paired",1/V221+AG221^2/(2*V221),(V221+Y221)/(V221*Y221)+AG221^2/(2*(V221+Y221))))</f>
        <v>0.060749933673313</v>
      </c>
      <c r="AI221" s="7" t="n">
        <f aca="false">IF(AH221="","",SQRT(AH221))</f>
        <v>0.246475016326834</v>
      </c>
      <c r="AJ221" s="7" t="n">
        <f aca="false">IF(AI221="","",AG221-1.96*AI221)</f>
        <v>-0.620899757694263</v>
      </c>
      <c r="AK221" s="7" t="n">
        <f aca="false">IF(AI221="","",AG221+1.96*AI221)</f>
        <v>0.345282306306925</v>
      </c>
      <c r="AL221" s="7" t="n">
        <f aca="false">IF(AI221="","",AG221/AI221)</f>
        <v>-0.559118436210712</v>
      </c>
      <c r="AM221" s="8" t="n">
        <f aca="false">IF(AL221="","",2*(1-NORMSDIST(ABS(AL221))))</f>
        <v>0.576080893305452</v>
      </c>
      <c r="AN221" s="9" t="n">
        <f aca="false">IF(COUNT(V221)=0,"",IF(AB221="t_paired",V221,V221+N(Y221)))</f>
        <v>66</v>
      </c>
      <c r="AO221" s="7" t="n">
        <f aca="false">IF(AH221="","",1/AH221)</f>
        <v>16.4609233217862</v>
      </c>
      <c r="AP221" s="5" t="s">
        <v>88</v>
      </c>
      <c r="AQ221" s="5" t="s">
        <v>167</v>
      </c>
      <c r="AR221" s="5"/>
      <c r="AS221" s="7" t="n">
        <f aca="false">IF(AND(AP221="Y",ISNUMBER(AO221)),AO221,0)</f>
        <v>16.4609233217862</v>
      </c>
      <c r="AT221" s="7" t="n">
        <f aca="false">IF(AS221&gt;0,AS221*AG221,0)</f>
        <v>-2.26845886671655</v>
      </c>
      <c r="AU221" s="7" t="n">
        <f aca="false">IF(AS221&gt;0,AS221*AG221^2,0)</f>
        <v>0.312613425710712</v>
      </c>
      <c r="AV221" s="9" t="n">
        <f aca="false">IF(AS221&gt;0,AS221^2,0)</f>
        <v>270.961996605724</v>
      </c>
      <c r="AW221" s="7" t="n">
        <f aca="false">IF(AS221&gt;0,AG221,0)</f>
        <v>-0.137808725693669</v>
      </c>
      <c r="AX221" s="7" t="n">
        <f aca="false">IF(AS221&gt;0,AH221,1)</f>
        <v>0.060749933673313</v>
      </c>
    </row>
    <row r="222" customFormat="false" ht="15" hidden="false" customHeight="false" outlineLevel="0" collapsed="false">
      <c r="A222" s="5" t="s">
        <v>746</v>
      </c>
      <c r="B222" s="5" t="s">
        <v>747</v>
      </c>
      <c r="C222" s="5" t="s">
        <v>748</v>
      </c>
      <c r="D222" s="5" t="n">
        <v>2026</v>
      </c>
      <c r="E222" s="5" t="s">
        <v>749</v>
      </c>
      <c r="F222" s="5" t="s">
        <v>750</v>
      </c>
      <c r="G222" s="5" t="s">
        <v>395</v>
      </c>
      <c r="H222" s="5" t="s">
        <v>161</v>
      </c>
      <c r="I222" s="5" t="s">
        <v>439</v>
      </c>
      <c r="J222" s="5" t="s">
        <v>162</v>
      </c>
      <c r="K222" s="5" t="s">
        <v>163</v>
      </c>
      <c r="L222" s="5" t="s">
        <v>164</v>
      </c>
      <c r="M222" s="5"/>
      <c r="N222" s="5"/>
      <c r="O222" s="5" t="s">
        <v>81</v>
      </c>
      <c r="P222" s="11" t="s">
        <v>113</v>
      </c>
      <c r="Q222" s="11" t="s">
        <v>422</v>
      </c>
      <c r="R222" s="5"/>
      <c r="S222" s="11" t="s">
        <v>751</v>
      </c>
      <c r="T222" s="5"/>
      <c r="U222" s="11" t="s">
        <v>86</v>
      </c>
      <c r="V222" s="5" t="n">
        <v>40</v>
      </c>
      <c r="W222" s="5" t="n">
        <v>3.25</v>
      </c>
      <c r="X222" s="5" t="n">
        <v>0.74</v>
      </c>
      <c r="Y222" s="5" t="n">
        <v>40</v>
      </c>
      <c r="Z222" s="5" t="n">
        <v>2.7</v>
      </c>
      <c r="AA222" s="5" t="n">
        <v>0.65</v>
      </c>
      <c r="AB222" s="5" t="s">
        <v>99</v>
      </c>
      <c r="AC222" s="5"/>
      <c r="AD222" s="5" t="n">
        <v>1</v>
      </c>
      <c r="AE222" s="7" t="n">
        <f aca="false">IFERROR(IF(AB222="MSD",IF(COUNT(V222,W222,X222,Y222,Z222,AA222)&lt;6,"",(W222-Z222)/SQRT(((V222-1)*X222^2+(Y222-1)*AA222^2)/(V222+Y222-2))*AD222),IF(AB222="t",AC222*SQRT(1/V222+1/Y222)*AD222,IF(AB222="F",SQRT(AC222)*SQRT(1/V222+1/Y222)*AD222,IF(AB222="z",2*(AC222/SQRT(V222+Y222))/SQRT(1-(AC222/SQRT(V222+Y222))^2)*AD222,IF(AB222="t_paired",AC222/SQRT(V222)*AD222,""))))),"")</f>
        <v>0.789713268659085</v>
      </c>
      <c r="AF222" s="7" t="n">
        <f aca="false">IF(AE222="","",IF(AB222="t_paired",1-3/(4*(V222-1)-1),1-3/(4*(V222+Y222)-9)))</f>
        <v>0.990353697749196</v>
      </c>
      <c r="AG222" s="7" t="n">
        <f aca="false">IF(AE222="","",AE222*AF222)</f>
        <v>0.782095455778129</v>
      </c>
      <c r="AH222" s="7" t="n">
        <f aca="false">IF(AG222="","",IF(AB222="t_paired",1/V222+AG222^2/(2*V222),(V222+Y222)/(V222*Y222)+AG222^2/(2*(V222+Y222))))</f>
        <v>0.05382295813718</v>
      </c>
      <c r="AI222" s="7" t="n">
        <f aca="false">IF(AH222="","",SQRT(AH222))</f>
        <v>0.231997754595125</v>
      </c>
      <c r="AJ222" s="7" t="n">
        <f aca="false">IF(AI222="","",AG222-1.96*AI222)</f>
        <v>0.327379856771684</v>
      </c>
      <c r="AK222" s="7" t="n">
        <f aca="false">IF(AI222="","",AG222+1.96*AI222)</f>
        <v>1.23681105478458</v>
      </c>
      <c r="AL222" s="7" t="n">
        <f aca="false">IF(AI222="","",AG222/AI222)</f>
        <v>3.37113372990621</v>
      </c>
      <c r="AM222" s="8" t="n">
        <f aca="false">IF(AL222="","",2*(1-NORMSDIST(ABS(AL222))))</f>
        <v>0.00074859509227232</v>
      </c>
      <c r="AN222" s="9" t="n">
        <f aca="false">IF(COUNT(V222)=0,"",IF(AB222="t_paired",V222,V222+N(Y222)))</f>
        <v>80</v>
      </c>
      <c r="AO222" s="7" t="n">
        <f aca="false">IF(AH222="","",1/AH222)</f>
        <v>18.5794321718861</v>
      </c>
      <c r="AP222" s="5" t="s">
        <v>88</v>
      </c>
      <c r="AQ222" s="5" t="s">
        <v>441</v>
      </c>
      <c r="AR222" s="5"/>
      <c r="AS222" s="7" t="n">
        <f aca="false">IF(AND(AP222="Y",ISNUMBER(AO222)),AO222,0)</f>
        <v>18.5794321718861</v>
      </c>
      <c r="AT222" s="7" t="n">
        <f aca="false">IF(AS222&gt;0,AS222*AG222,0)</f>
        <v>14.5308894725701</v>
      </c>
      <c r="AU222" s="7" t="n">
        <f aca="false">IF(AS222&gt;0,AS222*AG222^2,0)</f>
        <v>11.3645426249113</v>
      </c>
      <c r="AV222" s="9" t="n">
        <f aca="false">IF(AS222&gt;0,AS222^2,0)</f>
        <v>345.195299829716</v>
      </c>
      <c r="AW222" s="7" t="n">
        <f aca="false">IF(AS222&gt;0,AG222,0)</f>
        <v>0.782095455778129</v>
      </c>
      <c r="AX222" s="7" t="n">
        <f aca="false">IF(AS222&gt;0,AH222,1)</f>
        <v>0.05382295813718</v>
      </c>
    </row>
    <row r="223" customFormat="false" ht="15" hidden="false" customHeight="false" outlineLevel="0" collapsed="false">
      <c r="A223" s="5" t="s">
        <v>752</v>
      </c>
      <c r="B223" s="5" t="s">
        <v>747</v>
      </c>
      <c r="C223" s="5" t="s">
        <v>748</v>
      </c>
      <c r="D223" s="5" t="n">
        <v>2026</v>
      </c>
      <c r="E223" s="5" t="s">
        <v>749</v>
      </c>
      <c r="F223" s="5" t="s">
        <v>750</v>
      </c>
      <c r="G223" s="5" t="s">
        <v>395</v>
      </c>
      <c r="H223" s="5" t="s">
        <v>161</v>
      </c>
      <c r="I223" s="5" t="s">
        <v>439</v>
      </c>
      <c r="J223" s="5" t="s">
        <v>162</v>
      </c>
      <c r="K223" s="5" t="s">
        <v>163</v>
      </c>
      <c r="L223" s="5" t="s">
        <v>164</v>
      </c>
      <c r="M223" s="5"/>
      <c r="N223" s="5"/>
      <c r="O223" s="5" t="s">
        <v>81</v>
      </c>
      <c r="P223" s="11" t="s">
        <v>113</v>
      </c>
      <c r="Q223" s="11" t="s">
        <v>425</v>
      </c>
      <c r="R223" s="5"/>
      <c r="S223" s="11" t="s">
        <v>686</v>
      </c>
      <c r="T223" s="5"/>
      <c r="U223" s="11" t="s">
        <v>86</v>
      </c>
      <c r="V223" s="5" t="n">
        <v>40</v>
      </c>
      <c r="W223" s="5" t="n">
        <v>4.5</v>
      </c>
      <c r="X223" s="5" t="n">
        <v>1.18</v>
      </c>
      <c r="Y223" s="5" t="n">
        <v>40</v>
      </c>
      <c r="Z223" s="5" t="n">
        <v>2.92</v>
      </c>
      <c r="AA223" s="5" t="n">
        <v>0.8</v>
      </c>
      <c r="AB223" s="5" t="s">
        <v>99</v>
      </c>
      <c r="AC223" s="5"/>
      <c r="AD223" s="5" t="n">
        <v>1</v>
      </c>
      <c r="AE223" s="7" t="n">
        <f aca="false">IFERROR(IF(AB223="MSD",IF(COUNT(V223,W223,X223,Y223,Z223,AA223)&lt;6,"",(W223-Z223)/SQRT(((V223-1)*X223^2+(Y223-1)*AA223^2)/(V223+Y223-2))*AD223),IF(AB223="t",AC223*SQRT(1/V223+1/Y223)*AD223,IF(AB223="F",SQRT(AC223)*SQRT(1/V223+1/Y223)*AD223,IF(AB223="z",2*(AC223/SQRT(V223+Y223))/SQRT(1-(AC223/SQRT(V223+Y223))^2)*AD223,IF(AB223="t_paired",AC223/SQRT(V223)*AD223,""))))),"")</f>
        <v>1.5673554258366</v>
      </c>
      <c r="AF223" s="7" t="n">
        <f aca="false">IF(AE223="","",IF(AB223="t_paired",1-3/(4*(V223-1)-1),1-3/(4*(V223+Y223)-9)))</f>
        <v>0.990353697749196</v>
      </c>
      <c r="AG223" s="7" t="n">
        <f aca="false">IF(AE223="","",AE223*AF223)</f>
        <v>1.55223624166454</v>
      </c>
      <c r="AH223" s="7" t="n">
        <f aca="false">IF(AG223="","",IF(AB223="t_paired",1/V223+AG223^2/(2*V223),(V223+Y223)/(V223*Y223)+AG223^2/(2*(V223+Y223))))</f>
        <v>0.0650589834371054</v>
      </c>
      <c r="AI223" s="7" t="n">
        <f aca="false">IF(AH223="","",SQRT(AH223))</f>
        <v>0.255066625486569</v>
      </c>
      <c r="AJ223" s="7" t="n">
        <f aca="false">IF(AI223="","",AG223-1.96*AI223)</f>
        <v>1.05230565571087</v>
      </c>
      <c r="AK223" s="7" t="n">
        <f aca="false">IF(AI223="","",AG223+1.96*AI223)</f>
        <v>2.05216682761822</v>
      </c>
      <c r="AL223" s="7" t="n">
        <f aca="false">IF(AI223="","",AG223/AI223)</f>
        <v>6.0856109210818</v>
      </c>
      <c r="AM223" s="8" t="n">
        <f aca="false">IF(AL223="","",2*(1-NORMSDIST(ABS(AL223))))</f>
        <v>1.16047949028086E-009</v>
      </c>
      <c r="AN223" s="9" t="n">
        <f aca="false">IF(COUNT(V223)=0,"",IF(AB223="t_paired",V223,V223+N(Y223)))</f>
        <v>80</v>
      </c>
      <c r="AO223" s="7" t="n">
        <f aca="false">IF(AH223="","",1/AH223)</f>
        <v>15.3706674646512</v>
      </c>
      <c r="AP223" s="5" t="s">
        <v>88</v>
      </c>
      <c r="AQ223" s="5" t="s">
        <v>441</v>
      </c>
      <c r="AR223" s="5"/>
      <c r="AS223" s="7" t="n">
        <f aca="false">IF(AND(AP223="Y",ISNUMBER(AO223)),AO223,0)</f>
        <v>15.3706674646512</v>
      </c>
      <c r="AT223" s="7" t="n">
        <f aca="false">IF(AS223&gt;0,AS223*AG223,0)</f>
        <v>23.8589070972057</v>
      </c>
      <c r="AU223" s="7" t="n">
        <f aca="false">IF(AS223&gt;0,AS223*AG223^2,0)</f>
        <v>37.0346602827901</v>
      </c>
      <c r="AV223" s="9" t="n">
        <f aca="false">IF(AS223&gt;0,AS223^2,0)</f>
        <v>236.257418308888</v>
      </c>
      <c r="AW223" s="7" t="n">
        <f aca="false">IF(AS223&gt;0,AG223,0)</f>
        <v>1.55223624166454</v>
      </c>
      <c r="AX223" s="7" t="n">
        <f aca="false">IF(AS223&gt;0,AH223,1)</f>
        <v>0.0650589834371054</v>
      </c>
    </row>
    <row r="224" customFormat="false" ht="15" hidden="false" customHeight="false" outlineLevel="0" collapsed="false">
      <c r="A224" s="5" t="s">
        <v>753</v>
      </c>
      <c r="B224" s="5" t="s">
        <v>747</v>
      </c>
      <c r="C224" s="5" t="s">
        <v>748</v>
      </c>
      <c r="D224" s="5" t="n">
        <v>2026</v>
      </c>
      <c r="E224" s="5" t="s">
        <v>749</v>
      </c>
      <c r="F224" s="5" t="s">
        <v>750</v>
      </c>
      <c r="G224" s="5" t="s">
        <v>395</v>
      </c>
      <c r="H224" s="5" t="s">
        <v>161</v>
      </c>
      <c r="I224" s="5" t="s">
        <v>439</v>
      </c>
      <c r="J224" s="5" t="s">
        <v>162</v>
      </c>
      <c r="K224" s="5" t="s">
        <v>163</v>
      </c>
      <c r="L224" s="5" t="s">
        <v>164</v>
      </c>
      <c r="M224" s="5"/>
      <c r="N224" s="5"/>
      <c r="O224" s="5" t="s">
        <v>81</v>
      </c>
      <c r="P224" s="11" t="s">
        <v>113</v>
      </c>
      <c r="Q224" s="11" t="s">
        <v>430</v>
      </c>
      <c r="R224" s="5"/>
      <c r="S224" s="11" t="s">
        <v>754</v>
      </c>
      <c r="T224" s="5"/>
      <c r="U224" s="11" t="s">
        <v>86</v>
      </c>
      <c r="V224" s="5" t="n">
        <v>40</v>
      </c>
      <c r="W224" s="5" t="n">
        <v>4.32</v>
      </c>
      <c r="X224" s="5" t="n">
        <v>0.66</v>
      </c>
      <c r="Y224" s="5" t="n">
        <v>40</v>
      </c>
      <c r="Z224" s="5" t="n">
        <v>3.52</v>
      </c>
      <c r="AA224" s="5" t="n">
        <v>0.68</v>
      </c>
      <c r="AB224" s="5" t="s">
        <v>99</v>
      </c>
      <c r="AC224" s="5"/>
      <c r="AD224" s="5" t="n">
        <v>1</v>
      </c>
      <c r="AE224" s="7" t="n">
        <f aca="false">IFERROR(IF(AB224="MSD",IF(COUNT(V224,W224,X224,Y224,Z224,AA224)&lt;6,"",(W224-Z224)/SQRT(((V224-1)*X224^2+(Y224-1)*AA224^2)/(V224+Y224-2))*AD224),IF(AB224="t",AC224*SQRT(1/V224+1/Y224)*AD224,IF(AB224="F",SQRT(AC224)*SQRT(1/V224+1/Y224)*AD224,IF(AB224="z",2*(AC224/SQRT(V224+Y224))/SQRT(1-(AC224/SQRT(V224+Y224))^2)*AD224,IF(AB224="t_paired",AC224/SQRT(V224)*AD224,""))))),"")</f>
        <v>1.1938968778798</v>
      </c>
      <c r="AF224" s="7" t="n">
        <f aca="false">IF(AE224="","",IF(AB224="t_paired",1-3/(4*(V224-1)-1),1-3/(4*(V224+Y224)-9)))</f>
        <v>0.990353697749196</v>
      </c>
      <c r="AG224" s="7" t="n">
        <f aca="false">IF(AE224="","",AE224*AF224)</f>
        <v>1.18238018773948</v>
      </c>
      <c r="AH224" s="7" t="n">
        <f aca="false">IF(AG224="","",IF(AB224="t_paired",1/V224+AG224^2/(2*V224),(V224+Y224)/(V224*Y224)+AG224^2/(2*(V224+Y224))))</f>
        <v>0.0587376431772428</v>
      </c>
      <c r="AI224" s="7" t="n">
        <f aca="false">IF(AH224="","",SQRT(AH224))</f>
        <v>0.242358501351289</v>
      </c>
      <c r="AJ224" s="7" t="n">
        <f aca="false">IF(AI224="","",AG224-1.96*AI224)</f>
        <v>0.707357525090955</v>
      </c>
      <c r="AK224" s="7" t="n">
        <f aca="false">IF(AI224="","",AG224+1.96*AI224)</f>
        <v>1.65740285038801</v>
      </c>
      <c r="AL224" s="7" t="n">
        <f aca="false">IF(AI224="","",AG224/AI224)</f>
        <v>4.87864127376191</v>
      </c>
      <c r="AM224" s="8" t="n">
        <f aca="false">IF(AL224="","",2*(1-NORMSDIST(ABS(AL224))))</f>
        <v>1.06819139844561E-006</v>
      </c>
      <c r="AN224" s="9" t="n">
        <f aca="false">IF(COUNT(V224)=0,"",IF(AB224="t_paired",V224,V224+N(Y224)))</f>
        <v>80</v>
      </c>
      <c r="AO224" s="7" t="n">
        <f aca="false">IF(AH224="","",1/AH224)</f>
        <v>17.0248574152433</v>
      </c>
      <c r="AP224" s="5" t="s">
        <v>88</v>
      </c>
      <c r="AQ224" s="5" t="s">
        <v>441</v>
      </c>
      <c r="AR224" s="5"/>
      <c r="AS224" s="7" t="n">
        <f aca="false">IF(AND(AP224="Y",ISNUMBER(AO224)),AO224,0)</f>
        <v>17.0248574152433</v>
      </c>
      <c r="AT224" s="7" t="n">
        <f aca="false">IF(AS224&gt;0,AS224*AG224,0)</f>
        <v>20.1298541068733</v>
      </c>
      <c r="AU224" s="7" t="n">
        <f aca="false">IF(AS224&gt;0,AS224*AG224^2,0)</f>
        <v>23.8011406780532</v>
      </c>
      <c r="AV224" s="9" t="n">
        <f aca="false">IF(AS224&gt;0,AS224^2,0)</f>
        <v>289.845770009366</v>
      </c>
      <c r="AW224" s="7" t="n">
        <f aca="false">IF(AS224&gt;0,AG224,0)</f>
        <v>1.18238018773948</v>
      </c>
      <c r="AX224" s="7" t="n">
        <f aca="false">IF(AS224&gt;0,AH224,1)</f>
        <v>0.0587376431772428</v>
      </c>
    </row>
    <row r="225" customFormat="false" ht="15" hidden="false" customHeight="false" outlineLevel="0" collapsed="false">
      <c r="A225" s="5" t="s">
        <v>755</v>
      </c>
      <c r="B225" s="5" t="s">
        <v>756</v>
      </c>
      <c r="C225" s="5" t="s">
        <v>757</v>
      </c>
      <c r="D225" s="5" t="n">
        <v>2026</v>
      </c>
      <c r="E225" s="5" t="s">
        <v>557</v>
      </c>
      <c r="F225" s="5" t="s">
        <v>173</v>
      </c>
      <c r="G225" s="5" t="s">
        <v>438</v>
      </c>
      <c r="H225" s="5" t="s">
        <v>174</v>
      </c>
      <c r="I225" s="5" t="s">
        <v>396</v>
      </c>
      <c r="J225" s="5" t="s">
        <v>189</v>
      </c>
      <c r="K225" s="5" t="s">
        <v>163</v>
      </c>
      <c r="L225" s="5" t="s">
        <v>164</v>
      </c>
      <c r="M225" s="5"/>
      <c r="N225" s="5"/>
      <c r="O225" s="5" t="s">
        <v>261</v>
      </c>
      <c r="P225" s="11" t="s">
        <v>113</v>
      </c>
      <c r="Q225" s="11" t="s">
        <v>425</v>
      </c>
      <c r="R225" s="5"/>
      <c r="S225" s="11" t="s">
        <v>758</v>
      </c>
      <c r="T225" s="5"/>
      <c r="U225" s="11" t="s">
        <v>86</v>
      </c>
      <c r="V225" s="5" t="n">
        <v>196</v>
      </c>
      <c r="W225" s="5" t="n">
        <v>5.72</v>
      </c>
      <c r="X225" s="5" t="n">
        <v>0.96</v>
      </c>
      <c r="Y225" s="5" t="n">
        <v>188</v>
      </c>
      <c r="Z225" s="5" t="n">
        <v>4.58</v>
      </c>
      <c r="AA225" s="5" t="n">
        <v>1.01</v>
      </c>
      <c r="AB225" s="5" t="s">
        <v>99</v>
      </c>
      <c r="AC225" s="5"/>
      <c r="AD225" s="5" t="n">
        <v>1</v>
      </c>
      <c r="AE225" s="7" t="n">
        <f aca="false">IFERROR(IF(AB225="MSD",IF(COUNT(V225,W225,X225,Y225,Z225,AA225)&lt;6,"",(W225-Z225)/SQRT(((V225-1)*X225^2+(Y225-1)*AA225^2)/(V225+Y225-2))*AD225),IF(AB225="t",AC225*SQRT(1/V225+1/Y225)*AD225,IF(AB225="F",SQRT(AC225)*SQRT(1/V225+1/Y225)*AD225,IF(AB225="z",2*(AC225/SQRT(V225+Y225))/SQRT(1-(AC225/SQRT(V225+Y225))^2)*AD225,IF(AB225="t_paired",AC225/SQRT(V225)*AD225,""))))),"")</f>
        <v>1.15760288327341</v>
      </c>
      <c r="AF225" s="7" t="n">
        <f aca="false">IF(AE225="","",IF(AB225="t_paired",1-3/(4*(V225-1)-1),1-3/(4*(V225+Y225)-9)))</f>
        <v>0.99803536345776</v>
      </c>
      <c r="AG225" s="7" t="n">
        <f aca="false">IF(AE225="","",AE225*AF225)</f>
        <v>1.15532861434753</v>
      </c>
      <c r="AH225" s="7" t="n">
        <f aca="false">IF(AG225="","",IF(AB225="t_paired",1/V225+AG225^2/(2*V225),(V225+Y225)/(V225*Y225)+AG225^2/(2*(V225+Y225))))</f>
        <v>0.0121591900221975</v>
      </c>
      <c r="AI225" s="7" t="n">
        <f aca="false">IF(AH225="","",SQRT(AH225))</f>
        <v>0.110268717332694</v>
      </c>
      <c r="AJ225" s="7" t="n">
        <f aca="false">IF(AI225="","",AG225-1.96*AI225)</f>
        <v>0.939201928375446</v>
      </c>
      <c r="AK225" s="7" t="n">
        <f aca="false">IF(AI225="","",AG225+1.96*AI225)</f>
        <v>1.3714553003196</v>
      </c>
      <c r="AL225" s="7" t="n">
        <f aca="false">IF(AI225="","",AG225/AI225)</f>
        <v>10.4773923402207</v>
      </c>
      <c r="AM225" s="8" t="n">
        <f aca="false">IF(AL225="","",2*(1-NORMSDIST(ABS(AL225))))</f>
        <v>0</v>
      </c>
      <c r="AN225" s="9" t="n">
        <f aca="false">IF(COUNT(V225)=0,"",IF(AB225="t_paired",V225,V225+N(Y225)))</f>
        <v>384</v>
      </c>
      <c r="AO225" s="7" t="n">
        <f aca="false">IF(AH225="","",1/AH225)</f>
        <v>82.2423202675858</v>
      </c>
      <c r="AP225" s="5" t="s">
        <v>88</v>
      </c>
      <c r="AQ225" s="5" t="s">
        <v>441</v>
      </c>
      <c r="AR225" s="5"/>
      <c r="AS225" s="7" t="n">
        <f aca="false">IF(AND(AP225="Y",ISNUMBER(AO225)),AO225,0)</f>
        <v>82.2423202675858</v>
      </c>
      <c r="AT225" s="7" t="n">
        <f aca="false">IF(AS225&gt;0,AS225*AG225,0)</f>
        <v>95.0169059154754</v>
      </c>
      <c r="AU225" s="7" t="n">
        <f aca="false">IF(AS225&gt;0,AS225*AG225^2,0)</f>
        <v>109.775750250915</v>
      </c>
      <c r="AV225" s="9" t="n">
        <f aca="false">IF(AS225&gt;0,AS225^2,0)</f>
        <v>6763.79924299616</v>
      </c>
      <c r="AW225" s="7" t="n">
        <f aca="false">IF(AS225&gt;0,AG225,0)</f>
        <v>1.15532861434753</v>
      </c>
      <c r="AX225" s="7" t="n">
        <f aca="false">IF(AS225&gt;0,AH225,1)</f>
        <v>0.0121591900221975</v>
      </c>
    </row>
    <row r="226" customFormat="false" ht="15" hidden="false" customHeight="false" outlineLevel="0" collapsed="false">
      <c r="A226" s="5" t="s">
        <v>759</v>
      </c>
      <c r="B226" s="5" t="s">
        <v>756</v>
      </c>
      <c r="C226" s="5" t="s">
        <v>757</v>
      </c>
      <c r="D226" s="5" t="n">
        <v>2026</v>
      </c>
      <c r="E226" s="5" t="s">
        <v>557</v>
      </c>
      <c r="F226" s="5" t="s">
        <v>173</v>
      </c>
      <c r="G226" s="5" t="s">
        <v>438</v>
      </c>
      <c r="H226" s="5" t="s">
        <v>174</v>
      </c>
      <c r="I226" s="5" t="s">
        <v>396</v>
      </c>
      <c r="J226" s="5" t="s">
        <v>189</v>
      </c>
      <c r="K226" s="5" t="s">
        <v>163</v>
      </c>
      <c r="L226" s="5" t="s">
        <v>164</v>
      </c>
      <c r="M226" s="5"/>
      <c r="N226" s="5"/>
      <c r="O226" s="5" t="s">
        <v>261</v>
      </c>
      <c r="P226" s="11" t="s">
        <v>113</v>
      </c>
      <c r="Q226" s="11" t="s">
        <v>430</v>
      </c>
      <c r="R226" s="5"/>
      <c r="S226" s="11" t="s">
        <v>760</v>
      </c>
      <c r="T226" s="5"/>
      <c r="U226" s="11" t="s">
        <v>86</v>
      </c>
      <c r="V226" s="5" t="n">
        <v>196</v>
      </c>
      <c r="W226" s="5" t="n">
        <v>5.64</v>
      </c>
      <c r="X226" s="5" t="n">
        <v>0.91</v>
      </c>
      <c r="Y226" s="5" t="n">
        <v>188</v>
      </c>
      <c r="Z226" s="5" t="n">
        <v>4.45</v>
      </c>
      <c r="AA226" s="5" t="n">
        <v>0.89</v>
      </c>
      <c r="AB226" s="5" t="s">
        <v>99</v>
      </c>
      <c r="AC226" s="5"/>
      <c r="AD226" s="5" t="n">
        <v>1</v>
      </c>
      <c r="AE226" s="7" t="n">
        <f aca="false">IFERROR(IF(AB226="MSD",IF(COUNT(V226,W226,X226,Y226,Z226,AA226)&lt;6,"",(W226-Z226)/SQRT(((V226-1)*X226^2+(Y226-1)*AA226^2)/(V226+Y226-2))*AD226),IF(AB226="t",AC226*SQRT(1/V226+1/Y226)*AD226,IF(AB226="F",SQRT(AC226)*SQRT(1/V226+1/Y226)*AD226,IF(AB226="z",2*(AC226/SQRT(V226+Y226))/SQRT(1-(AC226/SQRT(V226+Y226))^2)*AD226,IF(AB226="t_paired",AC226/SQRT(V226)*AD226,""))))),"")</f>
        <v>1.32183310298652</v>
      </c>
      <c r="AF226" s="7" t="n">
        <f aca="false">IF(AE226="","",IF(AB226="t_paired",1-3/(4*(V226-1)-1),1-3/(4*(V226+Y226)-9)))</f>
        <v>0.99803536345776</v>
      </c>
      <c r="AG226" s="7" t="n">
        <f aca="false">IF(AE226="","",AE226*AF226)</f>
        <v>1.31923618136966</v>
      </c>
      <c r="AH226" s="7" t="n">
        <f aca="false">IF(AG226="","",IF(AB226="t_paired",1/V226+AG226^2/(2*V226),(V226+Y226)/(V226*Y226)+AG226^2/(2*(V226+Y226))))</f>
        <v>0.012687314885615</v>
      </c>
      <c r="AI226" s="7" t="n">
        <f aca="false">IF(AH226="","",SQRT(AH226))</f>
        <v>0.11263798154093</v>
      </c>
      <c r="AJ226" s="7" t="n">
        <f aca="false">IF(AI226="","",AG226-1.96*AI226)</f>
        <v>1.09846573754943</v>
      </c>
      <c r="AK226" s="7" t="n">
        <f aca="false">IF(AI226="","",AG226+1.96*AI226)</f>
        <v>1.54000662518988</v>
      </c>
      <c r="AL226" s="7" t="n">
        <f aca="false">IF(AI226="","",AG226/AI226)</f>
        <v>11.7121788167899</v>
      </c>
      <c r="AM226" s="8" t="n">
        <f aca="false">IF(AL226="","",2*(1-NORMSDIST(ABS(AL226))))</f>
        <v>0</v>
      </c>
      <c r="AN226" s="9" t="n">
        <f aca="false">IF(COUNT(V226)=0,"",IF(AB226="t_paired",V226,V226+N(Y226)))</f>
        <v>384</v>
      </c>
      <c r="AO226" s="7" t="n">
        <f aca="false">IF(AH226="","",1/AH226)</f>
        <v>78.8188839810237</v>
      </c>
      <c r="AP226" s="5" t="s">
        <v>88</v>
      </c>
      <c r="AQ226" s="5" t="s">
        <v>441</v>
      </c>
      <c r="AR226" s="5"/>
      <c r="AS226" s="7" t="n">
        <f aca="false">IF(AND(AP226="Y",ISNUMBER(AO226)),AO226,0)</f>
        <v>78.8188839810237</v>
      </c>
      <c r="AT226" s="7" t="n">
        <f aca="false">IF(AS226&gt;0,AS226*AG226,0)</f>
        <v>103.980723522944</v>
      </c>
      <c r="AU226" s="7" t="n">
        <f aca="false">IF(AS226&gt;0,AS226*AG226^2,0)</f>
        <v>137.175132636462</v>
      </c>
      <c r="AV226" s="9" t="n">
        <f aca="false">IF(AS226&gt;0,AS226^2,0)</f>
        <v>6212.41647201407</v>
      </c>
      <c r="AW226" s="7" t="n">
        <f aca="false">IF(AS226&gt;0,AG226,0)</f>
        <v>1.31923618136966</v>
      </c>
      <c r="AX226" s="7" t="n">
        <f aca="false">IF(AS226&gt;0,AH226,1)</f>
        <v>0.012687314885615</v>
      </c>
    </row>
    <row r="227" customFormat="false" ht="15" hidden="false" customHeight="false" outlineLevel="0" collapsed="false">
      <c r="A227" s="5" t="s">
        <v>761</v>
      </c>
      <c r="B227" s="5" t="s">
        <v>756</v>
      </c>
      <c r="C227" s="5" t="s">
        <v>757</v>
      </c>
      <c r="D227" s="5" t="n">
        <v>2026</v>
      </c>
      <c r="E227" s="5" t="s">
        <v>557</v>
      </c>
      <c r="F227" s="5" t="s">
        <v>173</v>
      </c>
      <c r="G227" s="5" t="s">
        <v>438</v>
      </c>
      <c r="H227" s="5" t="s">
        <v>174</v>
      </c>
      <c r="I227" s="5" t="s">
        <v>396</v>
      </c>
      <c r="J227" s="5" t="s">
        <v>189</v>
      </c>
      <c r="K227" s="5" t="s">
        <v>163</v>
      </c>
      <c r="L227" s="5" t="s">
        <v>164</v>
      </c>
      <c r="M227" s="5"/>
      <c r="N227" s="5"/>
      <c r="O227" s="5" t="s">
        <v>261</v>
      </c>
      <c r="P227" s="11" t="s">
        <v>113</v>
      </c>
      <c r="Q227" s="11" t="s">
        <v>430</v>
      </c>
      <c r="R227" s="5"/>
      <c r="S227" s="11" t="s">
        <v>762</v>
      </c>
      <c r="T227" s="5"/>
      <c r="U227" s="11" t="s">
        <v>86</v>
      </c>
      <c r="V227" s="5" t="n">
        <v>196</v>
      </c>
      <c r="W227" s="5" t="n">
        <v>5.31</v>
      </c>
      <c r="X227" s="5" t="n">
        <v>0.98</v>
      </c>
      <c r="Y227" s="5" t="n">
        <v>188</v>
      </c>
      <c r="Z227" s="5" t="n">
        <v>4.12</v>
      </c>
      <c r="AA227" s="5" t="n">
        <v>1.04</v>
      </c>
      <c r="AB227" s="5" t="s">
        <v>99</v>
      </c>
      <c r="AC227" s="5"/>
      <c r="AD227" s="5" t="n">
        <v>1</v>
      </c>
      <c r="AE227" s="7" t="n">
        <f aca="false">IFERROR(IF(AB227="MSD",IF(COUNT(V227,W227,X227,Y227,Z227,AA227)&lt;6,"",(W227-Z227)/SQRT(((V227-1)*X227^2+(Y227-1)*AA227^2)/(V227+Y227-2))*AD227),IF(AB227="t",AC227*SQRT(1/V227+1/Y227)*AD227,IF(AB227="F",SQRT(AC227)*SQRT(1/V227+1/Y227)*AD227,IF(AB227="z",2*(AC227/SQRT(V227+Y227))/SQRT(1-(AC227/SQRT(V227+Y227))^2)*AD227,IF(AB227="t_paired",AC227/SQRT(V227)*AD227,""))))),"")</f>
        <v>1.17843104106171</v>
      </c>
      <c r="AF227" s="7" t="n">
        <f aca="false">IF(AE227="","",IF(AB227="t_paired",1-3/(4*(V227-1)-1),1-3/(4*(V227+Y227)-9)))</f>
        <v>0.99803536345776</v>
      </c>
      <c r="AG227" s="7" t="n">
        <f aca="false">IF(AE227="","",AE227*AF227)</f>
        <v>1.17611585237593</v>
      </c>
      <c r="AH227" s="7" t="n">
        <f aca="false">IF(AG227="","",IF(AB227="t_paired",1/V227+AG227^2/(2*V227),(V227+Y227)/(V227*Y227)+AG227^2/(2*(V227+Y227))))</f>
        <v>0.0122222945678743</v>
      </c>
      <c r="AI227" s="7" t="n">
        <f aca="false">IF(AH227="","",SQRT(AH227))</f>
        <v>0.110554486873552</v>
      </c>
      <c r="AJ227" s="7" t="n">
        <f aca="false">IF(AI227="","",AG227-1.96*AI227)</f>
        <v>0.959429058103772</v>
      </c>
      <c r="AK227" s="7" t="n">
        <f aca="false">IF(AI227="","",AG227+1.96*AI227)</f>
        <v>1.39280264664809</v>
      </c>
      <c r="AL227" s="7" t="n">
        <f aca="false">IF(AI227="","",AG227/AI227)</f>
        <v>10.6383366757528</v>
      </c>
      <c r="AM227" s="8" t="n">
        <f aca="false">IF(AL227="","",2*(1-NORMSDIST(ABS(AL227))))</f>
        <v>0</v>
      </c>
      <c r="AN227" s="9" t="n">
        <f aca="false">IF(COUNT(V227)=0,"",IF(AB227="t_paired",V227,V227+N(Y227)))</f>
        <v>384</v>
      </c>
      <c r="AO227" s="7" t="n">
        <f aca="false">IF(AH227="","",1/AH227)</f>
        <v>81.8176975237081</v>
      </c>
      <c r="AP227" s="5" t="s">
        <v>88</v>
      </c>
      <c r="AQ227" s="5" t="s">
        <v>441</v>
      </c>
      <c r="AR227" s="5"/>
      <c r="AS227" s="7" t="n">
        <f aca="false">IF(AND(AP227="Y",ISNUMBER(AO227)),AO227,0)</f>
        <v>81.8176975237081</v>
      </c>
      <c r="AT227" s="7" t="n">
        <f aca="false">IF(AS227&gt;0,AS227*AG227,0)</f>
        <v>96.2270910625322</v>
      </c>
      <c r="AU227" s="7" t="n">
        <f aca="false">IF(AS227&gt;0,AS227*AG227^2,0)</f>
        <v>113.174207226667</v>
      </c>
      <c r="AV227" s="9" t="n">
        <f aca="false">IF(AS227&gt;0,AS227^2,0)</f>
        <v>6694.13562808098</v>
      </c>
      <c r="AW227" s="7" t="n">
        <f aca="false">IF(AS227&gt;0,AG227,0)</f>
        <v>1.17611585237593</v>
      </c>
      <c r="AX227" s="7" t="n">
        <f aca="false">IF(AS227&gt;0,AH227,1)</f>
        <v>0.0122222945678743</v>
      </c>
    </row>
    <row r="228" customFormat="false" ht="15" hidden="false" customHeight="false" outlineLevel="0" collapsed="false">
      <c r="A228" s="5" t="s">
        <v>763</v>
      </c>
      <c r="B228" s="5" t="s">
        <v>756</v>
      </c>
      <c r="C228" s="5" t="s">
        <v>757</v>
      </c>
      <c r="D228" s="5" t="n">
        <v>2026</v>
      </c>
      <c r="E228" s="5" t="s">
        <v>557</v>
      </c>
      <c r="F228" s="5" t="s">
        <v>173</v>
      </c>
      <c r="G228" s="5" t="s">
        <v>438</v>
      </c>
      <c r="H228" s="5" t="s">
        <v>174</v>
      </c>
      <c r="I228" s="5" t="s">
        <v>396</v>
      </c>
      <c r="J228" s="5" t="s">
        <v>189</v>
      </c>
      <c r="K228" s="5" t="s">
        <v>163</v>
      </c>
      <c r="L228" s="5" t="s">
        <v>164</v>
      </c>
      <c r="M228" s="5"/>
      <c r="N228" s="5"/>
      <c r="O228" s="5" t="s">
        <v>261</v>
      </c>
      <c r="P228" s="11" t="s">
        <v>113</v>
      </c>
      <c r="Q228" s="11" t="s">
        <v>430</v>
      </c>
      <c r="R228" s="5"/>
      <c r="S228" s="11" t="s">
        <v>764</v>
      </c>
      <c r="T228" s="5"/>
      <c r="U228" s="11" t="s">
        <v>86</v>
      </c>
      <c r="V228" s="5" t="n">
        <v>196</v>
      </c>
      <c r="W228" s="5" t="n">
        <v>5.18</v>
      </c>
      <c r="X228" s="5" t="n">
        <v>1.06</v>
      </c>
      <c r="Y228" s="5" t="n">
        <v>188</v>
      </c>
      <c r="Z228" s="5" t="n">
        <v>3.94</v>
      </c>
      <c r="AA228" s="5" t="n">
        <v>1.18</v>
      </c>
      <c r="AB228" s="5" t="s">
        <v>99</v>
      </c>
      <c r="AC228" s="5"/>
      <c r="AD228" s="5" t="n">
        <v>1</v>
      </c>
      <c r="AE228" s="7" t="n">
        <f aca="false">IFERROR(IF(AB228="MSD",IF(COUNT(V228,W228,X228,Y228,Z228,AA228)&lt;6,"",(W228-Z228)/SQRT(((V228-1)*X228^2+(Y228-1)*AA228^2)/(V228+Y228-2))*AD228),IF(AB228="t",AC228*SQRT(1/V228+1/Y228)*AD228,IF(AB228="F",SQRT(AC228)*SQRT(1/V228+1/Y228)*AD228,IF(AB228="z",2*(AC228/SQRT(V228+Y228))/SQRT(1-(AC228/SQRT(V228+Y228))^2)*AD228,IF(AB228="t_paired",AC228/SQRT(V228)*AD228,""))))),"")</f>
        <v>1.10679644616361</v>
      </c>
      <c r="AF228" s="7" t="n">
        <f aca="false">IF(AE228="","",IF(AB228="t_paired",1-3/(4*(V228-1)-1),1-3/(4*(V228+Y228)-9)))</f>
        <v>0.99803536345776</v>
      </c>
      <c r="AG228" s="7" t="n">
        <f aca="false">IF(AE228="","",AE228*AF228)</f>
        <v>1.10462199342065</v>
      </c>
      <c r="AH228" s="7" t="n">
        <f aca="false">IF(AG228="","",IF(AB228="t_paired",1/V228+AG228^2/(2*V228),(V228+Y228)/(V228*Y228)+AG228^2/(2*(V228+Y228))))</f>
        <v>0.0120099784873257</v>
      </c>
      <c r="AI228" s="7" t="n">
        <f aca="false">IF(AH228="","",SQRT(AH228))</f>
        <v>0.109590047391748</v>
      </c>
      <c r="AJ228" s="7" t="n">
        <f aca="false">IF(AI228="","",AG228-1.96*AI228)</f>
        <v>0.889825500532825</v>
      </c>
      <c r="AK228" s="7" t="n">
        <f aca="false">IF(AI228="","",AG228+1.96*AI228)</f>
        <v>1.31941848630848</v>
      </c>
      <c r="AL228" s="7" t="n">
        <f aca="false">IF(AI228="","",AG228/AI228)</f>
        <v>10.0795831346983</v>
      </c>
      <c r="AM228" s="8" t="n">
        <f aca="false">IF(AL228="","",2*(1-NORMSDIST(ABS(AL228))))</f>
        <v>0</v>
      </c>
      <c r="AN228" s="9" t="n">
        <f aca="false">IF(COUNT(V228)=0,"",IF(AB228="t_paired",V228,V228+N(Y228)))</f>
        <v>384</v>
      </c>
      <c r="AO228" s="7" t="n">
        <f aca="false">IF(AH228="","",1/AH228)</f>
        <v>83.2640958562346</v>
      </c>
      <c r="AP228" s="5" t="s">
        <v>88</v>
      </c>
      <c r="AQ228" s="5" t="s">
        <v>441</v>
      </c>
      <c r="AR228" s="5"/>
      <c r="AS228" s="7" t="n">
        <f aca="false">IF(AND(AP228="Y",ISNUMBER(AO228)),AO228,0)</f>
        <v>83.2640958562346</v>
      </c>
      <c r="AT228" s="7" t="n">
        <f aca="false">IF(AS228&gt;0,AS228*AG228,0)</f>
        <v>91.9753515450821</v>
      </c>
      <c r="AU228" s="7" t="n">
        <f aca="false">IF(AS228&gt;0,AS228*AG228^2,0)</f>
        <v>101.597996169294</v>
      </c>
      <c r="AV228" s="9" t="n">
        <f aca="false">IF(AS228&gt;0,AS228^2,0)</f>
        <v>6932.90965875622</v>
      </c>
      <c r="AW228" s="7" t="n">
        <f aca="false">IF(AS228&gt;0,AG228,0)</f>
        <v>1.10462199342065</v>
      </c>
      <c r="AX228" s="7" t="n">
        <f aca="false">IF(AS228&gt;0,AH228,1)</f>
        <v>0.0120099784873257</v>
      </c>
    </row>
    <row r="229" customFormat="false" ht="15" hidden="false" customHeight="false" outlineLevel="0" collapsed="false">
      <c r="A229" s="5" t="s">
        <v>765</v>
      </c>
      <c r="B229" s="5" t="s">
        <v>756</v>
      </c>
      <c r="C229" s="5" t="s">
        <v>757</v>
      </c>
      <c r="D229" s="5" t="n">
        <v>2026</v>
      </c>
      <c r="E229" s="5" t="s">
        <v>557</v>
      </c>
      <c r="F229" s="5" t="s">
        <v>173</v>
      </c>
      <c r="G229" s="5" t="s">
        <v>438</v>
      </c>
      <c r="H229" s="5" t="s">
        <v>174</v>
      </c>
      <c r="I229" s="5" t="s">
        <v>396</v>
      </c>
      <c r="J229" s="5" t="s">
        <v>189</v>
      </c>
      <c r="K229" s="5" t="s">
        <v>163</v>
      </c>
      <c r="L229" s="5" t="s">
        <v>164</v>
      </c>
      <c r="M229" s="5"/>
      <c r="N229" s="5"/>
      <c r="O229" s="5" t="s">
        <v>261</v>
      </c>
      <c r="P229" s="11" t="s">
        <v>113</v>
      </c>
      <c r="Q229" s="11" t="s">
        <v>430</v>
      </c>
      <c r="R229" s="5"/>
      <c r="S229" s="11" t="s">
        <v>766</v>
      </c>
      <c r="T229" s="5"/>
      <c r="U229" s="11" t="s">
        <v>86</v>
      </c>
      <c r="V229" s="5" t="n">
        <v>196</v>
      </c>
      <c r="W229" s="5" t="n">
        <v>5.7</v>
      </c>
      <c r="X229" s="5" t="n">
        <v>0.94</v>
      </c>
      <c r="Y229" s="5" t="n">
        <v>188</v>
      </c>
      <c r="Z229" s="5" t="n">
        <v>4.23</v>
      </c>
      <c r="AA229" s="5" t="n">
        <v>0.87</v>
      </c>
      <c r="AB229" s="5" t="s">
        <v>99</v>
      </c>
      <c r="AC229" s="5"/>
      <c r="AD229" s="5" t="n">
        <v>1</v>
      </c>
      <c r="AE229" s="7" t="n">
        <f aca="false">IFERROR(IF(AB229="MSD",IF(COUNT(V229,W229,X229,Y229,Z229,AA229)&lt;6,"",(W229-Z229)/SQRT(((V229-1)*X229^2+(Y229-1)*AA229^2)/(V229+Y229-2))*AD229),IF(AB229="t",AC229*SQRT(1/V229+1/Y229)*AD229,IF(AB229="F",SQRT(AC229)*SQRT(1/V229+1/Y229)*AD229,IF(AB229="z",2*(AC229/SQRT(V229+Y229))/SQRT(1-(AC229/SQRT(V229+Y229))^2)*AD229,IF(AB229="t_paired",AC229/SQRT(V229)*AD229,""))))),"")</f>
        <v>1.62178499248504</v>
      </c>
      <c r="AF229" s="7" t="n">
        <f aca="false">IF(AE229="","",IF(AB229="t_paired",1-3/(4*(V229-1)-1),1-3/(4*(V229+Y229)-9)))</f>
        <v>0.99803536345776</v>
      </c>
      <c r="AG229" s="7" t="n">
        <f aca="false">IF(AE229="","",AE229*AF229)</f>
        <v>1.61859877442515</v>
      </c>
      <c r="AH229" s="7" t="n">
        <f aca="false">IF(AG229="","",IF(AB229="t_paired",1/V229+AG229^2/(2*V229),(V229+Y229)/(V229*Y229)+AG229^2/(2*(V229+Y229))))</f>
        <v>0.0138324683886564</v>
      </c>
      <c r="AI229" s="7" t="n">
        <f aca="false">IF(AH229="","",SQRT(AH229))</f>
        <v>0.117611514694167</v>
      </c>
      <c r="AJ229" s="7" t="n">
        <f aca="false">IF(AI229="","",AG229-1.96*AI229)</f>
        <v>1.38808020562458</v>
      </c>
      <c r="AK229" s="7" t="n">
        <f aca="false">IF(AI229="","",AG229+1.96*AI229)</f>
        <v>1.84911734322571</v>
      </c>
      <c r="AL229" s="7" t="n">
        <f aca="false">IF(AI229="","",AG229/AI229)</f>
        <v>13.762247503011</v>
      </c>
      <c r="AM229" s="8" t="n">
        <f aca="false">IF(AL229="","",2*(1-NORMSDIST(ABS(AL229))))</f>
        <v>0</v>
      </c>
      <c r="AN229" s="9" t="n">
        <f aca="false">IF(COUNT(V229)=0,"",IF(AB229="t_paired",V229,V229+N(Y229)))</f>
        <v>384</v>
      </c>
      <c r="AO229" s="7" t="n">
        <f aca="false">IF(AH229="","",1/AH229)</f>
        <v>72.29367686971</v>
      </c>
      <c r="AP229" s="5" t="s">
        <v>88</v>
      </c>
      <c r="AQ229" s="5" t="s">
        <v>441</v>
      </c>
      <c r="AR229" s="5"/>
      <c r="AS229" s="7" t="n">
        <f aca="false">IF(AND(AP229="Y",ISNUMBER(AO229)),AO229,0)</f>
        <v>72.29367686971</v>
      </c>
      <c r="AT229" s="7" t="n">
        <f aca="false">IF(AS229&gt;0,AS229*AG229,0)</f>
        <v>117.01445678</v>
      </c>
      <c r="AU229" s="7" t="n">
        <f aca="false">IF(AS229&gt;0,AS229*AG229^2,0)</f>
        <v>189.399456334132</v>
      </c>
      <c r="AV229" s="9" t="n">
        <f aca="false">IF(AS229&gt;0,AS229^2,0)</f>
        <v>5226.37571534204</v>
      </c>
      <c r="AW229" s="7" t="n">
        <f aca="false">IF(AS229&gt;0,AG229,0)</f>
        <v>1.61859877442515</v>
      </c>
      <c r="AX229" s="7" t="n">
        <f aca="false">IF(AS229&gt;0,AH229,1)</f>
        <v>0.0138324683886564</v>
      </c>
    </row>
    <row r="230" customFormat="false" ht="15" hidden="false" customHeight="false" outlineLevel="0" collapsed="false">
      <c r="A230" s="5" t="s">
        <v>767</v>
      </c>
      <c r="B230" s="5" t="s">
        <v>756</v>
      </c>
      <c r="C230" s="5" t="s">
        <v>757</v>
      </c>
      <c r="D230" s="5" t="n">
        <v>2026</v>
      </c>
      <c r="E230" s="5" t="s">
        <v>557</v>
      </c>
      <c r="F230" s="5" t="s">
        <v>173</v>
      </c>
      <c r="G230" s="5" t="s">
        <v>438</v>
      </c>
      <c r="H230" s="5" t="s">
        <v>174</v>
      </c>
      <c r="I230" s="5" t="s">
        <v>396</v>
      </c>
      <c r="J230" s="5" t="s">
        <v>189</v>
      </c>
      <c r="K230" s="5" t="s">
        <v>163</v>
      </c>
      <c r="L230" s="5" t="s">
        <v>164</v>
      </c>
      <c r="M230" s="5"/>
      <c r="N230" s="5"/>
      <c r="O230" s="5" t="s">
        <v>261</v>
      </c>
      <c r="P230" s="11" t="s">
        <v>113</v>
      </c>
      <c r="Q230" s="11" t="s">
        <v>430</v>
      </c>
      <c r="R230" s="5"/>
      <c r="S230" s="11" t="s">
        <v>768</v>
      </c>
      <c r="T230" s="5"/>
      <c r="U230" s="11" t="s">
        <v>86</v>
      </c>
      <c r="V230" s="5" t="n">
        <v>196</v>
      </c>
      <c r="W230" s="5" t="n">
        <v>5.21</v>
      </c>
      <c r="X230" s="5" t="n">
        <v>1.08</v>
      </c>
      <c r="Y230" s="5" t="n">
        <v>188</v>
      </c>
      <c r="Z230" s="5" t="n">
        <v>3.89</v>
      </c>
      <c r="AA230" s="5" t="n">
        <v>1.12</v>
      </c>
      <c r="AB230" s="5" t="s">
        <v>99</v>
      </c>
      <c r="AC230" s="5"/>
      <c r="AD230" s="5" t="n">
        <v>1</v>
      </c>
      <c r="AE230" s="7" t="n">
        <f aca="false">IFERROR(IF(AB230="MSD",IF(COUNT(V230,W230,X230,Y230,Z230,AA230)&lt;6,"",(W230-Z230)/SQRT(((V230-1)*X230^2+(Y230-1)*AA230^2)/(V230+Y230-2))*AD230),IF(AB230="t",AC230*SQRT(1/V230+1/Y230)*AD230,IF(AB230="F",SQRT(AC230)*SQRT(1/V230+1/Y230)*AD230,IF(AB230="z",2*(AC230/SQRT(V230+Y230))/SQRT(1-(AC230/SQRT(V230+Y230))^2)*AD230,IF(AB230="t_paired",AC230/SQRT(V230)*AD230,""))))),"")</f>
        <v>1.2002586617746</v>
      </c>
      <c r="AF230" s="7" t="n">
        <f aca="false">IF(AE230="","",IF(AB230="t_paired",1-3/(4*(V230-1)-1),1-3/(4*(V230+Y230)-9)))</f>
        <v>0.99803536345776</v>
      </c>
      <c r="AG230" s="7" t="n">
        <f aca="false">IF(AE230="","",AE230*AF230)</f>
        <v>1.19790058974754</v>
      </c>
      <c r="AH230" s="7" t="n">
        <f aca="false">IF(AG230="","",IF(AB230="t_paired",1/V230+AG230^2/(2*V230),(V230+Y230)/(V230*Y230)+AG230^2/(2*(V230+Y230))))</f>
        <v>0.0122896348344206</v>
      </c>
      <c r="AI230" s="7" t="n">
        <f aca="false">IF(AH230="","",SQRT(AH230))</f>
        <v>0.110858625439884</v>
      </c>
      <c r="AJ230" s="7" t="n">
        <f aca="false">IF(AI230="","",AG230-1.96*AI230)</f>
        <v>0.980617683885368</v>
      </c>
      <c r="AK230" s="7" t="n">
        <f aca="false">IF(AI230="","",AG230+1.96*AI230)</f>
        <v>1.41518349560972</v>
      </c>
      <c r="AL230" s="7" t="n">
        <f aca="false">IF(AI230="","",AG230/AI230)</f>
        <v>10.8056597760824</v>
      </c>
      <c r="AM230" s="8" t="n">
        <f aca="false">IF(AL230="","",2*(1-NORMSDIST(ABS(AL230))))</f>
        <v>0</v>
      </c>
      <c r="AN230" s="9" t="n">
        <f aca="false">IF(COUNT(V230)=0,"",IF(AB230="t_paired",V230,V230+N(Y230)))</f>
        <v>384</v>
      </c>
      <c r="AO230" s="7" t="n">
        <f aca="false">IF(AH230="","",1/AH230)</f>
        <v>81.3693826930658</v>
      </c>
      <c r="AP230" s="5" t="s">
        <v>88</v>
      </c>
      <c r="AQ230" s="5" t="s">
        <v>441</v>
      </c>
      <c r="AR230" s="5"/>
      <c r="AS230" s="7" t="n">
        <f aca="false">IF(AND(AP230="Y",ISNUMBER(AO230)),AO230,0)</f>
        <v>81.3693826930658</v>
      </c>
      <c r="AT230" s="7" t="n">
        <f aca="false">IF(AS230&gt;0,AS230*AG230,0)</f>
        <v>97.4724315154169</v>
      </c>
      <c r="AU230" s="7" t="n">
        <f aca="false">IF(AS230&gt;0,AS230*AG230^2,0)</f>
        <v>116.762283196445</v>
      </c>
      <c r="AV230" s="9" t="n">
        <f aca="false">IF(AS230&gt;0,AS230^2,0)</f>
        <v>6620.97643985059</v>
      </c>
      <c r="AW230" s="7" t="n">
        <f aca="false">IF(AS230&gt;0,AG230,0)</f>
        <v>1.19790058974754</v>
      </c>
      <c r="AX230" s="7" t="n">
        <f aca="false">IF(AS230&gt;0,AH230,1)</f>
        <v>0.0122896348344206</v>
      </c>
    </row>
    <row r="231" customFormat="false" ht="15" hidden="false" customHeight="false" outlineLevel="0" collapsed="false">
      <c r="A231" s="5" t="s">
        <v>769</v>
      </c>
      <c r="B231" s="5" t="s">
        <v>756</v>
      </c>
      <c r="C231" s="5" t="s">
        <v>757</v>
      </c>
      <c r="D231" s="5" t="n">
        <v>2026</v>
      </c>
      <c r="E231" s="5" t="s">
        <v>557</v>
      </c>
      <c r="F231" s="5" t="s">
        <v>173</v>
      </c>
      <c r="G231" s="5" t="s">
        <v>438</v>
      </c>
      <c r="H231" s="5" t="s">
        <v>174</v>
      </c>
      <c r="I231" s="5" t="s">
        <v>396</v>
      </c>
      <c r="J231" s="5" t="s">
        <v>189</v>
      </c>
      <c r="K231" s="5" t="s">
        <v>163</v>
      </c>
      <c r="L231" s="5" t="s">
        <v>164</v>
      </c>
      <c r="M231" s="5"/>
      <c r="N231" s="5"/>
      <c r="O231" s="5" t="s">
        <v>261</v>
      </c>
      <c r="P231" s="11" t="s">
        <v>113</v>
      </c>
      <c r="Q231" s="11" t="s">
        <v>430</v>
      </c>
      <c r="R231" s="5"/>
      <c r="S231" s="11" t="s">
        <v>770</v>
      </c>
      <c r="T231" s="5"/>
      <c r="U231" s="11" t="s">
        <v>86</v>
      </c>
      <c r="V231" s="5" t="n">
        <v>196</v>
      </c>
      <c r="W231" s="5" t="n">
        <v>5.31</v>
      </c>
      <c r="X231" s="5" t="n">
        <v>1.02</v>
      </c>
      <c r="Y231" s="5" t="n">
        <v>188</v>
      </c>
      <c r="Z231" s="5" t="n">
        <v>3.76</v>
      </c>
      <c r="AA231" s="5" t="n">
        <v>0.96</v>
      </c>
      <c r="AB231" s="5" t="s">
        <v>99</v>
      </c>
      <c r="AC231" s="5"/>
      <c r="AD231" s="5" t="n">
        <v>1</v>
      </c>
      <c r="AE231" s="7" t="n">
        <f aca="false">IFERROR(IF(AB231="MSD",IF(COUNT(V231,W231,X231,Y231,Z231,AA231)&lt;6,"",(W231-Z231)/SQRT(((V231-1)*X231^2+(Y231-1)*AA231^2)/(V231+Y231-2))*AD231),IF(AB231="t",AC231*SQRT(1/V231+1/Y231)*AD231,IF(AB231="F",SQRT(AC231)*SQRT(1/V231+1/Y231)*AD231,IF(AB231="z",2*(AC231/SQRT(V231+Y231))/SQRT(1-(AC231/SQRT(V231+Y231))^2)*AD231,IF(AB231="t_paired",AC231/SQRT(V231)*AD231,""))))),"")</f>
        <v>1.56394692493701</v>
      </c>
      <c r="AF231" s="7" t="n">
        <f aca="false">IF(AE231="","",IF(AB231="t_paired",1-3/(4*(V231-1)-1),1-3/(4*(V231+Y231)-9)))</f>
        <v>0.99803536345776</v>
      </c>
      <c r="AG231" s="7" t="n">
        <f aca="false">IF(AE231="","",AE231*AF231)</f>
        <v>1.56087433765815</v>
      </c>
      <c r="AH231" s="7" t="n">
        <f aca="false">IF(AG231="","",IF(AB231="t_paired",1/V231+AG231^2/(2*V231),(V231+Y231)/(V231*Y231)+AG231^2/(2*(V231+Y231))))</f>
        <v>0.0135934927446319</v>
      </c>
      <c r="AI231" s="7" t="n">
        <f aca="false">IF(AH231="","",SQRT(AH231))</f>
        <v>0.116591134931571</v>
      </c>
      <c r="AJ231" s="7" t="n">
        <f aca="false">IF(AI231="","",AG231-1.96*AI231)</f>
        <v>1.33235571319227</v>
      </c>
      <c r="AK231" s="7" t="n">
        <f aca="false">IF(AI231="","",AG231+1.96*AI231)</f>
        <v>1.78939296212403</v>
      </c>
      <c r="AL231" s="7" t="n">
        <f aca="false">IF(AI231="","",AG231/AI231)</f>
        <v>13.3875902192242</v>
      </c>
      <c r="AM231" s="8" t="n">
        <f aca="false">IF(AL231="","",2*(1-NORMSDIST(ABS(AL231))))</f>
        <v>0</v>
      </c>
      <c r="AN231" s="9" t="n">
        <f aca="false">IF(COUNT(V231)=0,"",IF(AB231="t_paired",V231,V231+N(Y231)))</f>
        <v>384</v>
      </c>
      <c r="AO231" s="7" t="n">
        <f aca="false">IF(AH231="","",1/AH231)</f>
        <v>73.5646105666922</v>
      </c>
      <c r="AP231" s="5" t="s">
        <v>88</v>
      </c>
      <c r="AQ231" s="5" t="s">
        <v>441</v>
      </c>
      <c r="AR231" s="5"/>
      <c r="AS231" s="7" t="n">
        <f aca="false">IF(AND(AP231="Y",ISNUMBER(AO231)),AO231,0)</f>
        <v>73.5646105666922</v>
      </c>
      <c r="AT231" s="7" t="n">
        <f aca="false">IF(AS231&gt;0,AS231*AG231,0)</f>
        <v>114.825112793366</v>
      </c>
      <c r="AU231" s="7" t="n">
        <f aca="false">IF(AS231&gt;0,AS231*AG231^2,0)</f>
        <v>179.227571877867</v>
      </c>
      <c r="AV231" s="9" t="n">
        <f aca="false">IF(AS231&gt;0,AS231^2,0)</f>
        <v>5411.75192782909</v>
      </c>
      <c r="AW231" s="7" t="n">
        <f aca="false">IF(AS231&gt;0,AG231,0)</f>
        <v>1.56087433765815</v>
      </c>
      <c r="AX231" s="7" t="n">
        <f aca="false">IF(AS231&gt;0,AH231,1)</f>
        <v>0.0135934927446319</v>
      </c>
    </row>
    <row r="232" customFormat="false" ht="15" hidden="false" customHeight="false" outlineLevel="0" collapsed="false">
      <c r="A232" s="5" t="s">
        <v>771</v>
      </c>
      <c r="B232" s="5" t="s">
        <v>756</v>
      </c>
      <c r="C232" s="5" t="s">
        <v>757</v>
      </c>
      <c r="D232" s="5" t="n">
        <v>2026</v>
      </c>
      <c r="E232" s="5" t="s">
        <v>557</v>
      </c>
      <c r="F232" s="5" t="s">
        <v>173</v>
      </c>
      <c r="G232" s="5" t="s">
        <v>438</v>
      </c>
      <c r="H232" s="5" t="s">
        <v>174</v>
      </c>
      <c r="I232" s="5" t="s">
        <v>396</v>
      </c>
      <c r="J232" s="5" t="s">
        <v>189</v>
      </c>
      <c r="K232" s="5" t="s">
        <v>163</v>
      </c>
      <c r="L232" s="5" t="s">
        <v>164</v>
      </c>
      <c r="M232" s="5"/>
      <c r="N232" s="5"/>
      <c r="O232" s="5" t="s">
        <v>261</v>
      </c>
      <c r="P232" s="11" t="s">
        <v>113</v>
      </c>
      <c r="Q232" s="11" t="s">
        <v>430</v>
      </c>
      <c r="R232" s="5"/>
      <c r="S232" s="11" t="s">
        <v>772</v>
      </c>
      <c r="T232" s="5"/>
      <c r="U232" s="11" t="s">
        <v>86</v>
      </c>
      <c r="V232" s="5" t="n">
        <v>196</v>
      </c>
      <c r="W232" s="5" t="n">
        <v>5.38</v>
      </c>
      <c r="X232" s="5" t="n">
        <v>1.01</v>
      </c>
      <c r="Y232" s="5" t="n">
        <v>188</v>
      </c>
      <c r="Z232" s="5" t="n">
        <v>4.01</v>
      </c>
      <c r="AA232" s="5" t="n">
        <v>1.09</v>
      </c>
      <c r="AB232" s="5" t="s">
        <v>99</v>
      </c>
      <c r="AC232" s="5"/>
      <c r="AD232" s="5" t="n">
        <v>1</v>
      </c>
      <c r="AE232" s="7" t="n">
        <f aca="false">IFERROR(IF(AB232="MSD",IF(COUNT(V232,W232,X232,Y232,Z232,AA232)&lt;6,"",(W232-Z232)/SQRT(((V232-1)*X232^2+(Y232-1)*AA232^2)/(V232+Y232-2))*AD232),IF(AB232="t",AC232*SQRT(1/V232+1/Y232)*AD232,IF(AB232="F",SQRT(AC232)*SQRT(1/V232+1/Y232)*AD232,IF(AB232="z",2*(AC232/SQRT(V232+Y232))/SQRT(1-(AC232/SQRT(V232+Y232))^2)*AD232,IF(AB232="t_paired",AC232/SQRT(V232)*AD232,""))))),"")</f>
        <v>1.30485609587224</v>
      </c>
      <c r="AF232" s="7" t="n">
        <f aca="false">IF(AE232="","",IF(AB232="t_paired",1-3/(4*(V232-1)-1),1-3/(4*(V232+Y232)-9)))</f>
        <v>0.99803536345776</v>
      </c>
      <c r="AG232" s="7" t="n">
        <f aca="false">IF(AE232="","",AE232*AF232)</f>
        <v>1.30229252790392</v>
      </c>
      <c r="AH232" s="7" t="n">
        <f aca="false">IF(AG232="","",IF(AB232="t_paired",1/V232+AG232^2/(2*V232),(V232+Y232)/(V232*Y232)+AG232^2/(2*(V232+Y232))))</f>
        <v>0.0126294785913436</v>
      </c>
      <c r="AI232" s="7" t="n">
        <f aca="false">IF(AH232="","",SQRT(AH232))</f>
        <v>0.112380952973996</v>
      </c>
      <c r="AJ232" s="7" t="n">
        <f aca="false">IF(AI232="","",AG232-1.96*AI232)</f>
        <v>1.08202586007489</v>
      </c>
      <c r="AK232" s="7" t="n">
        <f aca="false">IF(AI232="","",AG232+1.96*AI232)</f>
        <v>1.52255919573295</v>
      </c>
      <c r="AL232" s="7" t="n">
        <f aca="false">IF(AI232="","",AG232/AI232)</f>
        <v>11.588196161722</v>
      </c>
      <c r="AM232" s="8" t="n">
        <f aca="false">IF(AL232="","",2*(1-NORMSDIST(ABS(AL232))))</f>
        <v>0</v>
      </c>
      <c r="AN232" s="9" t="n">
        <f aca="false">IF(COUNT(V232)=0,"",IF(AB232="t_paired",V232,V232+N(Y232)))</f>
        <v>384</v>
      </c>
      <c r="AO232" s="7" t="n">
        <f aca="false">IF(AH232="","",1/AH232)</f>
        <v>79.1798325455346</v>
      </c>
      <c r="AP232" s="5" t="s">
        <v>88</v>
      </c>
      <c r="AQ232" s="5" t="s">
        <v>441</v>
      </c>
      <c r="AR232" s="5"/>
      <c r="AS232" s="7" t="n">
        <f aca="false">IF(AND(AP232="Y",ISNUMBER(AO232)),AO232,0)</f>
        <v>79.1798325455346</v>
      </c>
      <c r="AT232" s="7" t="n">
        <f aca="false">IF(AS232&gt;0,AS232*AG232,0)</f>
        <v>103.115304284733</v>
      </c>
      <c r="AU232" s="7" t="n">
        <f aca="false">IF(AS232&gt;0,AS232*AG232^2,0)</f>
        <v>134.286290282547</v>
      </c>
      <c r="AV232" s="9" t="n">
        <f aca="false">IF(AS232&gt;0,AS232^2,0)</f>
        <v>6269.4458819389</v>
      </c>
      <c r="AW232" s="7" t="n">
        <f aca="false">IF(AS232&gt;0,AG232,0)</f>
        <v>1.30229252790392</v>
      </c>
      <c r="AX232" s="7" t="n">
        <f aca="false">IF(AS232&gt;0,AH232,1)</f>
        <v>0.0126294785913436</v>
      </c>
    </row>
    <row r="233" customFormat="false" ht="15" hidden="false" customHeight="false" outlineLevel="0" collapsed="false">
      <c r="A233" s="5" t="s">
        <v>773</v>
      </c>
      <c r="B233" s="5" t="s">
        <v>774</v>
      </c>
      <c r="C233" s="5" t="s">
        <v>775</v>
      </c>
      <c r="D233" s="5" t="n">
        <v>2026</v>
      </c>
      <c r="E233" s="5" t="s">
        <v>685</v>
      </c>
      <c r="F233" s="5" t="s">
        <v>173</v>
      </c>
      <c r="G233" s="5" t="s">
        <v>776</v>
      </c>
      <c r="H233" s="5" t="s">
        <v>131</v>
      </c>
      <c r="I233" s="5" t="s">
        <v>777</v>
      </c>
      <c r="J233" s="5" t="s">
        <v>778</v>
      </c>
      <c r="K233" s="5" t="s">
        <v>779</v>
      </c>
      <c r="L233" s="5" t="s">
        <v>780</v>
      </c>
      <c r="M233" s="5" t="s">
        <v>781</v>
      </c>
      <c r="N233" s="5" t="s">
        <v>408</v>
      </c>
      <c r="O233" s="5" t="s">
        <v>81</v>
      </c>
      <c r="P233" s="11" t="s">
        <v>113</v>
      </c>
      <c r="Q233" s="11" t="s">
        <v>782</v>
      </c>
      <c r="R233" s="5"/>
      <c r="S233" s="11" t="s">
        <v>783</v>
      </c>
      <c r="T233" s="5" t="s">
        <v>784</v>
      </c>
      <c r="U233" s="11" t="s">
        <v>86</v>
      </c>
      <c r="V233" s="5" t="n">
        <v>24</v>
      </c>
      <c r="W233" s="5" t="n">
        <v>3.79</v>
      </c>
      <c r="X233" s="5" t="n">
        <v>0.91</v>
      </c>
      <c r="Y233" s="5" t="n">
        <v>24</v>
      </c>
      <c r="Z233" s="5" t="n">
        <v>2.92</v>
      </c>
      <c r="AA233" s="5" t="n">
        <v>1.19</v>
      </c>
      <c r="AB233" s="5" t="s">
        <v>99</v>
      </c>
      <c r="AC233" s="5"/>
      <c r="AD233" s="5" t="n">
        <v>1</v>
      </c>
      <c r="AE233" s="7" t="n">
        <f aca="false">IFERROR(IF(AB233="MSD",IF(COUNT(V233,W233,X233,Y233,Z233,AA233)&lt;6,"",(W233-Z233)/SQRT(((V233-1)*X233^2+(Y233-1)*AA233^2)/(V233+Y233-2))*AD233),IF(AB233="t",AC233*SQRT(1/V233+1/Y233)*AD233,IF(AB233="F",SQRT(AC233)*SQRT(1/V233+1/Y233)*AD233,IF(AB233="z",2*(AC233/SQRT(V233+Y233))/SQRT(1-(AC233/SQRT(V233+Y233))^2)*AD233,IF(AB233="t_paired",AC233/SQRT(V233)*AD233,""))))),"")</f>
        <v>0.821303117708469</v>
      </c>
      <c r="AF233" s="7" t="n">
        <f aca="false">IF(AE233="","",IF(AB233="t_paired",1-3/(4*(V233-1)-1),1-3/(4*(V233+Y233)-9)))</f>
        <v>0.983606557377049</v>
      </c>
      <c r="AG233" s="7" t="n">
        <f aca="false">IF(AE233="","",AE233*AF233)</f>
        <v>0.807839132172264</v>
      </c>
      <c r="AH233" s="7" t="n">
        <f aca="false">IF(AG233="","",IF(AB233="t_paired",1/V233+AG233^2/(2*V233),(V233+Y233)/(V233*Y233)+AG233^2/(2*(V233+Y233))))</f>
        <v>0.0901312923278004</v>
      </c>
      <c r="AI233" s="7" t="n">
        <f aca="false">IF(AH233="","",SQRT(AH233))</f>
        <v>0.300218740800438</v>
      </c>
      <c r="AJ233" s="7" t="n">
        <f aca="false">IF(AI233="","",AG233-1.96*AI233)</f>
        <v>0.219410400203407</v>
      </c>
      <c r="AK233" s="7" t="n">
        <f aca="false">IF(AI233="","",AG233+1.96*AI233)</f>
        <v>1.39626786414112</v>
      </c>
      <c r="AL233" s="7" t="n">
        <f aca="false">IF(AI233="","",AG233/AI233)</f>
        <v>2.69083512247909</v>
      </c>
      <c r="AM233" s="8" t="n">
        <f aca="false">IF(AL233="","",2*(1-NORMSDIST(ABS(AL233))))</f>
        <v>0.0071273410060273</v>
      </c>
      <c r="AN233" s="9" t="n">
        <f aca="false">IF(COUNT(V233)=0,"",IF(AB233="t_paired",V233,V233+N(Y233)))</f>
        <v>48</v>
      </c>
      <c r="AO233" s="7" t="n">
        <f aca="false">IF(AH233="","",1/AH233)</f>
        <v>11.0949257929541</v>
      </c>
      <c r="AP233" s="5" t="s">
        <v>88</v>
      </c>
      <c r="AQ233" s="5" t="s">
        <v>89</v>
      </c>
      <c r="AR233" s="5" t="s">
        <v>785</v>
      </c>
      <c r="AS233" s="7" t="n">
        <f aca="false">IF(AND(AP233="Y",ISNUMBER(AO233)),AO233,0)</f>
        <v>11.0949257929541</v>
      </c>
      <c r="AT233" s="7" t="n">
        <f aca="false">IF(AS233&gt;0,AS233*AG233,0)</f>
        <v>8.96291522409573</v>
      </c>
      <c r="AU233" s="7" t="n">
        <f aca="false">IF(AS233&gt;0,AS233*AG233^2,0)</f>
        <v>7.24059365636707</v>
      </c>
      <c r="AV233" s="9" t="n">
        <f aca="false">IF(AS233&gt;0,AS233^2,0)</f>
        <v>123.097378351159</v>
      </c>
      <c r="AW233" s="7" t="n">
        <f aca="false">IF(AS233&gt;0,AG233,0)</f>
        <v>0.807839132172264</v>
      </c>
      <c r="AX233" s="7" t="n">
        <f aca="false">IF(AS233&gt;0,AH233,1)</f>
        <v>0.0901312923278004</v>
      </c>
    </row>
    <row r="234" customFormat="false" ht="15" hidden="false" customHeight="false" outlineLevel="0" collapsed="false">
      <c r="A234" s="5" t="s">
        <v>786</v>
      </c>
      <c r="B234" s="5" t="s">
        <v>774</v>
      </c>
      <c r="C234" s="5" t="s">
        <v>775</v>
      </c>
      <c r="D234" s="5" t="n">
        <v>2026</v>
      </c>
      <c r="E234" s="5" t="s">
        <v>685</v>
      </c>
      <c r="F234" s="5" t="s">
        <v>173</v>
      </c>
      <c r="G234" s="5" t="s">
        <v>776</v>
      </c>
      <c r="H234" s="5" t="s">
        <v>131</v>
      </c>
      <c r="I234" s="5" t="s">
        <v>777</v>
      </c>
      <c r="J234" s="5" t="s">
        <v>778</v>
      </c>
      <c r="K234" s="5" t="s">
        <v>779</v>
      </c>
      <c r="L234" s="5" t="s">
        <v>780</v>
      </c>
      <c r="M234" s="5" t="s">
        <v>781</v>
      </c>
      <c r="N234" s="5" t="s">
        <v>408</v>
      </c>
      <c r="O234" s="5" t="s">
        <v>81</v>
      </c>
      <c r="P234" s="11" t="s">
        <v>113</v>
      </c>
      <c r="Q234" s="11" t="s">
        <v>782</v>
      </c>
      <c r="R234" s="5"/>
      <c r="S234" s="11" t="s">
        <v>787</v>
      </c>
      <c r="T234" s="5" t="s">
        <v>784</v>
      </c>
      <c r="U234" s="11" t="s">
        <v>86</v>
      </c>
      <c r="V234" s="5" t="n">
        <v>24</v>
      </c>
      <c r="W234" s="5" t="n">
        <v>2.92</v>
      </c>
      <c r="X234" s="5" t="n">
        <v>0.81</v>
      </c>
      <c r="Y234" s="5" t="n">
        <v>24</v>
      </c>
      <c r="Z234" s="5" t="n">
        <v>3.88</v>
      </c>
      <c r="AA234" s="5" t="n">
        <v>0.93</v>
      </c>
      <c r="AB234" s="5" t="s">
        <v>99</v>
      </c>
      <c r="AC234" s="5"/>
      <c r="AD234" s="5" t="n">
        <v>-1</v>
      </c>
      <c r="AE234" s="7" t="n">
        <f aca="false">IFERROR(IF(AB234="MSD",IF(COUNT(V234,W234,X234,Y234,Z234,AA234)&lt;6,"",(W234-Z234)/SQRT(((V234-1)*X234^2+(Y234-1)*AA234^2)/(V234+Y234-2))*AD234),IF(AB234="t",AC234*SQRT(1/V234+1/Y234)*AD234,IF(AB234="F",SQRT(AC234)*SQRT(1/V234+1/Y234)*AD234,IF(AB234="z",2*(AC234/SQRT(V234+Y234))/SQRT(1-(AC234/SQRT(V234+Y234))^2)*AD234,IF(AB234="t_paired",AC234/SQRT(V234)*AD234,""))))),"")</f>
        <v>1.10083346584605</v>
      </c>
      <c r="AF234" s="7" t="n">
        <f aca="false">IF(AE234="","",IF(AB234="t_paired",1-3/(4*(V234-1)-1),1-3/(4*(V234+Y234)-9)))</f>
        <v>0.983606557377049</v>
      </c>
      <c r="AG234" s="7" t="n">
        <f aca="false">IF(AE234="","",AE234*AF234)</f>
        <v>1.08278701558628</v>
      </c>
      <c r="AH234" s="7" t="n">
        <f aca="false">IF(AG234="","",IF(AB234="t_paired",1/V234+AG234^2/(2*V234),(V234+Y234)/(V234*Y234)+AG234^2/(2*(V234+Y234))))</f>
        <v>0.0955461220950233</v>
      </c>
      <c r="AI234" s="7" t="n">
        <f aca="false">IF(AH234="","",SQRT(AH234))</f>
        <v>0.309105357596764</v>
      </c>
      <c r="AJ234" s="7" t="n">
        <f aca="false">IF(AI234="","",AG234-1.96*AI234)</f>
        <v>0.476940514696621</v>
      </c>
      <c r="AK234" s="7" t="n">
        <f aca="false">IF(AI234="","",AG234+1.96*AI234)</f>
        <v>1.68863351647594</v>
      </c>
      <c r="AL234" s="7" t="n">
        <f aca="false">IF(AI234="","",AG234/AI234)</f>
        <v>3.50297071524332</v>
      </c>
      <c r="AM234" s="8" t="n">
        <f aca="false">IF(AL234="","",2*(1-NORMSDIST(ABS(AL234))))</f>
        <v>0.000460100044329836</v>
      </c>
      <c r="AN234" s="9" t="n">
        <f aca="false">IF(COUNT(V234)=0,"",IF(AB234="t_paired",V234,V234+N(Y234)))</f>
        <v>48</v>
      </c>
      <c r="AO234" s="7" t="n">
        <f aca="false">IF(AH234="","",1/AH234)</f>
        <v>10.4661495210185</v>
      </c>
      <c r="AP234" s="5" t="s">
        <v>88</v>
      </c>
      <c r="AQ234" s="5" t="s">
        <v>89</v>
      </c>
      <c r="AR234" s="5" t="s">
        <v>788</v>
      </c>
      <c r="AS234" s="7" t="n">
        <f aca="false">IF(AND(AP234="Y",ISNUMBER(AO234)),AO234,0)</f>
        <v>10.4661495210185</v>
      </c>
      <c r="AT234" s="7" t="n">
        <f aca="false">IF(AS234&gt;0,AS234*AG234,0)</f>
        <v>11.3326108045433</v>
      </c>
      <c r="AU234" s="7" t="n">
        <f aca="false">IF(AS234&gt;0,AS234*AG234^2,0)</f>
        <v>12.2708038318523</v>
      </c>
      <c r="AV234" s="9" t="n">
        <f aca="false">IF(AS234&gt;0,AS234^2,0)</f>
        <v>109.540285796315</v>
      </c>
      <c r="AW234" s="7" t="n">
        <f aca="false">IF(AS234&gt;0,AG234,0)</f>
        <v>1.08278701558628</v>
      </c>
      <c r="AX234" s="7" t="n">
        <f aca="false">IF(AS234&gt;0,AH234,1)</f>
        <v>0.0955461220950233</v>
      </c>
    </row>
    <row r="235" customFormat="false" ht="15" hidden="false" customHeight="false" outlineLevel="0" collapsed="false">
      <c r="A235" s="5" t="s">
        <v>789</v>
      </c>
      <c r="B235" s="5" t="s">
        <v>774</v>
      </c>
      <c r="C235" s="5" t="s">
        <v>775</v>
      </c>
      <c r="D235" s="5" t="n">
        <v>2026</v>
      </c>
      <c r="E235" s="5" t="s">
        <v>685</v>
      </c>
      <c r="F235" s="5" t="s">
        <v>173</v>
      </c>
      <c r="G235" s="5" t="s">
        <v>776</v>
      </c>
      <c r="H235" s="5" t="s">
        <v>131</v>
      </c>
      <c r="I235" s="5" t="s">
        <v>777</v>
      </c>
      <c r="J235" s="5" t="s">
        <v>778</v>
      </c>
      <c r="K235" s="5" t="s">
        <v>779</v>
      </c>
      <c r="L235" s="5" t="s">
        <v>780</v>
      </c>
      <c r="M235" s="5" t="s">
        <v>781</v>
      </c>
      <c r="N235" s="5" t="s">
        <v>408</v>
      </c>
      <c r="O235" s="5" t="s">
        <v>81</v>
      </c>
      <c r="P235" s="11" t="s">
        <v>113</v>
      </c>
      <c r="Q235" s="11" t="s">
        <v>782</v>
      </c>
      <c r="R235" s="5"/>
      <c r="S235" s="11" t="s">
        <v>790</v>
      </c>
      <c r="T235" s="5" t="s">
        <v>784</v>
      </c>
      <c r="U235" s="11" t="s">
        <v>86</v>
      </c>
      <c r="V235" s="5" t="n">
        <v>24</v>
      </c>
      <c r="W235" s="5" t="n">
        <v>3.08</v>
      </c>
      <c r="X235" s="5" t="n">
        <v>0.81</v>
      </c>
      <c r="Y235" s="5" t="n">
        <v>24</v>
      </c>
      <c r="Z235" s="5" t="n">
        <v>2</v>
      </c>
      <c r="AA235" s="5" t="n">
        <v>1.04</v>
      </c>
      <c r="AB235" s="5" t="s">
        <v>99</v>
      </c>
      <c r="AC235" s="5"/>
      <c r="AD235" s="5" t="n">
        <v>1</v>
      </c>
      <c r="AE235" s="7" t="n">
        <f aca="false">IFERROR(IF(AB235="MSD",IF(COUNT(V235,W235,X235,Y235,Z235,AA235)&lt;6,"",(W235-Z235)/SQRT(((V235-1)*X235^2+(Y235-1)*AA235^2)/(V235+Y235-2))*AD235),IF(AB235="t",AC235*SQRT(1/V235+1/Y235)*AD235,IF(AB235="F",SQRT(AC235)*SQRT(1/V235+1/Y235)*AD235,IF(AB235="z",2*(AC235/SQRT(V235+Y235))/SQRT(1-(AC235/SQRT(V235+Y235))^2)*AD235,IF(AB235="t_paired",AC235/SQRT(V235)*AD235,""))))),"")</f>
        <v>1.15864756366438</v>
      </c>
      <c r="AF235" s="7" t="n">
        <f aca="false">IF(AE235="","",IF(AB235="t_paired",1-3/(4*(V235-1)-1),1-3/(4*(V235+Y235)-9)))</f>
        <v>0.983606557377049</v>
      </c>
      <c r="AG235" s="7" t="n">
        <f aca="false">IF(AE235="","",AE235*AF235)</f>
        <v>1.13965334130923</v>
      </c>
      <c r="AH235" s="7" t="n">
        <f aca="false">IF(AG235="","",IF(AB235="t_paired",1/V235+AG235^2/(2*V235),(V235+Y235)/(V235*Y235)+AG235^2/(2*(V235+Y235))))</f>
        <v>0.0968626014412217</v>
      </c>
      <c r="AI235" s="7" t="n">
        <f aca="false">IF(AH235="","",SQRT(AH235))</f>
        <v>0.311227571788268</v>
      </c>
      <c r="AJ235" s="7" t="n">
        <f aca="false">IF(AI235="","",AG235-1.96*AI235)</f>
        <v>0.529647300604221</v>
      </c>
      <c r="AK235" s="7" t="n">
        <f aca="false">IF(AI235="","",AG235+1.96*AI235)</f>
        <v>1.74965938201423</v>
      </c>
      <c r="AL235" s="7" t="n">
        <f aca="false">IF(AI235="","",AG235/AI235)</f>
        <v>3.66180070345614</v>
      </c>
      <c r="AM235" s="8" t="n">
        <f aca="false">IF(AL235="","",2*(1-NORMSDIST(ABS(AL235))))</f>
        <v>0.000250448665039205</v>
      </c>
      <c r="AN235" s="9" t="n">
        <f aca="false">IF(COUNT(V235)=0,"",IF(AB235="t_paired",V235,V235+N(Y235)))</f>
        <v>48</v>
      </c>
      <c r="AO235" s="7" t="n">
        <f aca="false">IF(AH235="","",1/AH235)</f>
        <v>10.323901951021</v>
      </c>
      <c r="AP235" s="5" t="s">
        <v>100</v>
      </c>
      <c r="AQ235" s="5" t="s">
        <v>89</v>
      </c>
      <c r="AR235" s="5" t="s">
        <v>791</v>
      </c>
      <c r="AS235" s="9" t="n">
        <f aca="false">IF(AND(AP235="Y",ISNUMBER(AO235)),AO235,0)</f>
        <v>0</v>
      </c>
      <c r="AT235" s="7" t="n">
        <f aca="false">IF(AS235&gt;0,AS235*AG235,0)</f>
        <v>0</v>
      </c>
      <c r="AU235" s="7" t="n">
        <f aca="false">IF(AS235&gt;0,AS235*AG235^2,0)</f>
        <v>0</v>
      </c>
      <c r="AV235" s="9" t="n">
        <f aca="false">IF(AS235&gt;0,AS235^2,0)</f>
        <v>0</v>
      </c>
      <c r="AW235" s="7" t="n">
        <f aca="false">IF(AS235&gt;0,AG235,0)</f>
        <v>0</v>
      </c>
      <c r="AX235" s="7" t="n">
        <f aca="false">IF(AS235&gt;0,AH235,1)</f>
        <v>1</v>
      </c>
    </row>
    <row r="236" customFormat="false" ht="15" hidden="false" customHeight="false" outlineLevel="0" collapsed="false">
      <c r="A236" s="5" t="s">
        <v>792</v>
      </c>
      <c r="B236" s="5" t="s">
        <v>793</v>
      </c>
      <c r="C236" s="5" t="s">
        <v>794</v>
      </c>
      <c r="D236" s="5" t="n">
        <v>2023</v>
      </c>
      <c r="E236" s="5" t="s">
        <v>221</v>
      </c>
      <c r="F236" s="5" t="s">
        <v>173</v>
      </c>
      <c r="G236" s="5" t="s">
        <v>281</v>
      </c>
      <c r="H236" s="5" t="s">
        <v>131</v>
      </c>
      <c r="I236" s="5" t="s">
        <v>795</v>
      </c>
      <c r="J236" s="5" t="s">
        <v>189</v>
      </c>
      <c r="K236" s="5" t="s">
        <v>796</v>
      </c>
      <c r="L236" s="5" t="s">
        <v>797</v>
      </c>
      <c r="M236" s="5" t="s">
        <v>798</v>
      </c>
      <c r="N236" s="5" t="s">
        <v>136</v>
      </c>
      <c r="O236" s="5" t="s">
        <v>261</v>
      </c>
      <c r="P236" s="10" t="s">
        <v>82</v>
      </c>
      <c r="Q236" s="10" t="s">
        <v>83</v>
      </c>
      <c r="R236" s="5"/>
      <c r="S236" s="10" t="s">
        <v>799</v>
      </c>
      <c r="T236" s="5" t="s">
        <v>800</v>
      </c>
      <c r="U236" s="10" t="s">
        <v>98</v>
      </c>
      <c r="V236" s="5" t="n">
        <v>25</v>
      </c>
      <c r="W236" s="5" t="n">
        <v>12.01</v>
      </c>
      <c r="X236" s="5" t="n">
        <v>3.71</v>
      </c>
      <c r="Y236" s="5" t="n">
        <v>25</v>
      </c>
      <c r="Z236" s="5" t="n">
        <v>12.34</v>
      </c>
      <c r="AA236" s="5" t="n">
        <v>3.6</v>
      </c>
      <c r="AB236" s="5" t="s">
        <v>99</v>
      </c>
      <c r="AC236" s="5"/>
      <c r="AD236" s="5" t="n">
        <v>1</v>
      </c>
      <c r="AE236" s="7" t="n">
        <f aca="false">IFERROR(IF(AB236="MSD",IF(COUNT(V236,W236,X236,Y236,Z236,AA236)&lt;6,"",(W236-Z236)/SQRT(((V236-1)*X236^2+(Y236-1)*AA236^2)/(V236+Y236-2))*AD236),IF(AB236="t",AC236*SQRT(1/V236+1/Y236)*AD236,IF(AB236="F",SQRT(AC236)*SQRT(1/V236+1/Y236)*AD236,IF(AB236="z",2*(AC236/SQRT(V236+Y236))/SQRT(1-(AC236/SQRT(V236+Y236))^2)*AD236,IF(AB236="t_paired",AC236/SQRT(V236)*AD236,""))))),"")</f>
        <v>-0.0902770571714528</v>
      </c>
      <c r="AF236" s="7" t="n">
        <f aca="false">IF(AE236="","",IF(AB236="t_paired",1-3/(4*(V236-1)-1),1-3/(4*(V236+Y236)-9)))</f>
        <v>0.984293193717278</v>
      </c>
      <c r="AG236" s="7" t="n">
        <f aca="false">IF(AE236="","",AE236*AF236)</f>
        <v>-0.0888590929226865</v>
      </c>
      <c r="AH236" s="7" t="n">
        <f aca="false">IF(AG236="","",IF(AB236="t_paired",1/V236+AG236^2/(2*V236),(V236+Y236)/(V236*Y236)+AG236^2/(2*(V236+Y236))))</f>
        <v>0.0800789593839504</v>
      </c>
      <c r="AI236" s="7" t="n">
        <f aca="false">IF(AH236="","",SQRT(AH236))</f>
        <v>0.282982259839642</v>
      </c>
      <c r="AJ236" s="7" t="n">
        <f aca="false">IF(AI236="","",AG236-1.96*AI236)</f>
        <v>-0.643504322208384</v>
      </c>
      <c r="AK236" s="7" t="n">
        <f aca="false">IF(AI236="","",AG236+1.96*AI236)</f>
        <v>0.465786136363011</v>
      </c>
      <c r="AL236" s="7" t="n">
        <f aca="false">IF(AI236="","",AG236/AI236)</f>
        <v>-0.31400941166079</v>
      </c>
      <c r="AM236" s="8" t="n">
        <f aca="false">IF(AL236="","",2*(1-NORMSDIST(ABS(AL236))))</f>
        <v>0.753513890579466</v>
      </c>
      <c r="AN236" s="9" t="n">
        <f aca="false">IF(COUNT(V236)=0,"",IF(AB236="t_paired",V236,V236+N(Y236)))</f>
        <v>50</v>
      </c>
      <c r="AO236" s="7" t="n">
        <f aca="false">IF(AH236="","",1/AH236)</f>
        <v>12.4876747611736</v>
      </c>
      <c r="AP236" s="5" t="s">
        <v>100</v>
      </c>
      <c r="AQ236" s="5" t="s">
        <v>290</v>
      </c>
      <c r="AR236" s="5" t="s">
        <v>313</v>
      </c>
      <c r="AS236" s="9" t="n">
        <f aca="false">IF(AND(AP236="Y",ISNUMBER(AO236)),AO236,0)</f>
        <v>0</v>
      </c>
      <c r="AT236" s="7" t="n">
        <f aca="false">IF(AS236&gt;0,AS236*AG236,0)</f>
        <v>0</v>
      </c>
      <c r="AU236" s="7" t="n">
        <f aca="false">IF(AS236&gt;0,AS236*AG236^2,0)</f>
        <v>0</v>
      </c>
      <c r="AV236" s="9" t="n">
        <f aca="false">IF(AS236&gt;0,AS236^2,0)</f>
        <v>0</v>
      </c>
      <c r="AW236" s="7" t="n">
        <f aca="false">IF(AS236&gt;0,AG236,0)</f>
        <v>0</v>
      </c>
      <c r="AX236" s="7" t="n">
        <f aca="false">IF(AS236&gt;0,AH236,1)</f>
        <v>1</v>
      </c>
    </row>
    <row r="237" customFormat="false" ht="15" hidden="false" customHeight="false" outlineLevel="0" collapsed="false">
      <c r="A237" s="5" t="s">
        <v>801</v>
      </c>
      <c r="B237" s="5" t="s">
        <v>793</v>
      </c>
      <c r="C237" s="5" t="s">
        <v>794</v>
      </c>
      <c r="D237" s="5" t="n">
        <v>2023</v>
      </c>
      <c r="E237" s="5" t="s">
        <v>221</v>
      </c>
      <c r="F237" s="5" t="s">
        <v>173</v>
      </c>
      <c r="G237" s="5" t="s">
        <v>281</v>
      </c>
      <c r="H237" s="5" t="s">
        <v>131</v>
      </c>
      <c r="I237" s="5" t="s">
        <v>795</v>
      </c>
      <c r="J237" s="5" t="s">
        <v>189</v>
      </c>
      <c r="K237" s="5" t="s">
        <v>796</v>
      </c>
      <c r="L237" s="5" t="s">
        <v>797</v>
      </c>
      <c r="M237" s="5" t="s">
        <v>798</v>
      </c>
      <c r="N237" s="5" t="s">
        <v>136</v>
      </c>
      <c r="O237" s="5" t="s">
        <v>261</v>
      </c>
      <c r="P237" s="6" t="s">
        <v>82</v>
      </c>
      <c r="Q237" s="6" t="s">
        <v>83</v>
      </c>
      <c r="R237" s="5"/>
      <c r="S237" s="6" t="s">
        <v>799</v>
      </c>
      <c r="T237" s="5" t="s">
        <v>800</v>
      </c>
      <c r="U237" s="6" t="s">
        <v>86</v>
      </c>
      <c r="V237" s="5" t="n">
        <v>25</v>
      </c>
      <c r="W237" s="5" t="n">
        <v>16.56</v>
      </c>
      <c r="X237" s="5" t="n">
        <v>3.54</v>
      </c>
      <c r="Y237" s="5" t="n">
        <v>25</v>
      </c>
      <c r="Z237" s="5" t="n">
        <v>13.63</v>
      </c>
      <c r="AA237" s="5" t="n">
        <v>3.63</v>
      </c>
      <c r="AB237" s="5" t="s">
        <v>99</v>
      </c>
      <c r="AC237" s="5"/>
      <c r="AD237" s="5" t="n">
        <v>1</v>
      </c>
      <c r="AE237" s="7" t="n">
        <f aca="false">IFERROR(IF(AB237="MSD",IF(COUNT(V237,W237,X237,Y237,Z237,AA237)&lt;6,"",(W237-Z237)/SQRT(((V237-1)*X237^2+(Y237-1)*AA237^2)/(V237+Y237-2))*AD237),IF(AB237="t",AC237*SQRT(1/V237+1/Y237)*AD237,IF(AB237="F",SQRT(AC237)*SQRT(1/V237+1/Y237)*AD237,IF(AB237="z",2*(AC237/SQRT(V237+Y237))/SQRT(1-(AC237/SQRT(V237+Y237))^2)*AD237,IF(AB237="t_paired",AC237/SQRT(V237)*AD237,""))))),"")</f>
        <v>0.817229902784458</v>
      </c>
      <c r="AF237" s="7" t="n">
        <f aca="false">IF(AE237="","",IF(AB237="t_paired",1-3/(4*(V237-1)-1),1-3/(4*(V237+Y237)-9)))</f>
        <v>0.984293193717278</v>
      </c>
      <c r="AG237" s="7" t="n">
        <f aca="false">IF(AE237="","",AE237*AF237)</f>
        <v>0.804393831012974</v>
      </c>
      <c r="AH237" s="7" t="n">
        <f aca="false">IF(AG237="","",IF(AB237="t_paired",1/V237+AG237^2/(2*V237),(V237+Y237)/(V237*Y237)+AG237^2/(2*(V237+Y237))))</f>
        <v>0.0864704943537173</v>
      </c>
      <c r="AI237" s="7" t="n">
        <f aca="false">IF(AH237="","",SQRT(AH237))</f>
        <v>0.294058658015229</v>
      </c>
      <c r="AJ237" s="7" t="n">
        <f aca="false">IF(AI237="","",AG237-1.96*AI237)</f>
        <v>0.228038861303126</v>
      </c>
      <c r="AK237" s="7" t="n">
        <f aca="false">IF(AI237="","",AG237+1.96*AI237)</f>
        <v>1.38074880072282</v>
      </c>
      <c r="AL237" s="7" t="n">
        <f aca="false">IF(AI237="","",AG237/AI237)</f>
        <v>2.7354876623674</v>
      </c>
      <c r="AM237" s="8" t="n">
        <f aca="false">IF(AL237="","",2*(1-NORMSDIST(ABS(AL237))))</f>
        <v>0.00622879212596028</v>
      </c>
      <c r="AN237" s="9" t="n">
        <f aca="false">IF(COUNT(V237)=0,"",IF(AB237="t_paired",V237,V237+N(Y237)))</f>
        <v>50</v>
      </c>
      <c r="AO237" s="7" t="n">
        <f aca="false">IF(AH237="","",1/AH237)</f>
        <v>11.5646384061295</v>
      </c>
      <c r="AP237" s="5" t="s">
        <v>88</v>
      </c>
      <c r="AQ237" s="5" t="s">
        <v>290</v>
      </c>
      <c r="AR237" s="5" t="s">
        <v>313</v>
      </c>
      <c r="AS237" s="7" t="n">
        <f aca="false">IF(AND(AP237="Y",ISNUMBER(AO237)),AO237,0)</f>
        <v>11.5646384061295</v>
      </c>
      <c r="AT237" s="7" t="n">
        <f aca="false">IF(AS237&gt;0,AS237*AG237,0)</f>
        <v>9.30252379178626</v>
      </c>
      <c r="AU237" s="7" t="n">
        <f aca="false">IF(AS237&gt;0,AS237*AG237^2,0)</f>
        <v>7.48289275096429</v>
      </c>
      <c r="AV237" s="9" t="n">
        <f aca="false">IF(AS237&gt;0,AS237^2,0)</f>
        <v>133.740861464525</v>
      </c>
      <c r="AW237" s="7" t="n">
        <f aca="false">IF(AS237&gt;0,AG237,0)</f>
        <v>0.804393831012974</v>
      </c>
      <c r="AX237" s="7" t="n">
        <f aca="false">IF(AS237&gt;0,AH237,1)</f>
        <v>0.0864704943537173</v>
      </c>
    </row>
    <row r="238" customFormat="false" ht="15" hidden="false" customHeight="false" outlineLevel="0" collapsed="false">
      <c r="A238" s="5" t="s">
        <v>802</v>
      </c>
      <c r="B238" s="5" t="s">
        <v>793</v>
      </c>
      <c r="C238" s="5" t="s">
        <v>794</v>
      </c>
      <c r="D238" s="5" t="n">
        <v>2023</v>
      </c>
      <c r="E238" s="5" t="s">
        <v>221</v>
      </c>
      <c r="F238" s="5" t="s">
        <v>173</v>
      </c>
      <c r="G238" s="5" t="s">
        <v>281</v>
      </c>
      <c r="H238" s="5" t="s">
        <v>131</v>
      </c>
      <c r="I238" s="5" t="s">
        <v>795</v>
      </c>
      <c r="J238" s="5" t="s">
        <v>189</v>
      </c>
      <c r="K238" s="5" t="s">
        <v>796</v>
      </c>
      <c r="L238" s="5" t="s">
        <v>797</v>
      </c>
      <c r="M238" s="5" t="s">
        <v>798</v>
      </c>
      <c r="N238" s="5" t="s">
        <v>136</v>
      </c>
      <c r="O238" s="5" t="s">
        <v>261</v>
      </c>
      <c r="P238" s="10" t="s">
        <v>82</v>
      </c>
      <c r="Q238" s="10" t="s">
        <v>103</v>
      </c>
      <c r="R238" s="5"/>
      <c r="S238" s="10" t="s">
        <v>803</v>
      </c>
      <c r="T238" s="5" t="s">
        <v>804</v>
      </c>
      <c r="U238" s="10" t="s">
        <v>98</v>
      </c>
      <c r="V238" s="5" t="n">
        <v>25</v>
      </c>
      <c r="W238" s="5" t="n">
        <v>13.63</v>
      </c>
      <c r="X238" s="5" t="n">
        <v>3.49</v>
      </c>
      <c r="Y238" s="5" t="n">
        <v>25</v>
      </c>
      <c r="Z238" s="5" t="n">
        <v>13.51</v>
      </c>
      <c r="AA238" s="5" t="n">
        <v>3.81</v>
      </c>
      <c r="AB238" s="5" t="s">
        <v>99</v>
      </c>
      <c r="AC238" s="5"/>
      <c r="AD238" s="5" t="n">
        <v>1</v>
      </c>
      <c r="AE238" s="7" t="n">
        <f aca="false">IFERROR(IF(AB238="MSD",IF(COUNT(V238,W238,X238,Y238,Z238,AA238)&lt;6,"",(W238-Z238)/SQRT(((V238-1)*X238^2+(Y238-1)*AA238^2)/(V238+Y238-2))*AD238),IF(AB238="t",AC238*SQRT(1/V238+1/Y238)*AD238,IF(AB238="F",SQRT(AC238)*SQRT(1/V238+1/Y238)*AD238,IF(AB238="z",2*(AC238/SQRT(V238+Y238))/SQRT(1-(AC238/SQRT(V238+Y238))^2)*AD238,IF(AB238="t_paired",AC238/SQRT(V238)*AD238,""))))),"")</f>
        <v>0.0328451704701819</v>
      </c>
      <c r="AF238" s="7" t="n">
        <f aca="false">IF(AE238="","",IF(AB238="t_paired",1-3/(4*(V238-1)-1),1-3/(4*(V238+Y238)-9)))</f>
        <v>0.984293193717278</v>
      </c>
      <c r="AG238" s="7" t="n">
        <f aca="false">IF(AE238="","",AE238*AF238)</f>
        <v>0.0323292777402837</v>
      </c>
      <c r="AH238" s="7" t="n">
        <f aca="false">IF(AG238="","",IF(AB238="t_paired",1/V238+AG238^2/(2*V238),(V238+Y238)/(V238*Y238)+AG238^2/(2*(V238+Y238))))</f>
        <v>0.0800104518219921</v>
      </c>
      <c r="AI238" s="7" t="n">
        <f aca="false">IF(AH238="","",SQRT(AH238))</f>
        <v>0.2828611882567</v>
      </c>
      <c r="AJ238" s="7" t="n">
        <f aca="false">IF(AI238="","",AG238-1.96*AI238)</f>
        <v>-0.522078651242848</v>
      </c>
      <c r="AK238" s="7" t="n">
        <f aca="false">IF(AI238="","",AG238+1.96*AI238)</f>
        <v>0.586737206723415</v>
      </c>
      <c r="AL238" s="7" t="n">
        <f aca="false">IF(AI238="","",AG238/AI238)</f>
        <v>0.114293791734144</v>
      </c>
      <c r="AM238" s="8" t="n">
        <f aca="false">IF(AL238="","",2*(1-NORMSDIST(ABS(AL238))))</f>
        <v>0.909004903729435</v>
      </c>
      <c r="AN238" s="9" t="n">
        <f aca="false">IF(COUNT(V238)=0,"",IF(AB238="t_paired",V238,V238+N(Y238)))</f>
        <v>50</v>
      </c>
      <c r="AO238" s="7" t="n">
        <f aca="false">IF(AH238="","",1/AH238)</f>
        <v>12.4983671161464</v>
      </c>
      <c r="AP238" s="5" t="s">
        <v>100</v>
      </c>
      <c r="AQ238" s="5" t="s">
        <v>290</v>
      </c>
      <c r="AR238" s="5" t="s">
        <v>313</v>
      </c>
      <c r="AS238" s="9" t="n">
        <f aca="false">IF(AND(AP238="Y",ISNUMBER(AO238)),AO238,0)</f>
        <v>0</v>
      </c>
      <c r="AT238" s="7" t="n">
        <f aca="false">IF(AS238&gt;0,AS238*AG238,0)</f>
        <v>0</v>
      </c>
      <c r="AU238" s="7" t="n">
        <f aca="false">IF(AS238&gt;0,AS238*AG238^2,0)</f>
        <v>0</v>
      </c>
      <c r="AV238" s="9" t="n">
        <f aca="false">IF(AS238&gt;0,AS238^2,0)</f>
        <v>0</v>
      </c>
      <c r="AW238" s="7" t="n">
        <f aca="false">IF(AS238&gt;0,AG238,0)</f>
        <v>0</v>
      </c>
      <c r="AX238" s="7" t="n">
        <f aca="false">IF(AS238&gt;0,AH238,1)</f>
        <v>1</v>
      </c>
    </row>
    <row r="239" customFormat="false" ht="15" hidden="false" customHeight="false" outlineLevel="0" collapsed="false">
      <c r="A239" s="5" t="s">
        <v>805</v>
      </c>
      <c r="B239" s="5" t="s">
        <v>793</v>
      </c>
      <c r="C239" s="5" t="s">
        <v>794</v>
      </c>
      <c r="D239" s="5" t="n">
        <v>2023</v>
      </c>
      <c r="E239" s="5" t="s">
        <v>221</v>
      </c>
      <c r="F239" s="5" t="s">
        <v>173</v>
      </c>
      <c r="G239" s="5" t="s">
        <v>281</v>
      </c>
      <c r="H239" s="5" t="s">
        <v>131</v>
      </c>
      <c r="I239" s="5" t="s">
        <v>795</v>
      </c>
      <c r="J239" s="5" t="s">
        <v>189</v>
      </c>
      <c r="K239" s="5" t="s">
        <v>796</v>
      </c>
      <c r="L239" s="5" t="s">
        <v>797</v>
      </c>
      <c r="M239" s="5" t="s">
        <v>798</v>
      </c>
      <c r="N239" s="5" t="s">
        <v>136</v>
      </c>
      <c r="O239" s="5" t="s">
        <v>261</v>
      </c>
      <c r="P239" s="6" t="s">
        <v>82</v>
      </c>
      <c r="Q239" s="6" t="s">
        <v>103</v>
      </c>
      <c r="R239" s="5"/>
      <c r="S239" s="6" t="s">
        <v>803</v>
      </c>
      <c r="T239" s="5" t="s">
        <v>804</v>
      </c>
      <c r="U239" s="6" t="s">
        <v>86</v>
      </c>
      <c r="V239" s="5" t="n">
        <v>25</v>
      </c>
      <c r="W239" s="5" t="n">
        <v>19.89</v>
      </c>
      <c r="X239" s="5" t="n">
        <v>4.82</v>
      </c>
      <c r="Y239" s="5" t="n">
        <v>25</v>
      </c>
      <c r="Z239" s="5" t="n">
        <v>15.89</v>
      </c>
      <c r="AA239" s="5" t="n">
        <v>4.12</v>
      </c>
      <c r="AB239" s="5" t="s">
        <v>99</v>
      </c>
      <c r="AC239" s="5"/>
      <c r="AD239" s="5" t="n">
        <v>1</v>
      </c>
      <c r="AE239" s="7" t="n">
        <f aca="false">IFERROR(IF(AB239="MSD",IF(COUNT(V239,W239,X239,Y239,Z239,AA239)&lt;6,"",(W239-Z239)/SQRT(((V239-1)*X239^2+(Y239-1)*AA239^2)/(V239+Y239-2))*AD239),IF(AB239="t",AC239*SQRT(1/V239+1/Y239)*AD239,IF(AB239="F",SQRT(AC239)*SQRT(1/V239+1/Y239)*AD239,IF(AB239="z",2*(AC239/SQRT(V239+Y239))/SQRT(1-(AC239/SQRT(V239+Y239))^2)*AD239,IF(AB239="t_paired",AC239/SQRT(V239)*AD239,""))))),"")</f>
        <v>0.89212402340587</v>
      </c>
      <c r="AF239" s="7" t="n">
        <f aca="false">IF(AE239="","",IF(AB239="t_paired",1-3/(4*(V239-1)-1),1-3/(4*(V239+Y239)-9)))</f>
        <v>0.984293193717278</v>
      </c>
      <c r="AG239" s="7" t="n">
        <f aca="false">IF(AE239="","",AE239*AF239)</f>
        <v>0.878111604190071</v>
      </c>
      <c r="AH239" s="7" t="n">
        <f aca="false">IF(AG239="","",IF(AB239="t_paired",1/V239+AG239^2/(2*V239),(V239+Y239)/(V239*Y239)+AG239^2/(2*(V239+Y239))))</f>
        <v>0.0877107998941326</v>
      </c>
      <c r="AI239" s="7" t="n">
        <f aca="false">IF(AH239="","",SQRT(AH239))</f>
        <v>0.2961600916635</v>
      </c>
      <c r="AJ239" s="7" t="n">
        <f aca="false">IF(AI239="","",AG239-1.96*AI239)</f>
        <v>0.297637824529611</v>
      </c>
      <c r="AK239" s="7" t="n">
        <f aca="false">IF(AI239="","",AG239+1.96*AI239)</f>
        <v>1.45858538385053</v>
      </c>
      <c r="AL239" s="7" t="n">
        <f aca="false">IF(AI239="","",AG239/AI239)</f>
        <v>2.96498964211488</v>
      </c>
      <c r="AM239" s="8" t="n">
        <f aca="false">IF(AL239="","",2*(1-NORMSDIST(ABS(AL239))))</f>
        <v>0.00302693120813213</v>
      </c>
      <c r="AN239" s="9" t="n">
        <f aca="false">IF(COUNT(V239)=0,"",IF(AB239="t_paired",V239,V239+N(Y239)))</f>
        <v>50</v>
      </c>
      <c r="AO239" s="7" t="n">
        <f aca="false">IF(AH239="","",1/AH239)</f>
        <v>11.4011045527689</v>
      </c>
      <c r="AP239" s="5" t="s">
        <v>88</v>
      </c>
      <c r="AQ239" s="5" t="s">
        <v>290</v>
      </c>
      <c r="AR239" s="5" t="s">
        <v>313</v>
      </c>
      <c r="AS239" s="7" t="n">
        <f aca="false">IF(AND(AP239="Y",ISNUMBER(AO239)),AO239,0)</f>
        <v>11.4011045527689</v>
      </c>
      <c r="AT239" s="7" t="n">
        <f aca="false">IF(AS239&gt;0,AS239*AG239,0)</f>
        <v>10.0114422083706</v>
      </c>
      <c r="AU239" s="7" t="n">
        <f aca="false">IF(AS239&gt;0,AS239*AG239^2,0)</f>
        <v>8.79116357784854</v>
      </c>
      <c r="AV239" s="9" t="n">
        <f aca="false">IF(AS239&gt;0,AS239^2,0)</f>
        <v>129.985185023168</v>
      </c>
      <c r="AW239" s="7" t="n">
        <f aca="false">IF(AS239&gt;0,AG239,0)</f>
        <v>0.878111604190071</v>
      </c>
      <c r="AX239" s="7" t="n">
        <f aca="false">IF(AS239&gt;0,AH239,1)</f>
        <v>0.0877107998941326</v>
      </c>
    </row>
    <row r="240" customFormat="false" ht="15" hidden="false" customHeight="false" outlineLevel="0" collapsed="false">
      <c r="A240" s="5" t="s">
        <v>806</v>
      </c>
      <c r="B240" s="5" t="s">
        <v>793</v>
      </c>
      <c r="C240" s="5" t="s">
        <v>794</v>
      </c>
      <c r="D240" s="5" t="n">
        <v>2023</v>
      </c>
      <c r="E240" s="5" t="s">
        <v>221</v>
      </c>
      <c r="F240" s="5" t="s">
        <v>173</v>
      </c>
      <c r="G240" s="5" t="s">
        <v>281</v>
      </c>
      <c r="H240" s="5" t="s">
        <v>131</v>
      </c>
      <c r="I240" s="5" t="s">
        <v>795</v>
      </c>
      <c r="J240" s="5" t="s">
        <v>189</v>
      </c>
      <c r="K240" s="5" t="s">
        <v>796</v>
      </c>
      <c r="L240" s="5" t="s">
        <v>797</v>
      </c>
      <c r="M240" s="5" t="s">
        <v>798</v>
      </c>
      <c r="N240" s="5" t="s">
        <v>136</v>
      </c>
      <c r="O240" s="5" t="s">
        <v>261</v>
      </c>
      <c r="P240" s="10" t="s">
        <v>82</v>
      </c>
      <c r="Q240" s="10" t="s">
        <v>191</v>
      </c>
      <c r="R240" s="5"/>
      <c r="S240" s="10" t="s">
        <v>807</v>
      </c>
      <c r="T240" s="5" t="s">
        <v>808</v>
      </c>
      <c r="U240" s="10" t="s">
        <v>98</v>
      </c>
      <c r="V240" s="5" t="n">
        <v>25</v>
      </c>
      <c r="W240" s="5" t="n">
        <v>39.26</v>
      </c>
      <c r="X240" s="5" t="n">
        <v>12.03</v>
      </c>
      <c r="Y240" s="5" t="n">
        <v>25</v>
      </c>
      <c r="Z240" s="5" t="n">
        <v>37.31</v>
      </c>
      <c r="AA240" s="5" t="n">
        <v>17.26</v>
      </c>
      <c r="AB240" s="5" t="s">
        <v>99</v>
      </c>
      <c r="AC240" s="5"/>
      <c r="AD240" s="5" t="n">
        <v>1</v>
      </c>
      <c r="AE240" s="7" t="n">
        <f aca="false">IFERROR(IF(AB240="MSD",IF(COUNT(V240,W240,X240,Y240,Z240,AA240)&lt;6,"",(W240-Z240)/SQRT(((V240-1)*X240^2+(Y240-1)*AA240^2)/(V240+Y240-2))*AD240),IF(AB240="t",AC240*SQRT(1/V240+1/Y240)*AD240,IF(AB240="F",SQRT(AC240)*SQRT(1/V240+1/Y240)*AD240,IF(AB240="z",2*(AC240/SQRT(V240+Y240))/SQRT(1-(AC240/SQRT(V240+Y240))^2)*AD240,IF(AB240="t_paired",AC240/SQRT(V240)*AD240,""))))),"")</f>
        <v>0.131078035010355</v>
      </c>
      <c r="AF240" s="7" t="n">
        <f aca="false">IF(AE240="","",IF(AB240="t_paired",1-3/(4*(V240-1)-1),1-3/(4*(V240+Y240)-9)))</f>
        <v>0.984293193717278</v>
      </c>
      <c r="AG240" s="7" t="n">
        <f aca="false">IF(AE240="","",AE240*AF240)</f>
        <v>0.129019217706527</v>
      </c>
      <c r="AH240" s="7" t="n">
        <f aca="false">IF(AG240="","",IF(AB240="t_paired",1/V240+AG240^2/(2*V240),(V240+Y240)/(V240*Y240)+AG240^2/(2*(V240+Y240))))</f>
        <v>0.0801664595853761</v>
      </c>
      <c r="AI240" s="7" t="n">
        <f aca="false">IF(AH240="","",SQRT(AH240))</f>
        <v>0.28313682131679</v>
      </c>
      <c r="AJ240" s="7" t="n">
        <f aca="false">IF(AI240="","",AG240-1.96*AI240)</f>
        <v>-0.425928952074382</v>
      </c>
      <c r="AK240" s="7" t="n">
        <f aca="false">IF(AI240="","",AG240+1.96*AI240)</f>
        <v>0.683967387487436</v>
      </c>
      <c r="AL240" s="7" t="n">
        <f aca="false">IF(AI240="","",AG240/AI240)</f>
        <v>0.455677990261015</v>
      </c>
      <c r="AM240" s="8" t="n">
        <f aca="false">IF(AL240="","",2*(1-NORMSDIST(ABS(AL240))))</f>
        <v>0.648621551373146</v>
      </c>
      <c r="AN240" s="9" t="n">
        <f aca="false">IF(COUNT(V240)=0,"",IF(AB240="t_paired",V240,V240+N(Y240)))</f>
        <v>50</v>
      </c>
      <c r="AO240" s="7" t="n">
        <f aca="false">IF(AH240="","",1/AH240)</f>
        <v>12.474044696149</v>
      </c>
      <c r="AP240" s="5" t="s">
        <v>100</v>
      </c>
      <c r="AQ240" s="5" t="s">
        <v>290</v>
      </c>
      <c r="AR240" s="5" t="s">
        <v>313</v>
      </c>
      <c r="AS240" s="9" t="n">
        <f aca="false">IF(AND(AP240="Y",ISNUMBER(AO240)),AO240,0)</f>
        <v>0</v>
      </c>
      <c r="AT240" s="7" t="n">
        <f aca="false">IF(AS240&gt;0,AS240*AG240,0)</f>
        <v>0</v>
      </c>
      <c r="AU240" s="7" t="n">
        <f aca="false">IF(AS240&gt;0,AS240*AG240^2,0)</f>
        <v>0</v>
      </c>
      <c r="AV240" s="9" t="n">
        <f aca="false">IF(AS240&gt;0,AS240^2,0)</f>
        <v>0</v>
      </c>
      <c r="AW240" s="7" t="n">
        <f aca="false">IF(AS240&gt;0,AG240,0)</f>
        <v>0</v>
      </c>
      <c r="AX240" s="7" t="n">
        <f aca="false">IF(AS240&gt;0,AH240,1)</f>
        <v>1</v>
      </c>
    </row>
    <row r="241" customFormat="false" ht="15" hidden="false" customHeight="false" outlineLevel="0" collapsed="false">
      <c r="A241" s="5" t="s">
        <v>809</v>
      </c>
      <c r="B241" s="5" t="s">
        <v>793</v>
      </c>
      <c r="C241" s="5" t="s">
        <v>794</v>
      </c>
      <c r="D241" s="5" t="n">
        <v>2023</v>
      </c>
      <c r="E241" s="5" t="s">
        <v>221</v>
      </c>
      <c r="F241" s="5" t="s">
        <v>173</v>
      </c>
      <c r="G241" s="5" t="s">
        <v>281</v>
      </c>
      <c r="H241" s="5" t="s">
        <v>131</v>
      </c>
      <c r="I241" s="5" t="s">
        <v>795</v>
      </c>
      <c r="J241" s="5" t="s">
        <v>189</v>
      </c>
      <c r="K241" s="5" t="s">
        <v>796</v>
      </c>
      <c r="L241" s="5" t="s">
        <v>797</v>
      </c>
      <c r="M241" s="5" t="s">
        <v>798</v>
      </c>
      <c r="N241" s="5" t="s">
        <v>136</v>
      </c>
      <c r="O241" s="5" t="s">
        <v>261</v>
      </c>
      <c r="P241" s="6" t="s">
        <v>82</v>
      </c>
      <c r="Q241" s="6" t="s">
        <v>191</v>
      </c>
      <c r="R241" s="5"/>
      <c r="S241" s="6" t="s">
        <v>807</v>
      </c>
      <c r="T241" s="5" t="s">
        <v>808</v>
      </c>
      <c r="U241" s="6" t="s">
        <v>86</v>
      </c>
      <c r="V241" s="5" t="n">
        <v>25</v>
      </c>
      <c r="W241" s="5" t="n">
        <v>59.12</v>
      </c>
      <c r="X241" s="5" t="n">
        <v>14.23</v>
      </c>
      <c r="Y241" s="5" t="n">
        <v>25</v>
      </c>
      <c r="Z241" s="5" t="n">
        <v>45.18</v>
      </c>
      <c r="AA241" s="5" t="n">
        <v>15.62</v>
      </c>
      <c r="AB241" s="5" t="s">
        <v>99</v>
      </c>
      <c r="AC241" s="5"/>
      <c r="AD241" s="5" t="n">
        <v>1</v>
      </c>
      <c r="AE241" s="7" t="n">
        <f aca="false">IFERROR(IF(AB241="MSD",IF(COUNT(V241,W241,X241,Y241,Z241,AA241)&lt;6,"",(W241-Z241)/SQRT(((V241-1)*X241^2+(Y241-1)*AA241^2)/(V241+Y241-2))*AD241),IF(AB241="t",AC241*SQRT(1/V241+1/Y241)*AD241,IF(AB241="F",SQRT(AC241)*SQRT(1/V241+1/Y241)*AD241,IF(AB241="z",2*(AC241/SQRT(V241+Y241))/SQRT(1-(AC241/SQRT(V241+Y241))^2)*AD241,IF(AB241="t_paired",AC241/SQRT(V241)*AD241,""))))),"")</f>
        <v>0.932992343990037</v>
      </c>
      <c r="AF241" s="7" t="n">
        <f aca="false">IF(AE241="","",IF(AB241="t_paired",1-3/(4*(V241-1)-1),1-3/(4*(V241+Y241)-9)))</f>
        <v>0.984293193717278</v>
      </c>
      <c r="AG241" s="7" t="n">
        <f aca="false">IF(AE241="","",AE241*AF241)</f>
        <v>0.918338013979722</v>
      </c>
      <c r="AH241" s="7" t="n">
        <f aca="false">IF(AG241="","",IF(AB241="t_paired",1/V241+AG241^2/(2*V241),(V241+Y241)/(V241*Y241)+AG241^2/(2*(V241+Y241))))</f>
        <v>0.0884334470792022</v>
      </c>
      <c r="AI241" s="7" t="n">
        <f aca="false">IF(AH241="","",SQRT(AH241))</f>
        <v>0.297377616977476</v>
      </c>
      <c r="AJ241" s="7" t="n">
        <f aca="false">IF(AI241="","",AG241-1.96*AI241)</f>
        <v>0.33547788470387</v>
      </c>
      <c r="AK241" s="7" t="n">
        <f aca="false">IF(AI241="","",AG241+1.96*AI241)</f>
        <v>1.50119814325557</v>
      </c>
      <c r="AL241" s="7" t="n">
        <f aca="false">IF(AI241="","",AG241/AI241)</f>
        <v>3.08812083207083</v>
      </c>
      <c r="AM241" s="8" t="n">
        <f aca="false">IF(AL241="","",2*(1-NORMSDIST(ABS(AL241))))</f>
        <v>0.00201426552665618</v>
      </c>
      <c r="AN241" s="9" t="n">
        <f aca="false">IF(COUNT(V241)=0,"",IF(AB241="t_paired",V241,V241+N(Y241)))</f>
        <v>50</v>
      </c>
      <c r="AO241" s="7" t="n">
        <f aca="false">IF(AH241="","",1/AH241)</f>
        <v>11.3079387158163</v>
      </c>
      <c r="AP241" s="5" t="s">
        <v>88</v>
      </c>
      <c r="AQ241" s="5" t="s">
        <v>290</v>
      </c>
      <c r="AR241" s="5" t="s">
        <v>313</v>
      </c>
      <c r="AS241" s="7" t="n">
        <f aca="false">IF(AND(AP241="Y",ISNUMBER(AO241)),AO241,0)</f>
        <v>11.3079387158163</v>
      </c>
      <c r="AT241" s="7" t="n">
        <f aca="false">IF(AS241&gt;0,AS241*AG241,0)</f>
        <v>10.3845099824871</v>
      </c>
      <c r="AU241" s="7" t="n">
        <f aca="false">IF(AS241&gt;0,AS241*AG241^2,0)</f>
        <v>9.53649027346983</v>
      </c>
      <c r="AV241" s="9" t="n">
        <f aca="false">IF(AS241&gt;0,AS241^2,0)</f>
        <v>127.869478000657</v>
      </c>
      <c r="AW241" s="7" t="n">
        <f aca="false">IF(AS241&gt;0,AG241,0)</f>
        <v>0.918338013979722</v>
      </c>
      <c r="AX241" s="7" t="n">
        <f aca="false">IF(AS241&gt;0,AH241,1)</f>
        <v>0.0884334470792022</v>
      </c>
    </row>
    <row r="242" customFormat="false" ht="15" hidden="false" customHeight="false" outlineLevel="0" collapsed="false">
      <c r="A242" s="5" t="s">
        <v>810</v>
      </c>
      <c r="B242" s="5" t="s">
        <v>793</v>
      </c>
      <c r="C242" s="5" t="s">
        <v>794</v>
      </c>
      <c r="D242" s="5" t="n">
        <v>2023</v>
      </c>
      <c r="E242" s="5" t="s">
        <v>221</v>
      </c>
      <c r="F242" s="5" t="s">
        <v>173</v>
      </c>
      <c r="G242" s="5" t="s">
        <v>281</v>
      </c>
      <c r="H242" s="5" t="s">
        <v>131</v>
      </c>
      <c r="I242" s="5" t="s">
        <v>795</v>
      </c>
      <c r="J242" s="5" t="s">
        <v>189</v>
      </c>
      <c r="K242" s="5" t="s">
        <v>796</v>
      </c>
      <c r="L242" s="5" t="s">
        <v>797</v>
      </c>
      <c r="M242" s="5" t="s">
        <v>798</v>
      </c>
      <c r="N242" s="5" t="s">
        <v>136</v>
      </c>
      <c r="O242" s="5" t="s">
        <v>261</v>
      </c>
      <c r="P242" s="10" t="s">
        <v>82</v>
      </c>
      <c r="Q242" s="10" t="s">
        <v>191</v>
      </c>
      <c r="R242" s="5"/>
      <c r="S242" s="10" t="s">
        <v>811</v>
      </c>
      <c r="T242" s="5" t="s">
        <v>812</v>
      </c>
      <c r="U242" s="10" t="s">
        <v>98</v>
      </c>
      <c r="V242" s="5" t="n">
        <v>25</v>
      </c>
      <c r="W242" s="5" t="n">
        <v>13.39</v>
      </c>
      <c r="X242" s="5" t="n">
        <v>3.62</v>
      </c>
      <c r="Y242" s="5" t="n">
        <v>25</v>
      </c>
      <c r="Z242" s="5" t="n">
        <v>13.26</v>
      </c>
      <c r="AA242" s="5" t="n">
        <v>3.24</v>
      </c>
      <c r="AB242" s="5" t="s">
        <v>99</v>
      </c>
      <c r="AC242" s="5"/>
      <c r="AD242" s="5" t="n">
        <v>1</v>
      </c>
      <c r="AE242" s="7" t="n">
        <f aca="false">IFERROR(IF(AB242="MSD",IF(COUNT(V242,W242,X242,Y242,Z242,AA242)&lt;6,"",(W242-Z242)/SQRT(((V242-1)*X242^2+(Y242-1)*AA242^2)/(V242+Y242-2))*AD242),IF(AB242="t",AC242*SQRT(1/V242+1/Y242)*AD242,IF(AB242="F",SQRT(AC242)*SQRT(1/V242+1/Y242)*AD242,IF(AB242="z",2*(AC242/SQRT(V242+Y242))/SQRT(1-(AC242/SQRT(V242+Y242))^2)*AD242,IF(AB242="t_paired",AC242/SQRT(V242)*AD242,""))))),"")</f>
        <v>0.0378428596560419</v>
      </c>
      <c r="AF242" s="7" t="n">
        <f aca="false">IF(AE242="","",IF(AB242="t_paired",1-3/(4*(V242-1)-1),1-3/(4*(V242+Y242)-9)))</f>
        <v>0.984293193717278</v>
      </c>
      <c r="AG242" s="7" t="n">
        <f aca="false">IF(AE242="","",AE242*AF242)</f>
        <v>0.0372484691902402</v>
      </c>
      <c r="AH242" s="7" t="n">
        <f aca="false">IF(AG242="","",IF(AB242="t_paired",1/V242+AG242^2/(2*V242),(V242+Y242)/(V242*Y242)+AG242^2/(2*(V242+Y242))))</f>
        <v>0.0800138744845702</v>
      </c>
      <c r="AI242" s="7" t="n">
        <f aca="false">IF(AH242="","",SQRT(AH242))</f>
        <v>0.282867238266594</v>
      </c>
      <c r="AJ242" s="7" t="n">
        <f aca="false">IF(AI242="","",AG242-1.96*AI242)</f>
        <v>-0.517171317812284</v>
      </c>
      <c r="AK242" s="7" t="n">
        <f aca="false">IF(AI242="","",AG242+1.96*AI242)</f>
        <v>0.591668256192765</v>
      </c>
      <c r="AL242" s="7" t="n">
        <f aca="false">IF(AI242="","",AG242/AI242)</f>
        <v>0.131681807403707</v>
      </c>
      <c r="AM242" s="8" t="n">
        <f aca="false">IF(AL242="","",2*(1-NORMSDIST(ABS(AL242))))</f>
        <v>0.895235975785818</v>
      </c>
      <c r="AN242" s="9" t="n">
        <f aca="false">IF(COUNT(V242)=0,"",IF(AB242="t_paired",V242,V242+N(Y242)))</f>
        <v>50</v>
      </c>
      <c r="AO242" s="7" t="n">
        <f aca="false">IF(AH242="","",1/AH242)</f>
        <v>12.4978324876999</v>
      </c>
      <c r="AP242" s="5" t="s">
        <v>100</v>
      </c>
      <c r="AQ242" s="5" t="s">
        <v>290</v>
      </c>
      <c r="AR242" s="5" t="s">
        <v>313</v>
      </c>
      <c r="AS242" s="9" t="n">
        <f aca="false">IF(AND(AP242="Y",ISNUMBER(AO242)),AO242,0)</f>
        <v>0</v>
      </c>
      <c r="AT242" s="7" t="n">
        <f aca="false">IF(AS242&gt;0,AS242*AG242,0)</f>
        <v>0</v>
      </c>
      <c r="AU242" s="7" t="n">
        <f aca="false">IF(AS242&gt;0,AS242*AG242^2,0)</f>
        <v>0</v>
      </c>
      <c r="AV242" s="9" t="n">
        <f aca="false">IF(AS242&gt;0,AS242^2,0)</f>
        <v>0</v>
      </c>
      <c r="AW242" s="7" t="n">
        <f aca="false">IF(AS242&gt;0,AG242,0)</f>
        <v>0</v>
      </c>
      <c r="AX242" s="7" t="n">
        <f aca="false">IF(AS242&gt;0,AH242,1)</f>
        <v>1</v>
      </c>
    </row>
    <row r="243" customFormat="false" ht="15" hidden="false" customHeight="false" outlineLevel="0" collapsed="false">
      <c r="A243" s="5" t="s">
        <v>813</v>
      </c>
      <c r="B243" s="5" t="s">
        <v>793</v>
      </c>
      <c r="C243" s="5" t="s">
        <v>794</v>
      </c>
      <c r="D243" s="5" t="n">
        <v>2023</v>
      </c>
      <c r="E243" s="5" t="s">
        <v>221</v>
      </c>
      <c r="F243" s="5" t="s">
        <v>173</v>
      </c>
      <c r="G243" s="5" t="s">
        <v>281</v>
      </c>
      <c r="H243" s="5" t="s">
        <v>131</v>
      </c>
      <c r="I243" s="5" t="s">
        <v>795</v>
      </c>
      <c r="J243" s="5" t="s">
        <v>189</v>
      </c>
      <c r="K243" s="5" t="s">
        <v>796</v>
      </c>
      <c r="L243" s="5" t="s">
        <v>797</v>
      </c>
      <c r="M243" s="5" t="s">
        <v>798</v>
      </c>
      <c r="N243" s="5" t="s">
        <v>136</v>
      </c>
      <c r="O243" s="5" t="s">
        <v>261</v>
      </c>
      <c r="P243" s="6" t="s">
        <v>82</v>
      </c>
      <c r="Q243" s="6" t="s">
        <v>191</v>
      </c>
      <c r="R243" s="5"/>
      <c r="S243" s="6" t="s">
        <v>811</v>
      </c>
      <c r="T243" s="5" t="s">
        <v>812</v>
      </c>
      <c r="U243" s="6" t="s">
        <v>86</v>
      </c>
      <c r="V243" s="5" t="n">
        <v>25</v>
      </c>
      <c r="W243" s="5" t="n">
        <v>15.96</v>
      </c>
      <c r="X243" s="5" t="n">
        <v>3.71</v>
      </c>
      <c r="Y243" s="5" t="n">
        <v>25</v>
      </c>
      <c r="Z243" s="5" t="n">
        <v>13.71</v>
      </c>
      <c r="AA243" s="5" t="n">
        <v>3.12</v>
      </c>
      <c r="AB243" s="5" t="s">
        <v>99</v>
      </c>
      <c r="AC243" s="5"/>
      <c r="AD243" s="5" t="n">
        <v>1</v>
      </c>
      <c r="AE243" s="7" t="n">
        <f aca="false">IFERROR(IF(AB243="MSD",IF(COUNT(V243,W243,X243,Y243,Z243,AA243)&lt;6,"",(W243-Z243)/SQRT(((V243-1)*X243^2+(Y243-1)*AA243^2)/(V243+Y243-2))*AD243),IF(AB243="t",AC243*SQRT(1/V243+1/Y243)*AD243,IF(AB243="F",SQRT(AC243)*SQRT(1/V243+1/Y243)*AD243,IF(AB243="z",2*(AC243/SQRT(V243+Y243))/SQRT(1-(AC243/SQRT(V243+Y243))^2)*AD243,IF(AB243="t_paired",AC243/SQRT(V243)*AD243,""))))),"")</f>
        <v>0.656413411439029</v>
      </c>
      <c r="AF243" s="7" t="n">
        <f aca="false">IF(AE243="","",IF(AB243="t_paired",1-3/(4*(V243-1)-1),1-3/(4*(V243+Y243)-9)))</f>
        <v>0.984293193717278</v>
      </c>
      <c r="AG243" s="7" t="n">
        <f aca="false">IF(AE243="","",AE243*AF243)</f>
        <v>0.646103253144176</v>
      </c>
      <c r="AH243" s="7" t="n">
        <f aca="false">IF(AG243="","",IF(AB243="t_paired",1/V243+AG243^2/(2*V243),(V243+Y243)/(V243*Y243)+AG243^2/(2*(V243+Y243))))</f>
        <v>0.0841744941372349</v>
      </c>
      <c r="AI243" s="7" t="n">
        <f aca="false">IF(AH243="","",SQRT(AH243))</f>
        <v>0.290128409738231</v>
      </c>
      <c r="AJ243" s="7" t="n">
        <f aca="false">IF(AI243="","",AG243-1.96*AI243)</f>
        <v>0.0774515700572428</v>
      </c>
      <c r="AK243" s="7" t="n">
        <f aca="false">IF(AI243="","",AG243+1.96*AI243)</f>
        <v>1.21475493623111</v>
      </c>
      <c r="AL243" s="7" t="n">
        <f aca="false">IF(AI243="","",AG243/AI243)</f>
        <v>2.2269561733962</v>
      </c>
      <c r="AM243" s="8" t="n">
        <f aca="false">IF(AL243="","",2*(1-NORMSDIST(ABS(AL243))))</f>
        <v>0.025950203004427</v>
      </c>
      <c r="AN243" s="9" t="n">
        <f aca="false">IF(COUNT(V243)=0,"",IF(AB243="t_paired",V243,V243+N(Y243)))</f>
        <v>50</v>
      </c>
      <c r="AO243" s="7" t="n">
        <f aca="false">IF(AH243="","",1/AH243)</f>
        <v>11.8800832752216</v>
      </c>
      <c r="AP243" s="5" t="s">
        <v>88</v>
      </c>
      <c r="AQ243" s="5" t="s">
        <v>290</v>
      </c>
      <c r="AR243" s="5" t="s">
        <v>313</v>
      </c>
      <c r="AS243" s="7" t="n">
        <f aca="false">IF(AND(AP243="Y",ISNUMBER(AO243)),AO243,0)</f>
        <v>11.8800832752216</v>
      </c>
      <c r="AT243" s="7" t="n">
        <f aca="false">IF(AS243&gt;0,AS243*AG243,0)</f>
        <v>7.67576045174437</v>
      </c>
      <c r="AU243" s="7" t="n">
        <f aca="false">IF(AS243&gt;0,AS243*AG243^2,0)</f>
        <v>4.95933379822744</v>
      </c>
      <c r="AV243" s="9" t="n">
        <f aca="false">IF(AS243&gt;0,AS243^2,0)</f>
        <v>141.136378626199</v>
      </c>
      <c r="AW243" s="7" t="n">
        <f aca="false">IF(AS243&gt;0,AG243,0)</f>
        <v>0.646103253144176</v>
      </c>
      <c r="AX243" s="7" t="n">
        <f aca="false">IF(AS243&gt;0,AH243,1)</f>
        <v>0.0841744941372349</v>
      </c>
    </row>
    <row r="244" customFormat="false" ht="15" hidden="false" customHeight="false" outlineLevel="0" collapsed="false">
      <c r="A244" s="5" t="s">
        <v>814</v>
      </c>
      <c r="B244" s="5" t="s">
        <v>793</v>
      </c>
      <c r="C244" s="5" t="s">
        <v>794</v>
      </c>
      <c r="D244" s="5" t="n">
        <v>2023</v>
      </c>
      <c r="E244" s="5" t="s">
        <v>221</v>
      </c>
      <c r="F244" s="5" t="s">
        <v>173</v>
      </c>
      <c r="G244" s="5" t="s">
        <v>281</v>
      </c>
      <c r="H244" s="5" t="s">
        <v>131</v>
      </c>
      <c r="I244" s="5" t="s">
        <v>795</v>
      </c>
      <c r="J244" s="5" t="s">
        <v>189</v>
      </c>
      <c r="K244" s="5" t="s">
        <v>796</v>
      </c>
      <c r="L244" s="5" t="s">
        <v>797</v>
      </c>
      <c r="M244" s="5" t="s">
        <v>798</v>
      </c>
      <c r="N244" s="5" t="s">
        <v>136</v>
      </c>
      <c r="O244" s="5" t="s">
        <v>261</v>
      </c>
      <c r="P244" s="10" t="s">
        <v>113</v>
      </c>
      <c r="Q244" s="10" t="s">
        <v>425</v>
      </c>
      <c r="R244" s="5"/>
      <c r="S244" s="10" t="s">
        <v>815</v>
      </c>
      <c r="T244" s="5" t="s">
        <v>816</v>
      </c>
      <c r="U244" s="10" t="s">
        <v>98</v>
      </c>
      <c r="V244" s="5" t="n">
        <v>25</v>
      </c>
      <c r="W244" s="5" t="n">
        <v>17.36</v>
      </c>
      <c r="X244" s="5" t="n">
        <v>3.12</v>
      </c>
      <c r="Y244" s="5" t="n">
        <v>25</v>
      </c>
      <c r="Z244" s="5" t="n">
        <v>17.71</v>
      </c>
      <c r="AA244" s="5" t="n">
        <v>3.09</v>
      </c>
      <c r="AB244" s="5" t="s">
        <v>99</v>
      </c>
      <c r="AC244" s="5"/>
      <c r="AD244" s="5" t="n">
        <v>1</v>
      </c>
      <c r="AE244" s="7" t="n">
        <f aca="false">IFERROR(IF(AB244="MSD",IF(COUNT(V244,W244,X244,Y244,Z244,AA244)&lt;6,"",(W244-Z244)/SQRT(((V244-1)*X244^2+(Y244-1)*AA244^2)/(V244+Y244-2))*AD244),IF(AB244="t",AC244*SQRT(1/V244+1/Y244)*AD244,IF(AB244="F",SQRT(AC244)*SQRT(1/V244+1/Y244)*AD244,IF(AB244="z",2*(AC244/SQRT(V244+Y244))/SQRT(1-(AC244/SQRT(V244+Y244))^2)*AD244,IF(AB244="t_paired",AC244/SQRT(V244)*AD244,""))))),"")</f>
        <v>-0.112720101759153</v>
      </c>
      <c r="AF244" s="7" t="n">
        <f aca="false">IF(AE244="","",IF(AB244="t_paired",1-3/(4*(V244-1)-1),1-3/(4*(V244+Y244)-9)))</f>
        <v>0.984293193717278</v>
      </c>
      <c r="AG244" s="7" t="n">
        <f aca="false">IF(AE244="","",AE244*AF244)</f>
        <v>-0.110949628956654</v>
      </c>
      <c r="AH244" s="7" t="n">
        <f aca="false">IF(AG244="","",IF(AB244="t_paired",1/V244+AG244^2/(2*V244),(V244+Y244)/(V244*Y244)+AG244^2/(2*(V244+Y244))))</f>
        <v>0.0801230982016562</v>
      </c>
      <c r="AI244" s="7" t="n">
        <f aca="false">IF(AH244="","",SQRT(AH244))</f>
        <v>0.283060237761605</v>
      </c>
      <c r="AJ244" s="7" t="n">
        <f aca="false">IF(AI244="","",AG244-1.96*AI244)</f>
        <v>-0.665747694969399</v>
      </c>
      <c r="AK244" s="7" t="n">
        <f aca="false">IF(AI244="","",AG244+1.96*AI244)</f>
        <v>0.443848437056092</v>
      </c>
      <c r="AL244" s="7" t="n">
        <f aca="false">IF(AI244="","",AG244/AI244)</f>
        <v>-0.391964727487074</v>
      </c>
      <c r="AM244" s="8" t="n">
        <f aca="false">IF(AL244="","",2*(1-NORMSDIST(ABS(AL244))))</f>
        <v>0.695084276042913</v>
      </c>
      <c r="AN244" s="9" t="n">
        <f aca="false">IF(COUNT(V244)=0,"",IF(AB244="t_paired",V244,V244+N(Y244)))</f>
        <v>50</v>
      </c>
      <c r="AO244" s="7" t="n">
        <f aca="false">IF(AH244="","",1/AH244)</f>
        <v>12.4807954565507</v>
      </c>
      <c r="AP244" s="5" t="s">
        <v>100</v>
      </c>
      <c r="AQ244" s="5" t="s">
        <v>290</v>
      </c>
      <c r="AR244" s="5" t="s">
        <v>313</v>
      </c>
      <c r="AS244" s="9" t="n">
        <f aca="false">IF(AND(AP244="Y",ISNUMBER(AO244)),AO244,0)</f>
        <v>0</v>
      </c>
      <c r="AT244" s="7" t="n">
        <f aca="false">IF(AS244&gt;0,AS244*AG244,0)</f>
        <v>0</v>
      </c>
      <c r="AU244" s="7" t="n">
        <f aca="false">IF(AS244&gt;0,AS244*AG244^2,0)</f>
        <v>0</v>
      </c>
      <c r="AV244" s="9" t="n">
        <f aca="false">IF(AS244&gt;0,AS244^2,0)</f>
        <v>0</v>
      </c>
      <c r="AW244" s="7" t="n">
        <f aca="false">IF(AS244&gt;0,AG244,0)</f>
        <v>0</v>
      </c>
      <c r="AX244" s="7" t="n">
        <f aca="false">IF(AS244&gt;0,AH244,1)</f>
        <v>1</v>
      </c>
    </row>
    <row r="245" customFormat="false" ht="15" hidden="false" customHeight="false" outlineLevel="0" collapsed="false">
      <c r="A245" s="5" t="s">
        <v>817</v>
      </c>
      <c r="B245" s="5" t="s">
        <v>793</v>
      </c>
      <c r="C245" s="5" t="s">
        <v>794</v>
      </c>
      <c r="D245" s="5" t="n">
        <v>2023</v>
      </c>
      <c r="E245" s="5" t="s">
        <v>221</v>
      </c>
      <c r="F245" s="5" t="s">
        <v>173</v>
      </c>
      <c r="G245" s="5" t="s">
        <v>281</v>
      </c>
      <c r="H245" s="5" t="s">
        <v>131</v>
      </c>
      <c r="I245" s="5" t="s">
        <v>795</v>
      </c>
      <c r="J245" s="5" t="s">
        <v>189</v>
      </c>
      <c r="K245" s="5" t="s">
        <v>796</v>
      </c>
      <c r="L245" s="5" t="s">
        <v>797</v>
      </c>
      <c r="M245" s="5" t="s">
        <v>798</v>
      </c>
      <c r="N245" s="5" t="s">
        <v>136</v>
      </c>
      <c r="O245" s="5" t="s">
        <v>261</v>
      </c>
      <c r="P245" s="11" t="s">
        <v>113</v>
      </c>
      <c r="Q245" s="11" t="s">
        <v>425</v>
      </c>
      <c r="R245" s="5"/>
      <c r="S245" s="11" t="s">
        <v>815</v>
      </c>
      <c r="T245" s="5" t="s">
        <v>816</v>
      </c>
      <c r="U245" s="11" t="s">
        <v>86</v>
      </c>
      <c r="V245" s="5" t="n">
        <v>25</v>
      </c>
      <c r="W245" s="5" t="n">
        <v>20.06</v>
      </c>
      <c r="X245" s="5" t="n">
        <v>3.33</v>
      </c>
      <c r="Y245" s="5" t="n">
        <v>25</v>
      </c>
      <c r="Z245" s="5" t="n">
        <v>18.21</v>
      </c>
      <c r="AA245" s="5" t="n">
        <v>3.58</v>
      </c>
      <c r="AB245" s="5" t="s">
        <v>99</v>
      </c>
      <c r="AC245" s="5"/>
      <c r="AD245" s="5" t="n">
        <v>1</v>
      </c>
      <c r="AE245" s="7" t="n">
        <f aca="false">IFERROR(IF(AB245="MSD",IF(COUNT(V245,W245,X245,Y245,Z245,AA245)&lt;6,"",(W245-Z245)/SQRT(((V245-1)*X245^2+(Y245-1)*AA245^2)/(V245+Y245-2))*AD245),IF(AB245="t",AC245*SQRT(1/V245+1/Y245)*AD245,IF(AB245="F",SQRT(AC245)*SQRT(1/V245+1/Y245)*AD245,IF(AB245="z",2*(AC245/SQRT(V245+Y245))/SQRT(1-(AC245/SQRT(V245+Y245))^2)*AD245,IF(AB245="t_paired",AC245/SQRT(V245)*AD245,""))))),"")</f>
        <v>0.535105761558412</v>
      </c>
      <c r="AF245" s="7" t="n">
        <f aca="false">IF(AE245="","",IF(AB245="t_paired",1-3/(4*(V245-1)-1),1-3/(4*(V245+Y245)-9)))</f>
        <v>0.984293193717278</v>
      </c>
      <c r="AG245" s="7" t="n">
        <f aca="false">IF(AE245="","",AE245*AF245)</f>
        <v>0.526700959020846</v>
      </c>
      <c r="AH245" s="7" t="n">
        <f aca="false">IF(AG245="","",IF(AB245="t_paired",1/V245+AG245^2/(2*V245),(V245+Y245)/(V245*Y245)+AG245^2/(2*(V245+Y245))))</f>
        <v>0.0827741390023348</v>
      </c>
      <c r="AI245" s="7" t="n">
        <f aca="false">IF(AH245="","",SQRT(AH245))</f>
        <v>0.287704951299651</v>
      </c>
      <c r="AJ245" s="7" t="n">
        <f aca="false">IF(AI245="","",AG245-1.96*AI245)</f>
        <v>-0.037200745526471</v>
      </c>
      <c r="AK245" s="7" t="n">
        <f aca="false">IF(AI245="","",AG245+1.96*AI245)</f>
        <v>1.09060266356816</v>
      </c>
      <c r="AL245" s="7" t="n">
        <f aca="false">IF(AI245="","",AG245/AI245)</f>
        <v>1.83069827836322</v>
      </c>
      <c r="AM245" s="8" t="n">
        <f aca="false">IF(AL245="","",2*(1-NORMSDIST(ABS(AL245))))</f>
        <v>0.0671455902061948</v>
      </c>
      <c r="AN245" s="9" t="n">
        <f aca="false">IF(COUNT(V245)=0,"",IF(AB245="t_paired",V245,V245+N(Y245)))</f>
        <v>50</v>
      </c>
      <c r="AO245" s="7" t="n">
        <f aca="false">IF(AH245="","",1/AH245)</f>
        <v>12.0810679766997</v>
      </c>
      <c r="AP245" s="5" t="s">
        <v>88</v>
      </c>
      <c r="AQ245" s="5" t="s">
        <v>290</v>
      </c>
      <c r="AR245" s="5" t="s">
        <v>313</v>
      </c>
      <c r="AS245" s="7" t="n">
        <f aca="false">IF(AND(AP245="Y",ISNUMBER(AO245)),AO245,0)</f>
        <v>12.0810679766997</v>
      </c>
      <c r="AT245" s="7" t="n">
        <f aca="false">IF(AS245&gt;0,AS245*AG245,0)</f>
        <v>6.36311008932378</v>
      </c>
      <c r="AU245" s="7" t="n">
        <f aca="false">IF(AS245&gt;0,AS245*AG245^2,0)</f>
        <v>3.35145618640206</v>
      </c>
      <c r="AV245" s="9" t="n">
        <f aca="false">IF(AS245&gt;0,AS245^2,0)</f>
        <v>145.95220345764</v>
      </c>
      <c r="AW245" s="7" t="n">
        <f aca="false">IF(AS245&gt;0,AG245,0)</f>
        <v>0.526700959020846</v>
      </c>
      <c r="AX245" s="7" t="n">
        <f aca="false">IF(AS245&gt;0,AH245,1)</f>
        <v>0.0827741390023348</v>
      </c>
    </row>
    <row r="246" customFormat="false" ht="15" hidden="false" customHeight="false" outlineLevel="0" collapsed="false">
      <c r="A246" s="5" t="s">
        <v>818</v>
      </c>
      <c r="B246" s="5" t="s">
        <v>819</v>
      </c>
      <c r="C246" s="5" t="s">
        <v>820</v>
      </c>
      <c r="D246" s="5" t="n">
        <v>2025</v>
      </c>
      <c r="E246" s="5" t="s">
        <v>221</v>
      </c>
      <c r="F246" s="5" t="s">
        <v>821</v>
      </c>
      <c r="G246" s="5" t="s">
        <v>822</v>
      </c>
      <c r="H246" s="5" t="s">
        <v>131</v>
      </c>
      <c r="I246" s="5" t="s">
        <v>823</v>
      </c>
      <c r="J246" s="5" t="s">
        <v>76</v>
      </c>
      <c r="K246" s="5" t="s">
        <v>824</v>
      </c>
      <c r="L246" s="5" t="s">
        <v>825</v>
      </c>
      <c r="M246" s="5" t="s">
        <v>826</v>
      </c>
      <c r="N246" s="5" t="s">
        <v>827</v>
      </c>
      <c r="O246" s="5" t="s">
        <v>261</v>
      </c>
      <c r="P246" s="6" t="s">
        <v>82</v>
      </c>
      <c r="Q246" s="6" t="s">
        <v>83</v>
      </c>
      <c r="R246" s="5"/>
      <c r="S246" s="6" t="s">
        <v>828</v>
      </c>
      <c r="T246" s="5" t="s">
        <v>829</v>
      </c>
      <c r="U246" s="6" t="s">
        <v>86</v>
      </c>
      <c r="V246" s="5" t="n">
        <v>40</v>
      </c>
      <c r="W246" s="5" t="n">
        <v>57.77</v>
      </c>
      <c r="X246" s="5" t="n">
        <v>11.79</v>
      </c>
      <c r="Y246" s="5" t="n">
        <v>40</v>
      </c>
      <c r="Z246" s="5" t="n">
        <v>46.38</v>
      </c>
      <c r="AA246" s="5" t="n">
        <v>12.85</v>
      </c>
      <c r="AB246" s="5" t="s">
        <v>99</v>
      </c>
      <c r="AC246" s="5"/>
      <c r="AD246" s="5" t="n">
        <v>1</v>
      </c>
      <c r="AE246" s="7" t="n">
        <f aca="false">IFERROR(IF(AB246="MSD",IF(COUNT(V246,W246,X246,Y246,Z246,AA246)&lt;6,"",(W246-Z246)/SQRT(((V246-1)*X246^2+(Y246-1)*AA246^2)/(V246+Y246-2))*AD246),IF(AB246="t",AC246*SQRT(1/V246+1/Y246)*AD246,IF(AB246="F",SQRT(AC246)*SQRT(1/V246+1/Y246)*AD246,IF(AB246="z",2*(AC246/SQRT(V246+Y246))/SQRT(1-(AC246/SQRT(V246+Y246))^2)*AD246,IF(AB246="t_paired",AC246/SQRT(V246)*AD246,""))))),"")</f>
        <v>0.923658685744608</v>
      </c>
      <c r="AF246" s="7" t="n">
        <f aca="false">IF(AE246="","",IF(AB246="t_paired",1-3/(4*(V246-1)-1),1-3/(4*(V246+Y246)-9)))</f>
        <v>0.990353697749196</v>
      </c>
      <c r="AG246" s="7" t="n">
        <f aca="false">IF(AE246="","",AE246*AF246)</f>
        <v>0.914748794885335</v>
      </c>
      <c r="AH246" s="7" t="n">
        <f aca="false">IF(AG246="","",IF(AB246="t_paired",1/V246+AG246^2/(2*V246),(V246+Y246)/(V246*Y246)+AG246^2/(2*(V246+Y246))))</f>
        <v>0.0552297834859011</v>
      </c>
      <c r="AI246" s="7" t="n">
        <f aca="false">IF(AH246="","",SQRT(AH246))</f>
        <v>0.235010177409195</v>
      </c>
      <c r="AJ246" s="7" t="n">
        <f aca="false">IF(AI246="","",AG246-1.96*AI246)</f>
        <v>0.454128847163314</v>
      </c>
      <c r="AK246" s="7" t="n">
        <f aca="false">IF(AI246="","",AG246+1.96*AI246)</f>
        <v>1.37536874260736</v>
      </c>
      <c r="AL246" s="7" t="n">
        <f aca="false">IF(AI246="","",AG246/AI246)</f>
        <v>3.89237949168727</v>
      </c>
      <c r="AM246" s="8" t="n">
        <f aca="false">IF(AL246="","",2*(1-NORMSDIST(ABS(AL246))))</f>
        <v>9.92658102259014E-005</v>
      </c>
      <c r="AN246" s="9" t="n">
        <f aca="false">IF(COUNT(V246)=0,"",IF(AB246="t_paired",V246,V246+N(Y246)))</f>
        <v>80</v>
      </c>
      <c r="AO246" s="7" t="n">
        <f aca="false">IF(AH246="","",1/AH246)</f>
        <v>18.1061727365865</v>
      </c>
      <c r="AP246" s="5" t="s">
        <v>88</v>
      </c>
      <c r="AQ246" s="5" t="s">
        <v>89</v>
      </c>
      <c r="AR246" s="5" t="s">
        <v>830</v>
      </c>
      <c r="AS246" s="7" t="n">
        <f aca="false">IF(AND(AP246="Y",ISNUMBER(AO246)),AO246,0)</f>
        <v>18.1061727365865</v>
      </c>
      <c r="AT246" s="7" t="n">
        <f aca="false">IF(AS246&gt;0,AS246*AG246,0)</f>
        <v>16.5625996907783</v>
      </c>
      <c r="AU246" s="7" t="n">
        <f aca="false">IF(AS246&gt;0,AS246*AG246^2,0)</f>
        <v>15.1506181073076</v>
      </c>
      <c r="AV246" s="9" t="n">
        <f aca="false">IF(AS246&gt;0,AS246^2,0)</f>
        <v>327.83349116711</v>
      </c>
      <c r="AW246" s="7" t="n">
        <f aca="false">IF(AS246&gt;0,AG246,0)</f>
        <v>0.914748794885335</v>
      </c>
      <c r="AX246" s="7" t="n">
        <f aca="false">IF(AS246&gt;0,AH246,1)</f>
        <v>0.0552297834859011</v>
      </c>
    </row>
    <row r="247" customFormat="false" ht="15" hidden="false" customHeight="false" outlineLevel="0" collapsed="false">
      <c r="A247" s="5" t="s">
        <v>831</v>
      </c>
      <c r="B247" s="5" t="s">
        <v>819</v>
      </c>
      <c r="C247" s="5" t="s">
        <v>820</v>
      </c>
      <c r="D247" s="5" t="n">
        <v>2025</v>
      </c>
      <c r="E247" s="5" t="s">
        <v>221</v>
      </c>
      <c r="F247" s="5" t="s">
        <v>821</v>
      </c>
      <c r="G247" s="5" t="s">
        <v>822</v>
      </c>
      <c r="H247" s="5" t="s">
        <v>131</v>
      </c>
      <c r="I247" s="5" t="s">
        <v>823</v>
      </c>
      <c r="J247" s="5" t="s">
        <v>76</v>
      </c>
      <c r="K247" s="5" t="s">
        <v>824</v>
      </c>
      <c r="L247" s="5" t="s">
        <v>825</v>
      </c>
      <c r="M247" s="5" t="s">
        <v>826</v>
      </c>
      <c r="N247" s="5" t="s">
        <v>827</v>
      </c>
      <c r="O247" s="5" t="s">
        <v>261</v>
      </c>
      <c r="P247" s="11" t="s">
        <v>113</v>
      </c>
      <c r="Q247" s="11" t="s">
        <v>782</v>
      </c>
      <c r="R247" s="5"/>
      <c r="S247" s="11" t="s">
        <v>832</v>
      </c>
      <c r="T247" s="5" t="s">
        <v>833</v>
      </c>
      <c r="U247" s="11" t="s">
        <v>86</v>
      </c>
      <c r="V247" s="5" t="n">
        <v>36</v>
      </c>
      <c r="W247" s="5" t="n">
        <v>4.22</v>
      </c>
      <c r="X247" s="5" t="n">
        <v>0.78</v>
      </c>
      <c r="Y247" s="5" t="n">
        <v>36</v>
      </c>
      <c r="Z247" s="5" t="n">
        <v>3.26</v>
      </c>
      <c r="AA247" s="5" t="n">
        <v>0.99</v>
      </c>
      <c r="AB247" s="5" t="s">
        <v>99</v>
      </c>
      <c r="AC247" s="5"/>
      <c r="AD247" s="5" t="n">
        <v>1</v>
      </c>
      <c r="AE247" s="7" t="n">
        <f aca="false">IFERROR(IF(AB247="MSD",IF(COUNT(V247,W247,X247,Y247,Z247,AA247)&lt;6,"",(W247-Z247)/SQRT(((V247-1)*X247^2+(Y247-1)*AA247^2)/(V247+Y247-2))*AD247),IF(AB247="t",AC247*SQRT(1/V247+1/Y247)*AD247,IF(AB247="F",SQRT(AC247)*SQRT(1/V247+1/Y247)*AD247,IF(AB247="z",2*(AC247/SQRT(V247+Y247))/SQRT(1-(AC247/SQRT(V247+Y247))^2)*AD247,IF(AB247="t_paired",AC247/SQRT(V247)*AD247,""))))),"")</f>
        <v>1.07719076460151</v>
      </c>
      <c r="AF247" s="7" t="n">
        <f aca="false">IF(AE247="","",IF(AB247="t_paired",1-3/(4*(V247-1)-1),1-3/(4*(V247+Y247)-9)))</f>
        <v>0.989247311827957</v>
      </c>
      <c r="AG247" s="7" t="n">
        <f aca="false">IF(AE247="","",AE247*AF247)</f>
        <v>1.06560806820794</v>
      </c>
      <c r="AH247" s="7" t="n">
        <f aca="false">IF(AG247="","",IF(AB247="t_paired",1/V247+AG247^2/(2*V247),(V247+Y247)/(V247*Y247)+AG247^2/(2*(V247+Y247))))</f>
        <v>0.0634411149654851</v>
      </c>
      <c r="AI247" s="7" t="n">
        <f aca="false">IF(AH247="","",SQRT(AH247))</f>
        <v>0.251875197201878</v>
      </c>
      <c r="AJ247" s="7" t="n">
        <f aca="false">IF(AI247="","",AG247-1.96*AI247)</f>
        <v>0.571932681692259</v>
      </c>
      <c r="AK247" s="7" t="n">
        <f aca="false">IF(AI247="","",AG247+1.96*AI247)</f>
        <v>1.55928345472362</v>
      </c>
      <c r="AL247" s="7" t="n">
        <f aca="false">IF(AI247="","",AG247/AI247)</f>
        <v>4.23069869540928</v>
      </c>
      <c r="AM247" s="8" t="n">
        <f aca="false">IF(AL247="","",2*(1-NORMSDIST(ABS(AL247))))</f>
        <v>2.32966554871705E-005</v>
      </c>
      <c r="AN247" s="9" t="n">
        <f aca="false">IF(COUNT(V247)=0,"",IF(AB247="t_paired",V247,V247+N(Y247)))</f>
        <v>72</v>
      </c>
      <c r="AO247" s="7" t="n">
        <f aca="false">IF(AH247="","",1/AH247)</f>
        <v>15.7626485685828</v>
      </c>
      <c r="AP247" s="5" t="s">
        <v>88</v>
      </c>
      <c r="AQ247" s="5" t="s">
        <v>89</v>
      </c>
      <c r="AR247" s="5" t="s">
        <v>834</v>
      </c>
      <c r="AS247" s="7" t="n">
        <f aca="false">IF(AND(AP247="Y",ISNUMBER(AO247)),AO247,0)</f>
        <v>15.7626485685828</v>
      </c>
      <c r="AT247" s="7" t="n">
        <f aca="false">IF(AS247&gt;0,AS247*AG247,0)</f>
        <v>16.7968054910082</v>
      </c>
      <c r="AU247" s="7" t="n">
        <f aca="false">IF(AS247&gt;0,AS247*AG247^2,0)</f>
        <v>17.8988114513377</v>
      </c>
      <c r="AV247" s="9" t="n">
        <f aca="false">IF(AS247&gt;0,AS247^2,0)</f>
        <v>248.461089896645</v>
      </c>
      <c r="AW247" s="7" t="n">
        <f aca="false">IF(AS247&gt;0,AG247,0)</f>
        <v>1.06560806820794</v>
      </c>
      <c r="AX247" s="7" t="n">
        <f aca="false">IF(AS247&gt;0,AH247,1)</f>
        <v>0.0634411149654851</v>
      </c>
    </row>
    <row r="248" customFormat="false" ht="15" hidden="false" customHeight="false" outlineLevel="0" collapsed="false">
      <c r="A248" s="5" t="s">
        <v>835</v>
      </c>
      <c r="B248" s="5" t="s">
        <v>819</v>
      </c>
      <c r="C248" s="5" t="s">
        <v>820</v>
      </c>
      <c r="D248" s="5" t="n">
        <v>2025</v>
      </c>
      <c r="E248" s="5" t="s">
        <v>221</v>
      </c>
      <c r="F248" s="5" t="s">
        <v>821</v>
      </c>
      <c r="G248" s="5" t="s">
        <v>822</v>
      </c>
      <c r="H248" s="5" t="s">
        <v>131</v>
      </c>
      <c r="I248" s="5" t="s">
        <v>823</v>
      </c>
      <c r="J248" s="5" t="s">
        <v>76</v>
      </c>
      <c r="K248" s="5" t="s">
        <v>824</v>
      </c>
      <c r="L248" s="5" t="s">
        <v>825</v>
      </c>
      <c r="M248" s="5" t="s">
        <v>826</v>
      </c>
      <c r="N248" s="5" t="s">
        <v>827</v>
      </c>
      <c r="O248" s="5" t="s">
        <v>261</v>
      </c>
      <c r="P248" s="11" t="s">
        <v>113</v>
      </c>
      <c r="Q248" s="11" t="s">
        <v>782</v>
      </c>
      <c r="R248" s="5"/>
      <c r="S248" s="11" t="s">
        <v>836</v>
      </c>
      <c r="T248" s="5" t="s">
        <v>833</v>
      </c>
      <c r="U248" s="11" t="s">
        <v>86</v>
      </c>
      <c r="V248" s="5" t="n">
        <v>36</v>
      </c>
      <c r="W248" s="5" t="n">
        <v>3.94</v>
      </c>
      <c r="X248" s="5" t="n">
        <v>0.76</v>
      </c>
      <c r="Y248" s="5" t="n">
        <v>36</v>
      </c>
      <c r="Z248" s="5" t="n">
        <v>3.4</v>
      </c>
      <c r="AA248" s="5" t="n">
        <v>1.07</v>
      </c>
      <c r="AB248" s="5" t="s">
        <v>99</v>
      </c>
      <c r="AC248" s="5"/>
      <c r="AD248" s="5" t="n">
        <v>1</v>
      </c>
      <c r="AE248" s="7" t="n">
        <f aca="false">IFERROR(IF(AB248="MSD",IF(COUNT(V248,W248,X248,Y248,Z248,AA248)&lt;6,"",(W248-Z248)/SQRT(((V248-1)*X248^2+(Y248-1)*AA248^2)/(V248+Y248-2))*AD248),IF(AB248="t",AC248*SQRT(1/V248+1/Y248)*AD248,IF(AB248="F",SQRT(AC248)*SQRT(1/V248+1/Y248)*AD248,IF(AB248="z",2*(AC248/SQRT(V248+Y248))/SQRT(1-(AC248/SQRT(V248+Y248))^2)*AD248,IF(AB248="t_paired",AC248/SQRT(V248)*AD248,""))))),"")</f>
        <v>0.581874255115595</v>
      </c>
      <c r="AF248" s="7" t="n">
        <f aca="false">IF(AE248="","",IF(AB248="t_paired",1-3/(4*(V248-1)-1),1-3/(4*(V248+Y248)-9)))</f>
        <v>0.989247311827957</v>
      </c>
      <c r="AG248" s="7" t="n">
        <f aca="false">IF(AE248="","",AE248*AF248)</f>
        <v>0.575617542694997</v>
      </c>
      <c r="AH248" s="7" t="n">
        <f aca="false">IF(AG248="","",IF(AB248="t_paired",1/V248+AG248^2/(2*V248),(V248+Y248)/(V248*Y248)+AG248^2/(2*(V248+Y248))))</f>
        <v>0.0578564969129044</v>
      </c>
      <c r="AI248" s="7" t="n">
        <f aca="false">IF(AH248="","",SQRT(AH248))</f>
        <v>0.240533774994083</v>
      </c>
      <c r="AJ248" s="7" t="n">
        <f aca="false">IF(AI248="","",AG248-1.96*AI248)</f>
        <v>0.104171343706593</v>
      </c>
      <c r="AK248" s="7" t="n">
        <f aca="false">IF(AI248="","",AG248+1.96*AI248)</f>
        <v>1.0470637416834</v>
      </c>
      <c r="AL248" s="7" t="n">
        <f aca="false">IF(AI248="","",AG248/AI248)</f>
        <v>2.39308405943887</v>
      </c>
      <c r="AM248" s="8" t="n">
        <f aca="false">IF(AL248="","",2*(1-NORMSDIST(ABS(AL248))))</f>
        <v>0.0167074128376836</v>
      </c>
      <c r="AN248" s="9" t="n">
        <f aca="false">IF(COUNT(V248)=0,"",IF(AB248="t_paired",V248,V248+N(Y248)))</f>
        <v>72</v>
      </c>
      <c r="AO248" s="7" t="n">
        <f aca="false">IF(AH248="","",1/AH248)</f>
        <v>17.2841435855574</v>
      </c>
      <c r="AP248" s="5" t="s">
        <v>88</v>
      </c>
      <c r="AQ248" s="5" t="s">
        <v>89</v>
      </c>
      <c r="AR248" s="5" t="s">
        <v>834</v>
      </c>
      <c r="AS248" s="7" t="n">
        <f aca="false">IF(AND(AP248="Y",ISNUMBER(AO248)),AO248,0)</f>
        <v>17.2841435855574</v>
      </c>
      <c r="AT248" s="7" t="n">
        <f aca="false">IF(AS248&gt;0,AS248*AG248,0)</f>
        <v>9.94905625830607</v>
      </c>
      <c r="AU248" s="7" t="n">
        <f aca="false">IF(AS248&gt;0,AS248*AG248^2,0)</f>
        <v>5.72685131554042</v>
      </c>
      <c r="AV248" s="9" t="n">
        <f aca="false">IF(AS248&gt;0,AS248^2,0)</f>
        <v>298.741619486167</v>
      </c>
      <c r="AW248" s="7" t="n">
        <f aca="false">IF(AS248&gt;0,AG248,0)</f>
        <v>0.575617542694997</v>
      </c>
      <c r="AX248" s="7" t="n">
        <f aca="false">IF(AS248&gt;0,AH248,1)</f>
        <v>0.0578564969129044</v>
      </c>
    </row>
    <row r="249" customFormat="false" ht="15" hidden="false" customHeight="false" outlineLevel="0" collapsed="false">
      <c r="A249" s="5" t="s">
        <v>837</v>
      </c>
      <c r="B249" s="5" t="s">
        <v>819</v>
      </c>
      <c r="C249" s="5" t="s">
        <v>820</v>
      </c>
      <c r="D249" s="5" t="n">
        <v>2025</v>
      </c>
      <c r="E249" s="5" t="s">
        <v>221</v>
      </c>
      <c r="F249" s="5" t="s">
        <v>821</v>
      </c>
      <c r="G249" s="5" t="s">
        <v>822</v>
      </c>
      <c r="H249" s="5" t="s">
        <v>131</v>
      </c>
      <c r="I249" s="5" t="s">
        <v>823</v>
      </c>
      <c r="J249" s="5" t="s">
        <v>76</v>
      </c>
      <c r="K249" s="5" t="s">
        <v>824</v>
      </c>
      <c r="L249" s="5" t="s">
        <v>825</v>
      </c>
      <c r="M249" s="5" t="s">
        <v>826</v>
      </c>
      <c r="N249" s="5" t="s">
        <v>827</v>
      </c>
      <c r="O249" s="5" t="s">
        <v>261</v>
      </c>
      <c r="P249" s="11" t="s">
        <v>113</v>
      </c>
      <c r="Q249" s="11" t="s">
        <v>782</v>
      </c>
      <c r="R249" s="5"/>
      <c r="S249" s="11" t="s">
        <v>838</v>
      </c>
      <c r="T249" s="5" t="s">
        <v>833</v>
      </c>
      <c r="U249" s="11" t="s">
        <v>86</v>
      </c>
      <c r="V249" s="5" t="n">
        <v>36</v>
      </c>
      <c r="W249" s="5" t="n">
        <v>3.64</v>
      </c>
      <c r="X249" s="5" t="n">
        <v>0.53</v>
      </c>
      <c r="Y249" s="5" t="n">
        <v>36</v>
      </c>
      <c r="Z249" s="5" t="n">
        <v>3.14</v>
      </c>
      <c r="AA249" s="5" t="n">
        <v>0.66</v>
      </c>
      <c r="AB249" s="5" t="s">
        <v>99</v>
      </c>
      <c r="AC249" s="5"/>
      <c r="AD249" s="5" t="n">
        <v>1</v>
      </c>
      <c r="AE249" s="7" t="n">
        <f aca="false">IFERROR(IF(AB249="MSD",IF(COUNT(V249,W249,X249,Y249,Z249,AA249)&lt;6,"",(W249-Z249)/SQRT(((V249-1)*X249^2+(Y249-1)*AA249^2)/(V249+Y249-2))*AD249),IF(AB249="t",AC249*SQRT(1/V249+1/Y249)*AD249,IF(AB249="F",SQRT(AC249)*SQRT(1/V249+1/Y249)*AD249,IF(AB249="z",2*(AC249/SQRT(V249+Y249))/SQRT(1-(AC249/SQRT(V249+Y249))^2)*AD249,IF(AB249="t_paired",AC249/SQRT(V249)*AD249,""))))),"")</f>
        <v>0.835366210838544</v>
      </c>
      <c r="AF249" s="7" t="n">
        <f aca="false">IF(AE249="","",IF(AB249="t_paired",1-3/(4*(V249-1)-1),1-3/(4*(V249+Y249)-9)))</f>
        <v>0.989247311827957</v>
      </c>
      <c r="AG249" s="7" t="n">
        <f aca="false">IF(AE249="","",AE249*AF249)</f>
        <v>0.826383778463936</v>
      </c>
      <c r="AH249" s="7" t="n">
        <f aca="false">IF(AG249="","",IF(AB249="t_paired",1/V249+AG249^2/(2*V249),(V249+Y249)/(V249*Y249)+AG249^2/(2*(V249+Y249))))</f>
        <v>0.0602979871479745</v>
      </c>
      <c r="AI249" s="7" t="n">
        <f aca="false">IF(AH249="","",SQRT(AH249))</f>
        <v>0.245556484638412</v>
      </c>
      <c r="AJ249" s="7" t="n">
        <f aca="false">IF(AI249="","",AG249-1.96*AI249)</f>
        <v>0.345093068572649</v>
      </c>
      <c r="AK249" s="7" t="n">
        <f aca="false">IF(AI249="","",AG249+1.96*AI249)</f>
        <v>1.30767448835522</v>
      </c>
      <c r="AL249" s="7" t="n">
        <f aca="false">IF(AI249="","",AG249/AI249)</f>
        <v>3.36535107057265</v>
      </c>
      <c r="AM249" s="8" t="n">
        <f aca="false">IF(AL249="","",2*(1-NORMSDIST(ABS(AL249))))</f>
        <v>0.000764463236246016</v>
      </c>
      <c r="AN249" s="9" t="n">
        <f aca="false">IF(COUNT(V249)=0,"",IF(AB249="t_paired",V249,V249+N(Y249)))</f>
        <v>72</v>
      </c>
      <c r="AO249" s="7" t="n">
        <f aca="false">IF(AH249="","",1/AH249)</f>
        <v>16.5843015214744</v>
      </c>
      <c r="AP249" s="5" t="s">
        <v>88</v>
      </c>
      <c r="AQ249" s="5" t="s">
        <v>89</v>
      </c>
      <c r="AR249" s="5" t="s">
        <v>834</v>
      </c>
      <c r="AS249" s="7" t="n">
        <f aca="false">IF(AND(AP249="Y",ISNUMBER(AO249)),AO249,0)</f>
        <v>16.5843015214744</v>
      </c>
      <c r="AT249" s="7" t="n">
        <f aca="false">IF(AS249&gt;0,AS249*AG249,0)</f>
        <v>13.7049977545013</v>
      </c>
      <c r="AU249" s="7" t="n">
        <f aca="false">IF(AS249&gt;0,AS249*AG249^2,0)</f>
        <v>11.3255878282045</v>
      </c>
      <c r="AV249" s="9" t="n">
        <f aca="false">IF(AS249&gt;0,AS249^2,0)</f>
        <v>275.039056955179</v>
      </c>
      <c r="AW249" s="7" t="n">
        <f aca="false">IF(AS249&gt;0,AG249,0)</f>
        <v>0.826383778463936</v>
      </c>
      <c r="AX249" s="7" t="n">
        <f aca="false">IF(AS249&gt;0,AH249,1)</f>
        <v>0.0602979871479745</v>
      </c>
    </row>
    <row r="250" customFormat="false" ht="15" hidden="false" customHeight="false" outlineLevel="0" collapsed="false">
      <c r="A250" s="5" t="s">
        <v>839</v>
      </c>
      <c r="B250" s="5" t="s">
        <v>819</v>
      </c>
      <c r="C250" s="5" t="s">
        <v>820</v>
      </c>
      <c r="D250" s="5" t="n">
        <v>2025</v>
      </c>
      <c r="E250" s="5" t="s">
        <v>221</v>
      </c>
      <c r="F250" s="5" t="s">
        <v>821</v>
      </c>
      <c r="G250" s="5" t="s">
        <v>822</v>
      </c>
      <c r="H250" s="5" t="s">
        <v>131</v>
      </c>
      <c r="I250" s="5" t="s">
        <v>823</v>
      </c>
      <c r="J250" s="5" t="s">
        <v>76</v>
      </c>
      <c r="K250" s="5" t="s">
        <v>824</v>
      </c>
      <c r="L250" s="5" t="s">
        <v>825</v>
      </c>
      <c r="M250" s="5" t="s">
        <v>826</v>
      </c>
      <c r="N250" s="5" t="s">
        <v>827</v>
      </c>
      <c r="O250" s="5" t="s">
        <v>261</v>
      </c>
      <c r="P250" s="11" t="s">
        <v>113</v>
      </c>
      <c r="Q250" s="11" t="s">
        <v>114</v>
      </c>
      <c r="R250" s="5" t="s">
        <v>125</v>
      </c>
      <c r="S250" s="11" t="s">
        <v>840</v>
      </c>
      <c r="T250" s="5" t="s">
        <v>841</v>
      </c>
      <c r="U250" s="11" t="s">
        <v>86</v>
      </c>
      <c r="V250" s="5" t="n">
        <v>40</v>
      </c>
      <c r="W250" s="5" t="n">
        <v>14.11</v>
      </c>
      <c r="X250" s="5" t="n">
        <v>3.81</v>
      </c>
      <c r="Y250" s="5" t="n">
        <v>40</v>
      </c>
      <c r="Z250" s="5" t="n">
        <v>15.17</v>
      </c>
      <c r="AA250" s="5" t="n">
        <v>3.75</v>
      </c>
      <c r="AB250" s="5" t="s">
        <v>99</v>
      </c>
      <c r="AC250" s="5"/>
      <c r="AD250" s="5" t="n">
        <v>1</v>
      </c>
      <c r="AE250" s="7" t="n">
        <f aca="false">IFERROR(IF(AB250="MSD",IF(COUNT(V250,W250,X250,Y250,Z250,AA250)&lt;6,"",(W250-Z250)/SQRT(((V250-1)*X250^2+(Y250-1)*AA250^2)/(V250+Y250-2))*AD250),IF(AB250="t",AC250*SQRT(1/V250+1/Y250)*AD250,IF(AB250="F",SQRT(AC250)*SQRT(1/V250+1/Y250)*AD250,IF(AB250="z",2*(AC250/SQRT(V250+Y250))/SQRT(1-(AC250/SQRT(V250+Y250))^2)*AD250,IF(AB250="t_paired",AC250/SQRT(V250)*AD250,""))))),"")</f>
        <v>-0.280414449167498</v>
      </c>
      <c r="AF250" s="7" t="n">
        <f aca="false">IF(AE250="","",IF(AB250="t_paired",1-3/(4*(V250-1)-1),1-3/(4*(V250+Y250)-9)))</f>
        <v>0.990353697749196</v>
      </c>
      <c r="AG250" s="7" t="n">
        <f aca="false">IF(AE250="","",AE250*AF250)</f>
        <v>-0.277709486635336</v>
      </c>
      <c r="AH250" s="7" t="n">
        <f aca="false">IF(AG250="","",IF(AB250="t_paired",1/V250+AG250^2/(2*V250),(V250+Y250)/(V250*Y250)+AG250^2/(2*(V250+Y250))))</f>
        <v>0.0504820159935454</v>
      </c>
      <c r="AI250" s="7" t="n">
        <f aca="false">IF(AH250="","",SQRT(AH250))</f>
        <v>0.224682033090199</v>
      </c>
      <c r="AJ250" s="7" t="n">
        <f aca="false">IF(AI250="","",AG250-1.96*AI250)</f>
        <v>-0.718086271492126</v>
      </c>
      <c r="AK250" s="7" t="n">
        <f aca="false">IF(AI250="","",AG250+1.96*AI250)</f>
        <v>0.162667298221455</v>
      </c>
      <c r="AL250" s="7" t="n">
        <f aca="false">IF(AI250="","",AG250/AI250)</f>
        <v>-1.23601109895533</v>
      </c>
      <c r="AM250" s="8" t="n">
        <f aca="false">IF(AL250="","",2*(1-NORMSDIST(ABS(AL250))))</f>
        <v>0.21645443809396</v>
      </c>
      <c r="AN250" s="9" t="n">
        <f aca="false">IF(COUNT(V250)=0,"",IF(AB250="t_paired",V250,V250+N(Y250)))</f>
        <v>80</v>
      </c>
      <c r="AO250" s="7" t="n">
        <f aca="false">IF(AH250="","",1/AH250)</f>
        <v>19.8090345704074</v>
      </c>
      <c r="AP250" s="5" t="s">
        <v>88</v>
      </c>
      <c r="AQ250" s="5" t="s">
        <v>89</v>
      </c>
      <c r="AR250" s="5" t="s">
        <v>842</v>
      </c>
      <c r="AS250" s="7" t="n">
        <f aca="false">IF(AND(AP250="Y",ISNUMBER(AO250)),AO250,0)</f>
        <v>19.8090345704074</v>
      </c>
      <c r="AT250" s="7" t="n">
        <f aca="false">IF(AS250&gt;0,AS250*AG250,0)</f>
        <v>-5.50115682128946</v>
      </c>
      <c r="AU250" s="7" t="n">
        <f aca="false">IF(AS250&gt;0,AS250*AG250^2,0)</f>
        <v>1.52772343674077</v>
      </c>
      <c r="AV250" s="9" t="n">
        <f aca="false">IF(AS250&gt;0,AS250^2,0)</f>
        <v>392.397850611596</v>
      </c>
      <c r="AW250" s="7" t="n">
        <f aca="false">IF(AS250&gt;0,AG250,0)</f>
        <v>-0.277709486635336</v>
      </c>
      <c r="AX250" s="7" t="n">
        <f aca="false">IF(AS250&gt;0,AH250,1)</f>
        <v>0.0504820159935454</v>
      </c>
    </row>
    <row r="251" customFormat="false" ht="15" hidden="false" customHeight="false" outlineLevel="0" collapsed="false">
      <c r="A251" s="5" t="s">
        <v>843</v>
      </c>
      <c r="B251" s="5" t="s">
        <v>819</v>
      </c>
      <c r="C251" s="5" t="s">
        <v>820</v>
      </c>
      <c r="D251" s="5" t="n">
        <v>2025</v>
      </c>
      <c r="E251" s="5" t="s">
        <v>221</v>
      </c>
      <c r="F251" s="5" t="s">
        <v>821</v>
      </c>
      <c r="G251" s="5" t="s">
        <v>822</v>
      </c>
      <c r="H251" s="5" t="s">
        <v>131</v>
      </c>
      <c r="I251" s="5" t="s">
        <v>823</v>
      </c>
      <c r="J251" s="5" t="s">
        <v>76</v>
      </c>
      <c r="K251" s="5" t="s">
        <v>824</v>
      </c>
      <c r="L251" s="5" t="s">
        <v>825</v>
      </c>
      <c r="M251" s="5" t="s">
        <v>826</v>
      </c>
      <c r="N251" s="5" t="s">
        <v>827</v>
      </c>
      <c r="O251" s="5" t="s">
        <v>261</v>
      </c>
      <c r="P251" s="11" t="s">
        <v>113</v>
      </c>
      <c r="Q251" s="11" t="s">
        <v>114</v>
      </c>
      <c r="R251" s="5" t="s">
        <v>115</v>
      </c>
      <c r="S251" s="11" t="s">
        <v>844</v>
      </c>
      <c r="T251" s="5" t="s">
        <v>845</v>
      </c>
      <c r="U251" s="11" t="s">
        <v>86</v>
      </c>
      <c r="V251" s="5" t="n">
        <v>40</v>
      </c>
      <c r="W251" s="5" t="n">
        <v>6.63</v>
      </c>
      <c r="X251" s="5" t="n">
        <v>3.79</v>
      </c>
      <c r="Y251" s="5" t="n">
        <v>40</v>
      </c>
      <c r="Z251" s="5" t="n">
        <v>6.06</v>
      </c>
      <c r="AA251" s="5" t="n">
        <v>3.79</v>
      </c>
      <c r="AB251" s="5" t="s">
        <v>99</v>
      </c>
      <c r="AC251" s="5"/>
      <c r="AD251" s="5" t="n">
        <v>1</v>
      </c>
      <c r="AE251" s="7" t="n">
        <f aca="false">IFERROR(IF(AB251="MSD",IF(COUNT(V251,W251,X251,Y251,Z251,AA251)&lt;6,"",(W251-Z251)/SQRT(((V251-1)*X251^2+(Y251-1)*AA251^2)/(V251+Y251-2))*AD251),IF(AB251="t",AC251*SQRT(1/V251+1/Y251)*AD251,IF(AB251="F",SQRT(AC251)*SQRT(1/V251+1/Y251)*AD251,IF(AB251="z",2*(AC251/SQRT(V251+Y251))/SQRT(1-(AC251/SQRT(V251+Y251))^2)*AD251,IF(AB251="t_paired",AC251/SQRT(V251)*AD251,""))))),"")</f>
        <v>0.150395778364116</v>
      </c>
      <c r="AF251" s="7" t="n">
        <f aca="false">IF(AE251="","",IF(AB251="t_paired",1-3/(4*(V251-1)-1),1-3/(4*(V251+Y251)-9)))</f>
        <v>0.990353697749196</v>
      </c>
      <c r="AG251" s="7" t="n">
        <f aca="false">IF(AE251="","",AE251*AF251)</f>
        <v>0.148945015228771</v>
      </c>
      <c r="AH251" s="7" t="n">
        <f aca="false">IF(AG251="","",IF(AB251="t_paired",1/V251+AG251^2/(2*V251),(V251+Y251)/(V251*Y251)+AG251^2/(2*(V251+Y251))))</f>
        <v>0.0501386538597594</v>
      </c>
      <c r="AI251" s="7" t="n">
        <f aca="false">IF(AH251="","",SQRT(AH251))</f>
        <v>0.223916622562416</v>
      </c>
      <c r="AJ251" s="7" t="n">
        <f aca="false">IF(AI251="","",AG251-1.96*AI251)</f>
        <v>-0.289931564993564</v>
      </c>
      <c r="AK251" s="7" t="n">
        <f aca="false">IF(AI251="","",AG251+1.96*AI251)</f>
        <v>0.587821595451106</v>
      </c>
      <c r="AL251" s="7" t="n">
        <f aca="false">IF(AI251="","",AG251/AI251)</f>
        <v>0.665180697727134</v>
      </c>
      <c r="AM251" s="8" t="n">
        <f aca="false">IF(AL251="","",2*(1-NORMSDIST(ABS(AL251))))</f>
        <v>0.50593492477707</v>
      </c>
      <c r="AN251" s="9" t="n">
        <f aca="false">IF(COUNT(V251)=0,"",IF(AB251="t_paired",V251,V251+N(Y251)))</f>
        <v>80</v>
      </c>
      <c r="AO251" s="7" t="n">
        <f aca="false">IF(AH251="","",1/AH251)</f>
        <v>19.9446918299214</v>
      </c>
      <c r="AP251" s="5" t="s">
        <v>88</v>
      </c>
      <c r="AQ251" s="5" t="s">
        <v>89</v>
      </c>
      <c r="AR251" s="5" t="s">
        <v>842</v>
      </c>
      <c r="AS251" s="7" t="n">
        <f aca="false">IF(AND(AP251="Y",ISNUMBER(AO251)),AO251,0)</f>
        <v>19.9446918299214</v>
      </c>
      <c r="AT251" s="7" t="n">
        <f aca="false">IF(AS251&gt;0,AS251*AG251,0)</f>
        <v>2.97066242834079</v>
      </c>
      <c r="AU251" s="7" t="n">
        <f aca="false">IF(AS251&gt;0,AS251*AG251^2,0)</f>
        <v>0.442465360628756</v>
      </c>
      <c r="AV251" s="9" t="n">
        <f aca="false">IF(AS251&gt;0,AS251^2,0)</f>
        <v>397.790732190534</v>
      </c>
      <c r="AW251" s="7" t="n">
        <f aca="false">IF(AS251&gt;0,AG251,0)</f>
        <v>0.148945015228771</v>
      </c>
      <c r="AX251" s="7" t="n">
        <f aca="false">IF(AS251&gt;0,AH251,1)</f>
        <v>0.0501386538597594</v>
      </c>
    </row>
    <row r="252" customFormat="false" ht="15" hidden="false" customHeight="false" outlineLevel="0" collapsed="false">
      <c r="A252" s="5" t="s">
        <v>846</v>
      </c>
      <c r="B252" s="5" t="s">
        <v>819</v>
      </c>
      <c r="C252" s="5" t="s">
        <v>820</v>
      </c>
      <c r="D252" s="5" t="n">
        <v>2025</v>
      </c>
      <c r="E252" s="5" t="s">
        <v>221</v>
      </c>
      <c r="F252" s="5" t="s">
        <v>821</v>
      </c>
      <c r="G252" s="5" t="s">
        <v>822</v>
      </c>
      <c r="H252" s="5" t="s">
        <v>131</v>
      </c>
      <c r="I252" s="5" t="s">
        <v>823</v>
      </c>
      <c r="J252" s="5" t="s">
        <v>76</v>
      </c>
      <c r="K252" s="5" t="s">
        <v>824</v>
      </c>
      <c r="L252" s="5" t="s">
        <v>825</v>
      </c>
      <c r="M252" s="5" t="s">
        <v>826</v>
      </c>
      <c r="N252" s="5" t="s">
        <v>827</v>
      </c>
      <c r="O252" s="5" t="s">
        <v>261</v>
      </c>
      <c r="P252" s="11" t="s">
        <v>113</v>
      </c>
      <c r="Q252" s="11" t="s">
        <v>114</v>
      </c>
      <c r="R252" s="5" t="s">
        <v>115</v>
      </c>
      <c r="S252" s="11" t="s">
        <v>847</v>
      </c>
      <c r="T252" s="5" t="s">
        <v>848</v>
      </c>
      <c r="U252" s="11" t="s">
        <v>86</v>
      </c>
      <c r="V252" s="5" t="n">
        <v>40</v>
      </c>
      <c r="W252" s="5" t="n">
        <v>8.13</v>
      </c>
      <c r="X252" s="5" t="n">
        <v>3.75</v>
      </c>
      <c r="Y252" s="5" t="n">
        <v>40</v>
      </c>
      <c r="Z252" s="5" t="n">
        <v>7.64</v>
      </c>
      <c r="AA252" s="5" t="n">
        <v>3.74</v>
      </c>
      <c r="AB252" s="5" t="s">
        <v>99</v>
      </c>
      <c r="AC252" s="5"/>
      <c r="AD252" s="5" t="n">
        <v>1</v>
      </c>
      <c r="AE252" s="7" t="n">
        <f aca="false">IFERROR(IF(AB252="MSD",IF(COUNT(V252,W252,X252,Y252,Z252,AA252)&lt;6,"",(W252-Z252)/SQRT(((V252-1)*X252^2+(Y252-1)*AA252^2)/(V252+Y252-2))*AD252),IF(AB252="t",AC252*SQRT(1/V252+1/Y252)*AD252,IF(AB252="F",SQRT(AC252)*SQRT(1/V252+1/Y252)*AD252,IF(AB252="z",2*(AC252/SQRT(V252+Y252))/SQRT(1-(AC252/SQRT(V252+Y252))^2)*AD252,IF(AB252="t_paired",AC252/SQRT(V252)*AD252,""))))),"")</f>
        <v>0.130841004881501</v>
      </c>
      <c r="AF252" s="7" t="n">
        <f aca="false">IF(AE252="","",IF(AB252="t_paired",1-3/(4*(V252-1)-1),1-3/(4*(V252+Y252)-9)))</f>
        <v>0.990353697749196</v>
      </c>
      <c r="AG252" s="7" t="n">
        <f aca="false">IF(AE252="","",AE252*AF252)</f>
        <v>0.129578873001615</v>
      </c>
      <c r="AH252" s="7" t="n">
        <f aca="false">IF(AG252="","",IF(AB252="t_paired",1/V252+AG252^2/(2*V252),(V252+Y252)/(V252*Y252)+AG252^2/(2*(V252+Y252))))</f>
        <v>0.0501049417770523</v>
      </c>
      <c r="AI252" s="7" t="n">
        <f aca="false">IF(AH252="","",SQRT(AH252))</f>
        <v>0.223841331699604</v>
      </c>
      <c r="AJ252" s="7" t="n">
        <f aca="false">IF(AI252="","",AG252-1.96*AI252)</f>
        <v>-0.30915013712961</v>
      </c>
      <c r="AK252" s="7" t="n">
        <f aca="false">IF(AI252="","",AG252+1.96*AI252)</f>
        <v>0.56830788313284</v>
      </c>
      <c r="AL252" s="7" t="n">
        <f aca="false">IF(AI252="","",AG252/AI252)</f>
        <v>0.578887160908738</v>
      </c>
      <c r="AM252" s="8" t="n">
        <f aca="false">IF(AL252="","",2*(1-NORMSDIST(ABS(AL252))))</f>
        <v>0.562665313927857</v>
      </c>
      <c r="AN252" s="9" t="n">
        <f aca="false">IF(COUNT(V252)=0,"",IF(AB252="t_paired",V252,V252+N(Y252)))</f>
        <v>80</v>
      </c>
      <c r="AO252" s="7" t="n">
        <f aca="false">IF(AH252="","",1/AH252)</f>
        <v>19.9581112068669</v>
      </c>
      <c r="AP252" s="5" t="s">
        <v>88</v>
      </c>
      <c r="AQ252" s="5" t="s">
        <v>89</v>
      </c>
      <c r="AR252" s="5" t="s">
        <v>842</v>
      </c>
      <c r="AS252" s="7" t="n">
        <f aca="false">IF(AND(AP252="Y",ISNUMBER(AO252)),AO252,0)</f>
        <v>19.9581112068669</v>
      </c>
      <c r="AT252" s="7" t="n">
        <f aca="false">IF(AS252&gt;0,AS252*AG252,0)</f>
        <v>2.58614955742671</v>
      </c>
      <c r="AU252" s="7" t="n">
        <f aca="false">IF(AS252&gt;0,AS252*AG252^2,0)</f>
        <v>0.335110345064979</v>
      </c>
      <c r="AV252" s="9" t="n">
        <f aca="false">IF(AS252&gt;0,AS252^2,0)</f>
        <v>398.326202945665</v>
      </c>
      <c r="AW252" s="7" t="n">
        <f aca="false">IF(AS252&gt;0,AG252,0)</f>
        <v>0.129578873001615</v>
      </c>
      <c r="AX252" s="7" t="n">
        <f aca="false">IF(AS252&gt;0,AH252,1)</f>
        <v>0.0501049417770523</v>
      </c>
    </row>
    <row r="253" customFormat="false" ht="15" hidden="false" customHeight="false" outlineLevel="0" collapsed="false">
      <c r="A253" s="5" t="s">
        <v>849</v>
      </c>
      <c r="B253" s="5" t="s">
        <v>850</v>
      </c>
      <c r="C253" s="5" t="s">
        <v>851</v>
      </c>
      <c r="D253" s="5" t="n">
        <v>2025</v>
      </c>
      <c r="E253" s="5" t="s">
        <v>553</v>
      </c>
      <c r="F253" s="5" t="s">
        <v>72</v>
      </c>
      <c r="G253" s="5" t="s">
        <v>187</v>
      </c>
      <c r="H253" s="5" t="s">
        <v>131</v>
      </c>
      <c r="I253" s="5" t="s">
        <v>188</v>
      </c>
      <c r="J253" s="5" t="s">
        <v>76</v>
      </c>
      <c r="K253" s="5" t="s">
        <v>163</v>
      </c>
      <c r="L253" s="5" t="s">
        <v>164</v>
      </c>
      <c r="M253" s="5"/>
      <c r="N253" s="5" t="n">
        <v>60</v>
      </c>
      <c r="O253" s="5" t="s">
        <v>81</v>
      </c>
      <c r="P253" s="10" t="s">
        <v>82</v>
      </c>
      <c r="Q253" s="10" t="s">
        <v>191</v>
      </c>
      <c r="R253" s="5"/>
      <c r="S253" s="10" t="s">
        <v>356</v>
      </c>
      <c r="T253" s="5" t="s">
        <v>852</v>
      </c>
      <c r="U253" s="10" t="s">
        <v>98</v>
      </c>
      <c r="V253" s="5" t="n">
        <v>57</v>
      </c>
      <c r="W253" s="5" t="n">
        <v>2.54</v>
      </c>
      <c r="X253" s="5" t="n">
        <v>1.15</v>
      </c>
      <c r="Y253" s="5" t="n">
        <v>57</v>
      </c>
      <c r="Z253" s="5" t="n">
        <v>2.33</v>
      </c>
      <c r="AA253" s="5" t="n">
        <v>1.37</v>
      </c>
      <c r="AB253" s="5" t="s">
        <v>99</v>
      </c>
      <c r="AC253" s="5"/>
      <c r="AD253" s="5" t="n">
        <v>1</v>
      </c>
      <c r="AE253" s="7" t="n">
        <f aca="false">IFERROR(IF(AB253="MSD",IF(COUNT(V253,W253,X253,Y253,Z253,AA253)&lt;6,"",(W253-Z253)/SQRT(((V253-1)*X253^2+(Y253-1)*AA253^2)/(V253+Y253-2))*AD253),IF(AB253="t",AC253*SQRT(1/V253+1/Y253)*AD253,IF(AB253="F",SQRT(AC253)*SQRT(1/V253+1/Y253)*AD253,IF(AB253="z",2*(AC253/SQRT(V253+Y253))/SQRT(1-(AC253/SQRT(V253+Y253))^2)*AD253,IF(AB253="t_paired",AC253/SQRT(V253)*AD253,""))))),"")</f>
        <v>0.166035143683275</v>
      </c>
      <c r="AF253" s="7" t="n">
        <f aca="false">IF(AE253="","",IF(AB253="t_paired",1-3/(4*(V253-1)-1),1-3/(4*(V253+Y253)-9)))</f>
        <v>0.993288590604027</v>
      </c>
      <c r="AG253" s="7" t="n">
        <f aca="false">IF(AE253="","",AE253*AF253)</f>
        <v>0.164920813859898</v>
      </c>
      <c r="AH253" s="7" t="n">
        <f aca="false">IF(AG253="","",IF(AB253="t_paired",1/V253+AG253^2/(2*V253),(V253+Y253)/(V253*Y253)+AG253^2/(2*(V253+Y253))))</f>
        <v>0.0352070126089658</v>
      </c>
      <c r="AI253" s="7" t="n">
        <f aca="false">IF(AH253="","",SQRT(AH253))</f>
        <v>0.18763531812792</v>
      </c>
      <c r="AJ253" s="7" t="n">
        <f aca="false">IF(AI253="","",AG253-1.96*AI253)</f>
        <v>-0.202844409670826</v>
      </c>
      <c r="AK253" s="7" t="n">
        <f aca="false">IF(AI253="","",AG253+1.96*AI253)</f>
        <v>0.532686037390621</v>
      </c>
      <c r="AL253" s="7" t="n">
        <f aca="false">IF(AI253="","",AG253/AI253)</f>
        <v>0.878943343424626</v>
      </c>
      <c r="AM253" s="8" t="n">
        <f aca="false">IF(AL253="","",2*(1-NORMSDIST(ABS(AL253))))</f>
        <v>0.379431996057784</v>
      </c>
      <c r="AN253" s="9" t="n">
        <f aca="false">IF(COUNT(V253)=0,"",IF(AB253="t_paired",V253,V253+N(Y253)))</f>
        <v>114</v>
      </c>
      <c r="AO253" s="7" t="n">
        <f aca="false">IF(AH253="","",1/AH253)</f>
        <v>28.4034323248812</v>
      </c>
      <c r="AP253" s="5" t="s">
        <v>100</v>
      </c>
      <c r="AQ253" s="5" t="s">
        <v>167</v>
      </c>
      <c r="AR253" s="5"/>
      <c r="AS253" s="9" t="n">
        <f aca="false">IF(AND(AP253="Y",ISNUMBER(AO253)),AO253,0)</f>
        <v>0</v>
      </c>
      <c r="AT253" s="7" t="n">
        <f aca="false">IF(AS253&gt;0,AS253*AG253,0)</f>
        <v>0</v>
      </c>
      <c r="AU253" s="7" t="n">
        <f aca="false">IF(AS253&gt;0,AS253*AG253^2,0)</f>
        <v>0</v>
      </c>
      <c r="AV253" s="9" t="n">
        <f aca="false">IF(AS253&gt;0,AS253^2,0)</f>
        <v>0</v>
      </c>
      <c r="AW253" s="7" t="n">
        <f aca="false">IF(AS253&gt;0,AG253,0)</f>
        <v>0</v>
      </c>
      <c r="AX253" s="7" t="n">
        <f aca="false">IF(AS253&gt;0,AH253,1)</f>
        <v>1</v>
      </c>
    </row>
    <row r="254" customFormat="false" ht="15" hidden="false" customHeight="false" outlineLevel="0" collapsed="false">
      <c r="A254" s="5" t="s">
        <v>853</v>
      </c>
      <c r="B254" s="5" t="s">
        <v>850</v>
      </c>
      <c r="C254" s="5" t="s">
        <v>851</v>
      </c>
      <c r="D254" s="5" t="n">
        <v>2025</v>
      </c>
      <c r="E254" s="5" t="s">
        <v>553</v>
      </c>
      <c r="F254" s="5" t="s">
        <v>72</v>
      </c>
      <c r="G254" s="5" t="s">
        <v>187</v>
      </c>
      <c r="H254" s="5" t="s">
        <v>131</v>
      </c>
      <c r="I254" s="5" t="s">
        <v>188</v>
      </c>
      <c r="J254" s="5" t="s">
        <v>76</v>
      </c>
      <c r="K254" s="5" t="s">
        <v>163</v>
      </c>
      <c r="L254" s="5" t="s">
        <v>164</v>
      </c>
      <c r="M254" s="5"/>
      <c r="N254" s="5" t="n">
        <v>60</v>
      </c>
      <c r="O254" s="5" t="s">
        <v>81</v>
      </c>
      <c r="P254" s="6" t="s">
        <v>82</v>
      </c>
      <c r="Q254" s="6" t="s">
        <v>191</v>
      </c>
      <c r="R254" s="5"/>
      <c r="S254" s="6" t="s">
        <v>356</v>
      </c>
      <c r="T254" s="5" t="s">
        <v>852</v>
      </c>
      <c r="U254" s="6" t="s">
        <v>86</v>
      </c>
      <c r="V254" s="5" t="n">
        <v>57</v>
      </c>
      <c r="W254" s="5" t="n">
        <v>1.69</v>
      </c>
      <c r="X254" s="5" t="n">
        <v>1.25</v>
      </c>
      <c r="Y254" s="5" t="n">
        <v>57</v>
      </c>
      <c r="Z254" s="5" t="n">
        <v>1.37</v>
      </c>
      <c r="AA254" s="5" t="n">
        <v>1.24</v>
      </c>
      <c r="AB254" s="5" t="s">
        <v>99</v>
      </c>
      <c r="AC254" s="5"/>
      <c r="AD254" s="5" t="n">
        <v>1</v>
      </c>
      <c r="AE254" s="7" t="n">
        <f aca="false">IFERROR(IF(AB254="MSD",IF(COUNT(V254,W254,X254,Y254,Z254,AA254)&lt;6,"",(W254-Z254)/SQRT(((V254-1)*X254^2+(Y254-1)*AA254^2)/(V254+Y254-2))*AD254),IF(AB254="t",AC254*SQRT(1/V254+1/Y254)*AD254,IF(AB254="F",SQRT(AC254)*SQRT(1/V254+1/Y254)*AD254,IF(AB254="z",2*(AC254/SQRT(V254+Y254))/SQRT(1-(AC254/SQRT(V254+Y254))^2)*AD254,IF(AB254="t_paired",AC254/SQRT(V254)*AD254,""))))),"")</f>
        <v>0.257026039700946</v>
      </c>
      <c r="AF254" s="7" t="n">
        <f aca="false">IF(AE254="","",IF(AB254="t_paired",1-3/(4*(V254-1)-1),1-3/(4*(V254+Y254)-9)))</f>
        <v>0.993288590604027</v>
      </c>
      <c r="AG254" s="7" t="n">
        <f aca="false">IF(AE254="","",AE254*AF254)</f>
        <v>0.255301032723087</v>
      </c>
      <c r="AH254" s="7" t="n">
        <f aca="false">IF(AG254="","",IF(AB254="t_paired",1/V254+AG254^2/(2*V254),(V254+Y254)/(V254*Y254)+AG254^2/(2*(V254+Y254))))</f>
        <v>0.0353735904267959</v>
      </c>
      <c r="AI254" s="7" t="n">
        <f aca="false">IF(AH254="","",SQRT(AH254))</f>
        <v>0.188078681478779</v>
      </c>
      <c r="AJ254" s="7" t="n">
        <f aca="false">IF(AI254="","",AG254-1.96*AI254)</f>
        <v>-0.11333318297532</v>
      </c>
      <c r="AK254" s="7" t="n">
        <f aca="false">IF(AI254="","",AG254+1.96*AI254)</f>
        <v>0.623935248421493</v>
      </c>
      <c r="AL254" s="7" t="n">
        <f aca="false">IF(AI254="","",AG254/AI254)</f>
        <v>1.35741611285111</v>
      </c>
      <c r="AM254" s="8" t="n">
        <f aca="false">IF(AL254="","",2*(1-NORMSDIST(ABS(AL254))))</f>
        <v>0.174649031352783</v>
      </c>
      <c r="AN254" s="9" t="n">
        <f aca="false">IF(COUNT(V254)=0,"",IF(AB254="t_paired",V254,V254+N(Y254)))</f>
        <v>114</v>
      </c>
      <c r="AO254" s="7" t="n">
        <f aca="false">IF(AH254="","",1/AH254)</f>
        <v>28.2696776870715</v>
      </c>
      <c r="AP254" s="5" t="s">
        <v>88</v>
      </c>
      <c r="AQ254" s="5" t="s">
        <v>167</v>
      </c>
      <c r="AR254" s="5"/>
      <c r="AS254" s="7" t="n">
        <f aca="false">IF(AND(AP254="Y",ISNUMBER(AO254)),AO254,0)</f>
        <v>28.2696776870715</v>
      </c>
      <c r="AT254" s="7" t="n">
        <f aca="false">IF(AS254&gt;0,AS254*AG254,0)</f>
        <v>7.21727790825817</v>
      </c>
      <c r="AU254" s="7" t="n">
        <f aca="false">IF(AS254&gt;0,AS254*AG254^2,0)</f>
        <v>1.84257850342783</v>
      </c>
      <c r="AV254" s="9" t="n">
        <f aca="false">IF(AS254&gt;0,AS254^2,0)</f>
        <v>799.174676530909</v>
      </c>
      <c r="AW254" s="7" t="n">
        <f aca="false">IF(AS254&gt;0,AG254,0)</f>
        <v>0.255301032723087</v>
      </c>
      <c r="AX254" s="7" t="n">
        <f aca="false">IF(AS254&gt;0,AH254,1)</f>
        <v>0.0353735904267959</v>
      </c>
    </row>
    <row r="255" customFormat="false" ht="15" hidden="false" customHeight="false" outlineLevel="0" collapsed="false">
      <c r="A255" s="5" t="s">
        <v>854</v>
      </c>
      <c r="B255" s="5" t="s">
        <v>850</v>
      </c>
      <c r="C255" s="5" t="s">
        <v>851</v>
      </c>
      <c r="D255" s="5" t="n">
        <v>2025</v>
      </c>
      <c r="E255" s="5" t="s">
        <v>553</v>
      </c>
      <c r="F255" s="5" t="s">
        <v>72</v>
      </c>
      <c r="G255" s="5" t="s">
        <v>187</v>
      </c>
      <c r="H255" s="5" t="s">
        <v>131</v>
      </c>
      <c r="I255" s="5" t="s">
        <v>188</v>
      </c>
      <c r="J255" s="5" t="s">
        <v>76</v>
      </c>
      <c r="K255" s="5" t="s">
        <v>163</v>
      </c>
      <c r="L255" s="5" t="s">
        <v>164</v>
      </c>
      <c r="M255" s="5"/>
      <c r="N255" s="5" t="n">
        <v>60</v>
      </c>
      <c r="O255" s="5" t="s">
        <v>81</v>
      </c>
      <c r="P255" s="10" t="s">
        <v>113</v>
      </c>
      <c r="Q255" s="10" t="s">
        <v>114</v>
      </c>
      <c r="R255" s="5" t="s">
        <v>125</v>
      </c>
      <c r="S255" s="10" t="s">
        <v>226</v>
      </c>
      <c r="T255" s="5" t="s">
        <v>217</v>
      </c>
      <c r="U255" s="10" t="s">
        <v>98</v>
      </c>
      <c r="V255" s="5" t="n">
        <v>57</v>
      </c>
      <c r="W255" s="5" t="n">
        <v>3.39</v>
      </c>
      <c r="X255" s="5" t="n">
        <v>1.39</v>
      </c>
      <c r="Y255" s="5" t="n">
        <v>57</v>
      </c>
      <c r="Z255" s="5" t="n">
        <v>3.46</v>
      </c>
      <c r="AA255" s="5" t="n">
        <v>1.35</v>
      </c>
      <c r="AB255" s="5" t="s">
        <v>99</v>
      </c>
      <c r="AC255" s="5"/>
      <c r="AD255" s="5" t="n">
        <v>1</v>
      </c>
      <c r="AE255" s="7" t="n">
        <f aca="false">IFERROR(IF(AB255="MSD",IF(COUNT(V255,W255,X255,Y255,Z255,AA255)&lt;6,"",(W255-Z255)/SQRT(((V255-1)*X255^2+(Y255-1)*AA255^2)/(V255+Y255-2))*AD255),IF(AB255="t",AC255*SQRT(1/V255+1/Y255)*AD255,IF(AB255="F",SQRT(AC255)*SQRT(1/V255+1/Y255)*AD255,IF(AB255="z",2*(AC255/SQRT(V255+Y255))/SQRT(1-(AC255/SQRT(V255+Y255))^2)*AD255,IF(AB255="t_paired",AC255/SQRT(V255)*AD255,""))))),"")</f>
        <v>-0.0510894467765938</v>
      </c>
      <c r="AF255" s="7" t="n">
        <f aca="false">IF(AE255="","",IF(AB255="t_paired",1-3/(4*(V255-1)-1),1-3/(4*(V255+Y255)-9)))</f>
        <v>0.993288590604027</v>
      </c>
      <c r="AG255" s="7" t="n">
        <f aca="false">IF(AE255="","",AE255*AF255)</f>
        <v>-0.0507465645834623</v>
      </c>
      <c r="AH255" s="7" t="n">
        <f aca="false">IF(AG255="","",IF(AB255="t_paired",1/V255+AG255^2/(2*V255),(V255+Y255)/(V255*Y255)+AG255^2/(2*(V255+Y255))))</f>
        <v>0.0350990140956887</v>
      </c>
      <c r="AI255" s="7" t="n">
        <f aca="false">IF(AH255="","",SQRT(AH255))</f>
        <v>0.187347308749522</v>
      </c>
      <c r="AJ255" s="7" t="n">
        <f aca="false">IF(AI255="","",AG255-1.96*AI255)</f>
        <v>-0.417947289732525</v>
      </c>
      <c r="AK255" s="7" t="n">
        <f aca="false">IF(AI255="","",AG255+1.96*AI255)</f>
        <v>0.316454160565601</v>
      </c>
      <c r="AL255" s="7" t="n">
        <f aca="false">IF(AI255="","",AG255/AI255)</f>
        <v>-0.270868927459796</v>
      </c>
      <c r="AM255" s="8" t="n">
        <f aca="false">IF(AL255="","",2*(1-NORMSDIST(ABS(AL255))))</f>
        <v>0.786491844200686</v>
      </c>
      <c r="AN255" s="9" t="n">
        <f aca="false">IF(COUNT(V255)=0,"",IF(AB255="t_paired",V255,V255+N(Y255)))</f>
        <v>114</v>
      </c>
      <c r="AO255" s="7" t="n">
        <f aca="false">IF(AH255="","",1/AH255)</f>
        <v>28.4908287530171</v>
      </c>
      <c r="AP255" s="5" t="s">
        <v>100</v>
      </c>
      <c r="AQ255" s="5" t="s">
        <v>227</v>
      </c>
      <c r="AR255" s="5"/>
      <c r="AS255" s="9" t="n">
        <f aca="false">IF(AND(AP255="Y",ISNUMBER(AO255)),AO255,0)</f>
        <v>0</v>
      </c>
      <c r="AT255" s="7" t="n">
        <f aca="false">IF(AS255&gt;0,AS255*AG255,0)</f>
        <v>0</v>
      </c>
      <c r="AU255" s="7" t="n">
        <f aca="false">IF(AS255&gt;0,AS255*AG255^2,0)</f>
        <v>0</v>
      </c>
      <c r="AV255" s="9" t="n">
        <f aca="false">IF(AS255&gt;0,AS255^2,0)</f>
        <v>0</v>
      </c>
      <c r="AW255" s="7" t="n">
        <f aca="false">IF(AS255&gt;0,AG255,0)</f>
        <v>0</v>
      </c>
      <c r="AX255" s="7" t="n">
        <f aca="false">IF(AS255&gt;0,AH255,1)</f>
        <v>1</v>
      </c>
    </row>
    <row r="256" customFormat="false" ht="15" hidden="false" customHeight="false" outlineLevel="0" collapsed="false">
      <c r="A256" s="5" t="s">
        <v>855</v>
      </c>
      <c r="B256" s="5" t="s">
        <v>850</v>
      </c>
      <c r="C256" s="5" t="s">
        <v>851</v>
      </c>
      <c r="D256" s="5" t="n">
        <v>2025</v>
      </c>
      <c r="E256" s="5" t="s">
        <v>553</v>
      </c>
      <c r="F256" s="5" t="s">
        <v>72</v>
      </c>
      <c r="G256" s="5" t="s">
        <v>187</v>
      </c>
      <c r="H256" s="5" t="s">
        <v>131</v>
      </c>
      <c r="I256" s="5" t="s">
        <v>188</v>
      </c>
      <c r="J256" s="5" t="s">
        <v>76</v>
      </c>
      <c r="K256" s="5" t="s">
        <v>163</v>
      </c>
      <c r="L256" s="5" t="s">
        <v>164</v>
      </c>
      <c r="M256" s="5"/>
      <c r="N256" s="5" t="n">
        <v>60</v>
      </c>
      <c r="O256" s="5" t="s">
        <v>81</v>
      </c>
      <c r="P256" s="11" t="s">
        <v>113</v>
      </c>
      <c r="Q256" s="11" t="s">
        <v>114</v>
      </c>
      <c r="R256" s="5" t="s">
        <v>125</v>
      </c>
      <c r="S256" s="11" t="s">
        <v>226</v>
      </c>
      <c r="T256" s="5" t="s">
        <v>217</v>
      </c>
      <c r="U256" s="11" t="s">
        <v>86</v>
      </c>
      <c r="V256" s="5" t="n">
        <v>57</v>
      </c>
      <c r="W256" s="5" t="n">
        <v>3.58</v>
      </c>
      <c r="X256" s="5" t="n">
        <v>1.38</v>
      </c>
      <c r="Y256" s="5" t="n">
        <v>57</v>
      </c>
      <c r="Z256" s="5" t="n">
        <v>3.44</v>
      </c>
      <c r="AA256" s="5" t="n">
        <v>1.4</v>
      </c>
      <c r="AB256" s="5" t="s">
        <v>99</v>
      </c>
      <c r="AC256" s="5"/>
      <c r="AD256" s="5" t="n">
        <v>1</v>
      </c>
      <c r="AE256" s="7" t="n">
        <f aca="false">IFERROR(IF(AB256="MSD",IF(COUNT(V256,W256,X256,Y256,Z256,AA256)&lt;6,"",(W256-Z256)/SQRT(((V256-1)*X256^2+(Y256-1)*AA256^2)/(V256+Y256-2))*AD256),IF(AB256="t",AC256*SQRT(1/V256+1/Y256)*AD256,IF(AB256="F",SQRT(AC256)*SQRT(1/V256+1/Y256)*AD256,IF(AB256="z",2*(AC256/SQRT(V256+Y256))/SQRT(1-(AC256/SQRT(V256+Y256))^2)*AD256,IF(AB256="t_paired",AC256/SQRT(V256)*AD256,""))))),"")</f>
        <v>0.100716818086152</v>
      </c>
      <c r="AF256" s="7" t="n">
        <f aca="false">IF(AE256="","",IF(AB256="t_paired",1-3/(4*(V256-1)-1),1-3/(4*(V256+Y256)-9)))</f>
        <v>0.993288590604027</v>
      </c>
      <c r="AG256" s="7" t="n">
        <f aca="false">IF(AE256="","",AE256*AF256)</f>
        <v>0.100040866286916</v>
      </c>
      <c r="AH256" s="7" t="n">
        <f aca="false">IF(AG256="","",IF(AB256="t_paired",1/V256+AG256^2/(2*V256),(V256+Y256)/(V256*Y256)+AG256^2/(2*(V256+Y256))))</f>
        <v>0.0351316148023133</v>
      </c>
      <c r="AI256" s="7" t="n">
        <f aca="false">IF(AH256="","",SQRT(AH256))</f>
        <v>0.187434294626979</v>
      </c>
      <c r="AJ256" s="7" t="n">
        <f aca="false">IF(AI256="","",AG256-1.96*AI256)</f>
        <v>-0.267330351181963</v>
      </c>
      <c r="AK256" s="7" t="n">
        <f aca="false">IF(AI256="","",AG256+1.96*AI256)</f>
        <v>0.467412083755796</v>
      </c>
      <c r="AL256" s="7" t="n">
        <f aca="false">IF(AI256="","",AG256/AI256)</f>
        <v>0.53373832406717</v>
      </c>
      <c r="AM256" s="8" t="n">
        <f aca="false">IF(AL256="","",2*(1-NORMSDIST(ABS(AL256))))</f>
        <v>0.593522590244304</v>
      </c>
      <c r="AN256" s="9" t="n">
        <f aca="false">IF(COUNT(V256)=0,"",IF(AB256="t_paired",V256,V256+N(Y256)))</f>
        <v>114</v>
      </c>
      <c r="AO256" s="7" t="n">
        <f aca="false">IF(AH256="","",1/AH256)</f>
        <v>28.4643904251777</v>
      </c>
      <c r="AP256" s="5" t="s">
        <v>88</v>
      </c>
      <c r="AQ256" s="5" t="s">
        <v>227</v>
      </c>
      <c r="AR256" s="5"/>
      <c r="AS256" s="7" t="n">
        <f aca="false">IF(AND(AP256="Y",ISNUMBER(AO256)),AO256,0)</f>
        <v>28.4643904251777</v>
      </c>
      <c r="AT256" s="7" t="n">
        <f aca="false">IF(AS256&gt;0,AS256*AG256,0)</f>
        <v>2.84760227646378</v>
      </c>
      <c r="AU256" s="7" t="n">
        <f aca="false">IF(AS256&gt;0,AS256*AG256^2,0)</f>
        <v>0.284876598578031</v>
      </c>
      <c r="AV256" s="9" t="n">
        <f aca="false">IF(AS256&gt;0,AS256^2,0)</f>
        <v>810.221522276951</v>
      </c>
      <c r="AW256" s="7" t="n">
        <f aca="false">IF(AS256&gt;0,AG256,0)</f>
        <v>0.100040866286916</v>
      </c>
      <c r="AX256" s="7" t="n">
        <f aca="false">IF(AS256&gt;0,AH256,1)</f>
        <v>0.0351316148023133</v>
      </c>
    </row>
    <row r="257" customFormat="false" ht="15" hidden="false" customHeight="false" outlineLevel="0" collapsed="false">
      <c r="A257" s="5" t="s">
        <v>856</v>
      </c>
      <c r="B257" s="5" t="s">
        <v>850</v>
      </c>
      <c r="C257" s="5" t="s">
        <v>851</v>
      </c>
      <c r="D257" s="5" t="n">
        <v>2025</v>
      </c>
      <c r="E257" s="5" t="s">
        <v>553</v>
      </c>
      <c r="F257" s="5" t="s">
        <v>72</v>
      </c>
      <c r="G257" s="5" t="s">
        <v>187</v>
      </c>
      <c r="H257" s="5" t="s">
        <v>131</v>
      </c>
      <c r="I257" s="5" t="s">
        <v>188</v>
      </c>
      <c r="J257" s="5" t="s">
        <v>76</v>
      </c>
      <c r="K257" s="5" t="s">
        <v>163</v>
      </c>
      <c r="L257" s="5" t="s">
        <v>164</v>
      </c>
      <c r="M257" s="5"/>
      <c r="N257" s="5" t="n">
        <v>60</v>
      </c>
      <c r="O257" s="5" t="s">
        <v>81</v>
      </c>
      <c r="P257" s="10" t="s">
        <v>113</v>
      </c>
      <c r="Q257" s="10" t="s">
        <v>114</v>
      </c>
      <c r="R257" s="5" t="s">
        <v>125</v>
      </c>
      <c r="S257" s="10" t="s">
        <v>235</v>
      </c>
      <c r="T257" s="5" t="s">
        <v>217</v>
      </c>
      <c r="U257" s="10" t="s">
        <v>98</v>
      </c>
      <c r="V257" s="5" t="n">
        <v>57</v>
      </c>
      <c r="W257" s="5" t="n">
        <v>3.32</v>
      </c>
      <c r="X257" s="5" t="n">
        <v>1.29</v>
      </c>
      <c r="Y257" s="5" t="n">
        <v>57</v>
      </c>
      <c r="Z257" s="5" t="n">
        <v>2.84</v>
      </c>
      <c r="AA257" s="5" t="n">
        <v>1.24</v>
      </c>
      <c r="AB257" s="5" t="s">
        <v>99</v>
      </c>
      <c r="AC257" s="5"/>
      <c r="AD257" s="5" t="n">
        <v>1</v>
      </c>
      <c r="AE257" s="7" t="n">
        <f aca="false">IFERROR(IF(AB257="MSD",IF(COUNT(V257,W257,X257,Y257,Z257,AA257)&lt;6,"",(W257-Z257)/SQRT(((V257-1)*X257^2+(Y257-1)*AA257^2)/(V257+Y257-2))*AD257),IF(AB257="t",AC257*SQRT(1/V257+1/Y257)*AD257,IF(AB257="F",SQRT(AC257)*SQRT(1/V257+1/Y257)*AD257,IF(AB257="z",2*(AC257/SQRT(V257+Y257))/SQRT(1-(AC257/SQRT(V257+Y257))^2)*AD257,IF(AB257="t_paired",AC257/SQRT(V257)*AD257,""))))),"")</f>
        <v>0.37937256176356</v>
      </c>
      <c r="AF257" s="7" t="n">
        <f aca="false">IF(AE257="","",IF(AB257="t_paired",1-3/(4*(V257-1)-1),1-3/(4*(V257+Y257)-9)))</f>
        <v>0.993288590604027</v>
      </c>
      <c r="AG257" s="7" t="n">
        <f aca="false">IF(AE257="","",AE257*AF257)</f>
        <v>0.376826437187966</v>
      </c>
      <c r="AH257" s="7" t="n">
        <f aca="false">IF(AG257="","",IF(AB257="t_paired",1/V257+AG257^2/(2*V257),(V257+Y257)/(V257*Y257)+AG257^2/(2*(V257+Y257))))</f>
        <v>0.0357105182621218</v>
      </c>
      <c r="AI257" s="7" t="n">
        <f aca="false">IF(AH257="","",SQRT(AH257))</f>
        <v>0.188972268500227</v>
      </c>
      <c r="AJ257" s="7" t="n">
        <f aca="false">IF(AI257="","",AG257-1.96*AI257)</f>
        <v>0.00644079092752103</v>
      </c>
      <c r="AK257" s="7" t="n">
        <f aca="false">IF(AI257="","",AG257+1.96*AI257)</f>
        <v>0.74721208344841</v>
      </c>
      <c r="AL257" s="7" t="n">
        <f aca="false">IF(AI257="","",AG257/AI257)</f>
        <v>1.99408325982769</v>
      </c>
      <c r="AM257" s="8" t="n">
        <f aca="false">IF(AL257="","",2*(1-NORMSDIST(ABS(AL257))))</f>
        <v>0.0461429563430948</v>
      </c>
      <c r="AN257" s="9" t="n">
        <f aca="false">IF(COUNT(V257)=0,"",IF(AB257="t_paired",V257,V257+N(Y257)))</f>
        <v>114</v>
      </c>
      <c r="AO257" s="7" t="n">
        <f aca="false">IF(AH257="","",1/AH257)</f>
        <v>28.0029539941094</v>
      </c>
      <c r="AP257" s="5" t="s">
        <v>100</v>
      </c>
      <c r="AQ257" s="5" t="s">
        <v>227</v>
      </c>
      <c r="AR257" s="5"/>
      <c r="AS257" s="9" t="n">
        <f aca="false">IF(AND(AP257="Y",ISNUMBER(AO257)),AO257,0)</f>
        <v>0</v>
      </c>
      <c r="AT257" s="7" t="n">
        <f aca="false">IF(AS257&gt;0,AS257*AG257,0)</f>
        <v>0</v>
      </c>
      <c r="AU257" s="7" t="n">
        <f aca="false">IF(AS257&gt;0,AS257*AG257^2,0)</f>
        <v>0</v>
      </c>
      <c r="AV257" s="9" t="n">
        <f aca="false">IF(AS257&gt;0,AS257^2,0)</f>
        <v>0</v>
      </c>
      <c r="AW257" s="7" t="n">
        <f aca="false">IF(AS257&gt;0,AG257,0)</f>
        <v>0</v>
      </c>
      <c r="AX257" s="7" t="n">
        <f aca="false">IF(AS257&gt;0,AH257,1)</f>
        <v>1</v>
      </c>
    </row>
    <row r="258" customFormat="false" ht="15" hidden="false" customHeight="false" outlineLevel="0" collapsed="false">
      <c r="A258" s="5" t="s">
        <v>857</v>
      </c>
      <c r="B258" s="5" t="s">
        <v>850</v>
      </c>
      <c r="C258" s="5" t="s">
        <v>851</v>
      </c>
      <c r="D258" s="5" t="n">
        <v>2025</v>
      </c>
      <c r="E258" s="5" t="s">
        <v>553</v>
      </c>
      <c r="F258" s="5" t="s">
        <v>72</v>
      </c>
      <c r="G258" s="5" t="s">
        <v>187</v>
      </c>
      <c r="H258" s="5" t="s">
        <v>131</v>
      </c>
      <c r="I258" s="5" t="s">
        <v>188</v>
      </c>
      <c r="J258" s="5" t="s">
        <v>76</v>
      </c>
      <c r="K258" s="5" t="s">
        <v>163</v>
      </c>
      <c r="L258" s="5" t="s">
        <v>164</v>
      </c>
      <c r="M258" s="5"/>
      <c r="N258" s="5" t="n">
        <v>60</v>
      </c>
      <c r="O258" s="5" t="s">
        <v>81</v>
      </c>
      <c r="P258" s="11" t="s">
        <v>113</v>
      </c>
      <c r="Q258" s="11" t="s">
        <v>114</v>
      </c>
      <c r="R258" s="5" t="s">
        <v>125</v>
      </c>
      <c r="S258" s="11" t="s">
        <v>235</v>
      </c>
      <c r="T258" s="5" t="s">
        <v>217</v>
      </c>
      <c r="U258" s="11" t="s">
        <v>86</v>
      </c>
      <c r="V258" s="5" t="n">
        <v>57</v>
      </c>
      <c r="W258" s="5" t="n">
        <v>3.78</v>
      </c>
      <c r="X258" s="5" t="n">
        <v>1.03</v>
      </c>
      <c r="Y258" s="5" t="n">
        <v>57</v>
      </c>
      <c r="Z258" s="5" t="n">
        <v>3.25</v>
      </c>
      <c r="AA258" s="5" t="n">
        <v>1.13</v>
      </c>
      <c r="AB258" s="5" t="s">
        <v>99</v>
      </c>
      <c r="AC258" s="5"/>
      <c r="AD258" s="5" t="n">
        <v>1</v>
      </c>
      <c r="AE258" s="7" t="n">
        <f aca="false">IFERROR(IF(AB258="MSD",IF(COUNT(V258,W258,X258,Y258,Z258,AA258)&lt;6,"",(W258-Z258)/SQRT(((V258-1)*X258^2+(Y258-1)*AA258^2)/(V258+Y258-2))*AD258),IF(AB258="t",AC258*SQRT(1/V258+1/Y258)*AD258,IF(AB258="F",SQRT(AC258)*SQRT(1/V258+1/Y258)*AD258,IF(AB258="z",2*(AC258/SQRT(V258+Y258))/SQRT(1-(AC258/SQRT(V258+Y258))^2)*AD258,IF(AB258="t_paired",AC258/SQRT(V258)*AD258,""))))),"")</f>
        <v>0.490215670785822</v>
      </c>
      <c r="AF258" s="7" t="n">
        <f aca="false">IF(AE258="","",IF(AB258="t_paired",1-3/(4*(V258-1)-1),1-3/(4*(V258+Y258)-9)))</f>
        <v>0.993288590604027</v>
      </c>
      <c r="AG258" s="7" t="n">
        <f aca="false">IF(AE258="","",AE258*AF258)</f>
        <v>0.486925632726857</v>
      </c>
      <c r="AH258" s="7" t="n">
        <f aca="false">IF(AG258="","",IF(AB258="t_paired",1/V258+AG258^2/(2*V258),(V258+Y258)/(V258*Y258)+AG258^2/(2*(V258+Y258))))</f>
        <v>0.0361276165430107</v>
      </c>
      <c r="AI258" s="7" t="n">
        <f aca="false">IF(AH258="","",SQRT(AH258))</f>
        <v>0.190072661219363</v>
      </c>
      <c r="AJ258" s="7" t="n">
        <f aca="false">IF(AI258="","",AG258-1.96*AI258)</f>
        <v>0.114383216736905</v>
      </c>
      <c r="AK258" s="7" t="n">
        <f aca="false">IF(AI258="","",AG258+1.96*AI258)</f>
        <v>0.859468048716808</v>
      </c>
      <c r="AL258" s="7" t="n">
        <f aca="false">IF(AI258="","",AG258/AI258)</f>
        <v>2.56178679039431</v>
      </c>
      <c r="AM258" s="8" t="n">
        <f aca="false">IF(AL258="","",2*(1-NORMSDIST(ABS(AL258))))</f>
        <v>0.0104135224964583</v>
      </c>
      <c r="AN258" s="9" t="n">
        <f aca="false">IF(COUNT(V258)=0,"",IF(AB258="t_paired",V258,V258+N(Y258)))</f>
        <v>114</v>
      </c>
      <c r="AO258" s="7" t="n">
        <f aca="false">IF(AH258="","",1/AH258)</f>
        <v>27.6796560550702</v>
      </c>
      <c r="AP258" s="5" t="s">
        <v>88</v>
      </c>
      <c r="AQ258" s="5" t="s">
        <v>227</v>
      </c>
      <c r="AR258" s="5"/>
      <c r="AS258" s="7" t="n">
        <f aca="false">IF(AND(AP258="Y",ISNUMBER(AO258)),AO258,0)</f>
        <v>27.6796560550702</v>
      </c>
      <c r="AT258" s="7" t="n">
        <f aca="false">IF(AS258&gt;0,AS258*AG258,0)</f>
        <v>13.4779340382768</v>
      </c>
      <c r="AU258" s="7" t="n">
        <f aca="false">IF(AS258&gt;0,AS258*AG258^2,0)</f>
        <v>6.56275155943878</v>
      </c>
      <c r="AV258" s="9" t="n">
        <f aca="false">IF(AS258&gt;0,AS258^2,0)</f>
        <v>766.163359326982</v>
      </c>
      <c r="AW258" s="7" t="n">
        <f aca="false">IF(AS258&gt;0,AG258,0)</f>
        <v>0.486925632726857</v>
      </c>
      <c r="AX258" s="7" t="n">
        <f aca="false">IF(AS258&gt;0,AH258,1)</f>
        <v>0.0361276165430107</v>
      </c>
    </row>
    <row r="259" customFormat="false" ht="15" hidden="false" customHeight="false" outlineLevel="0" collapsed="false">
      <c r="A259" s="5" t="s">
        <v>858</v>
      </c>
      <c r="B259" s="5" t="s">
        <v>859</v>
      </c>
      <c r="C259" s="5" t="s">
        <v>860</v>
      </c>
      <c r="D259" s="5" t="n">
        <v>2016</v>
      </c>
      <c r="E259" s="5" t="s">
        <v>652</v>
      </c>
      <c r="F259" s="5" t="s">
        <v>199</v>
      </c>
      <c r="G259" s="5" t="s">
        <v>160</v>
      </c>
      <c r="H259" s="5" t="s">
        <v>162</v>
      </c>
      <c r="I259" s="5"/>
      <c r="J259" s="5" t="s">
        <v>162</v>
      </c>
      <c r="K259" s="5" t="s">
        <v>163</v>
      </c>
      <c r="L259" s="5" t="s">
        <v>164</v>
      </c>
      <c r="M259" s="5"/>
      <c r="N259" s="5"/>
      <c r="O259" s="5" t="s">
        <v>162</v>
      </c>
      <c r="P259" s="10" t="s">
        <v>82</v>
      </c>
      <c r="Q259" s="10" t="s">
        <v>103</v>
      </c>
      <c r="R259" s="5"/>
      <c r="S259" s="10" t="s">
        <v>861</v>
      </c>
      <c r="T259" s="5"/>
      <c r="U259" s="10" t="s">
        <v>98</v>
      </c>
      <c r="V259" s="5" t="n">
        <v>32</v>
      </c>
      <c r="W259" s="5" t="n">
        <v>10.45</v>
      </c>
      <c r="X259" s="5" t="n">
        <v>4.06</v>
      </c>
      <c r="Y259" s="5" t="n">
        <v>32</v>
      </c>
      <c r="Z259" s="5" t="n">
        <v>10.94</v>
      </c>
      <c r="AA259" s="5" t="n">
        <v>5.41</v>
      </c>
      <c r="AB259" s="5" t="s">
        <v>99</v>
      </c>
      <c r="AC259" s="5"/>
      <c r="AD259" s="5" t="n">
        <v>1</v>
      </c>
      <c r="AE259" s="7" t="n">
        <f aca="false">IFERROR(IF(AB259="MSD",IF(COUNT(V259,W259,X259,Y259,Z259,AA259)&lt;6,"",(W259-Z259)/SQRT(((V259-1)*X259^2+(Y259-1)*AA259^2)/(V259+Y259-2))*AD259),IF(AB259="t",AC259*SQRT(1/V259+1/Y259)*AD259,IF(AB259="F",SQRT(AC259)*SQRT(1/V259+1/Y259)*AD259,IF(AB259="z",2*(AC259/SQRT(V259+Y259))/SQRT(1-(AC259/SQRT(V259+Y259))^2)*AD259,IF(AB259="t_paired",AC259/SQRT(V259)*AD259,""))))),"")</f>
        <v>-0.1024489377987</v>
      </c>
      <c r="AF259" s="7" t="n">
        <f aca="false">IF(AE259="","",IF(AB259="t_paired",1-3/(4*(V259-1)-1),1-3/(4*(V259+Y259)-9)))</f>
        <v>0.987854251012146</v>
      </c>
      <c r="AG259" s="7" t="n">
        <f aca="false">IF(AE259="","",AE259*AF259)</f>
        <v>-0.101204618716125</v>
      </c>
      <c r="AH259" s="7" t="n">
        <f aca="false">IF(AG259="","",IF(AB259="t_paired",1/V259+AG259^2/(2*V259),(V259+Y259)/(V259*Y259)+AG259^2/(2*(V259+Y259))))</f>
        <v>0.0625800185535115</v>
      </c>
      <c r="AI259" s="7" t="n">
        <f aca="false">IF(AH259="","",SQRT(AH259))</f>
        <v>0.250159985916036</v>
      </c>
      <c r="AJ259" s="7" t="n">
        <f aca="false">IF(AI259="","",AG259-1.96*AI259)</f>
        <v>-0.591518191111556</v>
      </c>
      <c r="AK259" s="7" t="n">
        <f aca="false">IF(AI259="","",AG259+1.96*AI259)</f>
        <v>0.389108953679307</v>
      </c>
      <c r="AL259" s="7" t="n">
        <f aca="false">IF(AI259="","",AG259/AI259)</f>
        <v>-0.404559579524812</v>
      </c>
      <c r="AM259" s="8" t="n">
        <f aca="false">IF(AL259="","",2*(1-NORMSDIST(ABS(AL259))))</f>
        <v>0.685801275056138</v>
      </c>
      <c r="AN259" s="9" t="n">
        <f aca="false">IF(COUNT(V259)=0,"",IF(AB259="t_paired",V259,V259+N(Y259)))</f>
        <v>64</v>
      </c>
      <c r="AO259" s="7" t="n">
        <f aca="false">IF(AH259="","",1/AH259)</f>
        <v>15.9795414433268</v>
      </c>
      <c r="AP259" s="5" t="s">
        <v>100</v>
      </c>
      <c r="AQ259" s="5" t="s">
        <v>210</v>
      </c>
      <c r="AR259" s="5"/>
      <c r="AS259" s="9" t="n">
        <f aca="false">IF(AND(AP259="Y",ISNUMBER(AO259)),AO259,0)</f>
        <v>0</v>
      </c>
      <c r="AT259" s="7" t="n">
        <f aca="false">IF(AS259&gt;0,AS259*AG259,0)</f>
        <v>0</v>
      </c>
      <c r="AU259" s="7" t="n">
        <f aca="false">IF(AS259&gt;0,AS259*AG259^2,0)</f>
        <v>0</v>
      </c>
      <c r="AV259" s="9" t="n">
        <f aca="false">IF(AS259&gt;0,AS259^2,0)</f>
        <v>0</v>
      </c>
      <c r="AW259" s="7" t="n">
        <f aca="false">IF(AS259&gt;0,AG259,0)</f>
        <v>0</v>
      </c>
      <c r="AX259" s="7" t="n">
        <f aca="false">IF(AS259&gt;0,AH259,1)</f>
        <v>1</v>
      </c>
    </row>
    <row r="260" customFormat="false" ht="15" hidden="false" customHeight="false" outlineLevel="0" collapsed="false">
      <c r="A260" s="5" t="s">
        <v>862</v>
      </c>
      <c r="B260" s="5" t="s">
        <v>859</v>
      </c>
      <c r="C260" s="5" t="s">
        <v>860</v>
      </c>
      <c r="D260" s="5" t="n">
        <v>2016</v>
      </c>
      <c r="E260" s="5" t="s">
        <v>652</v>
      </c>
      <c r="F260" s="5" t="s">
        <v>199</v>
      </c>
      <c r="G260" s="5" t="s">
        <v>160</v>
      </c>
      <c r="H260" s="5" t="s">
        <v>162</v>
      </c>
      <c r="I260" s="5"/>
      <c r="J260" s="5" t="s">
        <v>162</v>
      </c>
      <c r="K260" s="5" t="s">
        <v>163</v>
      </c>
      <c r="L260" s="5" t="s">
        <v>164</v>
      </c>
      <c r="M260" s="5"/>
      <c r="N260" s="5"/>
      <c r="O260" s="5" t="s">
        <v>162</v>
      </c>
      <c r="P260" s="6" t="s">
        <v>82</v>
      </c>
      <c r="Q260" s="6" t="s">
        <v>103</v>
      </c>
      <c r="R260" s="5"/>
      <c r="S260" s="6" t="s">
        <v>861</v>
      </c>
      <c r="T260" s="5"/>
      <c r="U260" s="6" t="s">
        <v>86</v>
      </c>
      <c r="V260" s="5" t="n">
        <v>32</v>
      </c>
      <c r="W260" s="5" t="n">
        <v>14.01</v>
      </c>
      <c r="X260" s="5" t="n">
        <v>3.68</v>
      </c>
      <c r="Y260" s="5" t="n">
        <v>32</v>
      </c>
      <c r="Z260" s="5" t="n">
        <v>10.13</v>
      </c>
      <c r="AA260" s="5" t="n">
        <v>4.48</v>
      </c>
      <c r="AB260" s="5" t="s">
        <v>99</v>
      </c>
      <c r="AC260" s="5"/>
      <c r="AD260" s="5" t="n">
        <v>1</v>
      </c>
      <c r="AE260" s="7" t="n">
        <f aca="false">IFERROR(IF(AB260="MSD",IF(COUNT(V260,W260,X260,Y260,Z260,AA260)&lt;6,"",(W260-Z260)/SQRT(((V260-1)*X260^2+(Y260-1)*AA260^2)/(V260+Y260-2))*AD260),IF(AB260="t",AC260*SQRT(1/V260+1/Y260)*AD260,IF(AB260="F",SQRT(AC260)*SQRT(1/V260+1/Y260)*AD260,IF(AB260="z",2*(AC260/SQRT(V260+Y260))/SQRT(1-(AC260/SQRT(V260+Y260))^2)*AD260,IF(AB260="t_paired",AC260/SQRT(V260)*AD260,""))))),"")</f>
        <v>0.946442813104294</v>
      </c>
      <c r="AF260" s="7" t="n">
        <f aca="false">IF(AE260="","",IF(AB260="t_paired",1-3/(4*(V260-1)-1),1-3/(4*(V260+Y260)-9)))</f>
        <v>0.987854251012146</v>
      </c>
      <c r="AG260" s="7" t="n">
        <f aca="false">IF(AE260="","",AE260*AF260)</f>
        <v>0.934947556264971</v>
      </c>
      <c r="AH260" s="7" t="n">
        <f aca="false">IF(AG260="","",IF(AB260="t_paired",1/V260+AG260^2/(2*V260),(V260+Y260)/(V260*Y260)+AG260^2/(2*(V260+Y260))))</f>
        <v>0.0693291166637956</v>
      </c>
      <c r="AI260" s="7" t="n">
        <f aca="false">IF(AH260="","",SQRT(AH260))</f>
        <v>0.263304228343936</v>
      </c>
      <c r="AJ260" s="7" t="n">
        <f aca="false">IF(AI260="","",AG260-1.96*AI260)</f>
        <v>0.418871268710856</v>
      </c>
      <c r="AK260" s="7" t="n">
        <f aca="false">IF(AI260="","",AG260+1.96*AI260)</f>
        <v>1.45102384381909</v>
      </c>
      <c r="AL260" s="7" t="n">
        <f aca="false">IF(AI260="","",AG260/AI260)</f>
        <v>3.55082621401626</v>
      </c>
      <c r="AM260" s="8" t="n">
        <f aca="false">IF(AL260="","",2*(1-NORMSDIST(ABS(AL260))))</f>
        <v>0.000384023899875574</v>
      </c>
      <c r="AN260" s="9" t="n">
        <f aca="false">IF(COUNT(V260)=0,"",IF(AB260="t_paired",V260,V260+N(Y260)))</f>
        <v>64</v>
      </c>
      <c r="AO260" s="7" t="n">
        <f aca="false">IF(AH260="","",1/AH260)</f>
        <v>14.4239541497319</v>
      </c>
      <c r="AP260" s="5" t="s">
        <v>88</v>
      </c>
      <c r="AQ260" s="5" t="s">
        <v>210</v>
      </c>
      <c r="AR260" s="5"/>
      <c r="AS260" s="7" t="n">
        <f aca="false">IF(AND(AP260="Y",ISNUMBER(AO260)),AO260,0)</f>
        <v>14.4239541497319</v>
      </c>
      <c r="AT260" s="7" t="n">
        <f aca="false">IF(AS260&gt;0,AS260*AG260,0)</f>
        <v>13.4856406839698</v>
      </c>
      <c r="AU260" s="7" t="n">
        <f aca="false">IF(AS260&gt;0,AS260*AG260^2,0)</f>
        <v>12.608366802145</v>
      </c>
      <c r="AV260" s="9" t="n">
        <f aca="false">IF(AS260&gt;0,AS260^2,0)</f>
        <v>208.050453313567</v>
      </c>
      <c r="AW260" s="7" t="n">
        <f aca="false">IF(AS260&gt;0,AG260,0)</f>
        <v>0.934947556264971</v>
      </c>
      <c r="AX260" s="7" t="n">
        <f aca="false">IF(AS260&gt;0,AH260,1)</f>
        <v>0.0693291166637956</v>
      </c>
    </row>
    <row r="261" customFormat="false" ht="15" hidden="false" customHeight="false" outlineLevel="0" collapsed="false">
      <c r="A261" s="5" t="s">
        <v>863</v>
      </c>
      <c r="B261" s="5" t="s">
        <v>859</v>
      </c>
      <c r="C261" s="5" t="s">
        <v>860</v>
      </c>
      <c r="D261" s="5" t="n">
        <v>2016</v>
      </c>
      <c r="E261" s="5" t="s">
        <v>652</v>
      </c>
      <c r="F261" s="5" t="s">
        <v>199</v>
      </c>
      <c r="G261" s="5" t="s">
        <v>160</v>
      </c>
      <c r="H261" s="5" t="s">
        <v>162</v>
      </c>
      <c r="I261" s="5"/>
      <c r="J261" s="5" t="s">
        <v>162</v>
      </c>
      <c r="K261" s="5" t="s">
        <v>163</v>
      </c>
      <c r="L261" s="5" t="s">
        <v>164</v>
      </c>
      <c r="M261" s="5"/>
      <c r="N261" s="5"/>
      <c r="O261" s="5" t="s">
        <v>162</v>
      </c>
      <c r="P261" s="10" t="s">
        <v>82</v>
      </c>
      <c r="Q261" s="10" t="s">
        <v>103</v>
      </c>
      <c r="R261" s="5"/>
      <c r="S261" s="10" t="s">
        <v>864</v>
      </c>
      <c r="T261" s="5"/>
      <c r="U261" s="10" t="s">
        <v>98</v>
      </c>
      <c r="V261" s="5" t="n">
        <v>32</v>
      </c>
      <c r="W261" s="5" t="n">
        <v>10.65</v>
      </c>
      <c r="X261" s="5" t="n">
        <v>3.84</v>
      </c>
      <c r="Y261" s="5" t="n">
        <v>32</v>
      </c>
      <c r="Z261" s="5" t="n">
        <v>10.94</v>
      </c>
      <c r="AA261" s="5" t="n">
        <v>5.41</v>
      </c>
      <c r="AB261" s="5" t="s">
        <v>99</v>
      </c>
      <c r="AC261" s="5"/>
      <c r="AD261" s="5" t="n">
        <v>1</v>
      </c>
      <c r="AE261" s="7" t="n">
        <f aca="false">IFERROR(IF(AB261="MSD",IF(COUNT(V261,W261,X261,Y261,Z261,AA261)&lt;6,"",(W261-Z261)/SQRT(((V261-1)*X261^2+(Y261-1)*AA261^2)/(V261+Y261-2))*AD261),IF(AB261="t",AC261*SQRT(1/V261+1/Y261)*AD261,IF(AB261="F",SQRT(AC261)*SQRT(1/V261+1/Y261)*AD261,IF(AB261="z",2*(AC261/SQRT(V261+Y261))/SQRT(1-(AC261/SQRT(V261+Y261))^2)*AD261,IF(AB261="t_paired",AC261/SQRT(V261)*AD261,""))))),"")</f>
        <v>-0.0618185844625269</v>
      </c>
      <c r="AF261" s="7" t="n">
        <f aca="false">IF(AE261="","",IF(AB261="t_paired",1-3/(4*(V261-1)-1),1-3/(4*(V261+Y261)-9)))</f>
        <v>0.987854251012146</v>
      </c>
      <c r="AG261" s="7" t="n">
        <f aca="false">IF(AE261="","",AE261*AF261)</f>
        <v>-0.0610677514528606</v>
      </c>
      <c r="AH261" s="7" t="n">
        <f aca="false">IF(AG261="","",IF(AB261="t_paired",1/V261+AG261^2/(2*V261),(V261+Y261)/(V261*Y261)+AG261^2/(2*(V261+Y261))))</f>
        <v>0.0625291349239649</v>
      </c>
      <c r="AI261" s="7" t="n">
        <f aca="false">IF(AH261="","",SQRT(AH261))</f>
        <v>0.250058263058762</v>
      </c>
      <c r="AJ261" s="7" t="n">
        <f aca="false">IF(AI261="","",AG261-1.96*AI261)</f>
        <v>-0.551181947048034</v>
      </c>
      <c r="AK261" s="7" t="n">
        <f aca="false">IF(AI261="","",AG261+1.96*AI261)</f>
        <v>0.429046444142312</v>
      </c>
      <c r="AL261" s="7" t="n">
        <f aca="false">IF(AI261="","",AG261/AI261)</f>
        <v>-0.244214091171665</v>
      </c>
      <c r="AM261" s="8" t="n">
        <f aca="false">IF(AL261="","",2*(1-NORMSDIST(ABS(AL261))))</f>
        <v>0.807065014241427</v>
      </c>
      <c r="AN261" s="9" t="n">
        <f aca="false">IF(COUNT(V261)=0,"",IF(AB261="t_paired",V261,V261+N(Y261)))</f>
        <v>64</v>
      </c>
      <c r="AO261" s="7" t="n">
        <f aca="false">IF(AH261="","",1/AH261)</f>
        <v>15.9925449347092</v>
      </c>
      <c r="AP261" s="5" t="s">
        <v>100</v>
      </c>
      <c r="AQ261" s="5" t="s">
        <v>210</v>
      </c>
      <c r="AR261" s="5"/>
      <c r="AS261" s="9" t="n">
        <f aca="false">IF(AND(AP261="Y",ISNUMBER(AO261)),AO261,0)</f>
        <v>0</v>
      </c>
      <c r="AT261" s="7" t="n">
        <f aca="false">IF(AS261&gt;0,AS261*AG261,0)</f>
        <v>0</v>
      </c>
      <c r="AU261" s="7" t="n">
        <f aca="false">IF(AS261&gt;0,AS261*AG261^2,0)</f>
        <v>0</v>
      </c>
      <c r="AV261" s="9" t="n">
        <f aca="false">IF(AS261&gt;0,AS261^2,0)</f>
        <v>0</v>
      </c>
      <c r="AW261" s="7" t="n">
        <f aca="false">IF(AS261&gt;0,AG261,0)</f>
        <v>0</v>
      </c>
      <c r="AX261" s="7" t="n">
        <f aca="false">IF(AS261&gt;0,AH261,1)</f>
        <v>1</v>
      </c>
    </row>
    <row r="262" customFormat="false" ht="15" hidden="false" customHeight="false" outlineLevel="0" collapsed="false">
      <c r="A262" s="5" t="s">
        <v>865</v>
      </c>
      <c r="B262" s="5" t="s">
        <v>859</v>
      </c>
      <c r="C262" s="5" t="s">
        <v>860</v>
      </c>
      <c r="D262" s="5" t="n">
        <v>2016</v>
      </c>
      <c r="E262" s="5" t="s">
        <v>652</v>
      </c>
      <c r="F262" s="5" t="s">
        <v>199</v>
      </c>
      <c r="G262" s="5" t="s">
        <v>160</v>
      </c>
      <c r="H262" s="5" t="s">
        <v>162</v>
      </c>
      <c r="I262" s="5"/>
      <c r="J262" s="5" t="s">
        <v>162</v>
      </c>
      <c r="K262" s="5" t="s">
        <v>163</v>
      </c>
      <c r="L262" s="5" t="s">
        <v>164</v>
      </c>
      <c r="M262" s="5"/>
      <c r="N262" s="5"/>
      <c r="O262" s="5" t="s">
        <v>162</v>
      </c>
      <c r="P262" s="6" t="s">
        <v>82</v>
      </c>
      <c r="Q262" s="6" t="s">
        <v>103</v>
      </c>
      <c r="R262" s="5"/>
      <c r="S262" s="6" t="s">
        <v>864</v>
      </c>
      <c r="T262" s="5"/>
      <c r="U262" s="6" t="s">
        <v>86</v>
      </c>
      <c r="V262" s="5" t="n">
        <v>32</v>
      </c>
      <c r="W262" s="5" t="n">
        <v>11.95</v>
      </c>
      <c r="X262" s="5" t="n">
        <v>3.99</v>
      </c>
      <c r="Y262" s="5" t="n">
        <v>32</v>
      </c>
      <c r="Z262" s="5" t="n">
        <v>10.13</v>
      </c>
      <c r="AA262" s="5" t="n">
        <v>4.48</v>
      </c>
      <c r="AB262" s="5" t="s">
        <v>99</v>
      </c>
      <c r="AC262" s="5"/>
      <c r="AD262" s="5" t="n">
        <v>1</v>
      </c>
      <c r="AE262" s="7" t="n">
        <f aca="false">IFERROR(IF(AB262="MSD",IF(COUNT(V262,W262,X262,Y262,Z262,AA262)&lt;6,"",(W262-Z262)/SQRT(((V262-1)*X262^2+(Y262-1)*AA262^2)/(V262+Y262-2))*AD262),IF(AB262="t",AC262*SQRT(1/V262+1/Y262)*AD262,IF(AB262="F",SQRT(AC262)*SQRT(1/V262+1/Y262)*AD262,IF(AB262="z",2*(AC262/SQRT(V262+Y262))/SQRT(1-(AC262/SQRT(V262+Y262))^2)*AD262,IF(AB262="t_paired",AC262/SQRT(V262)*AD262,""))))),"")</f>
        <v>0.429034726403559</v>
      </c>
      <c r="AF262" s="7" t="n">
        <f aca="false">IF(AE262="","",IF(AB262="t_paired",1-3/(4*(V262-1)-1),1-3/(4*(V262+Y262)-9)))</f>
        <v>0.987854251012146</v>
      </c>
      <c r="AG262" s="7" t="n">
        <f aca="false">IF(AE262="","",AE262*AF262)</f>
        <v>0.423823778309589</v>
      </c>
      <c r="AH262" s="7" t="n">
        <f aca="false">IF(AG262="","",IF(AB262="t_paired",1/V262+AG262^2/(2*V262),(V262+Y262)/(V262*Y262)+AG262^2/(2*(V262+Y262))))</f>
        <v>0.0639033327739111</v>
      </c>
      <c r="AI262" s="7" t="n">
        <f aca="false">IF(AH262="","",SQRT(AH262))</f>
        <v>0.252791085234252</v>
      </c>
      <c r="AJ262" s="7" t="n">
        <f aca="false">IF(AI262="","",AG262-1.96*AI262)</f>
        <v>-0.0716467487495461</v>
      </c>
      <c r="AK262" s="7" t="n">
        <f aca="false">IF(AI262="","",AG262+1.96*AI262)</f>
        <v>0.919294305368723</v>
      </c>
      <c r="AL262" s="7" t="n">
        <f aca="false">IF(AI262="","",AG262/AI262)</f>
        <v>1.67657723339748</v>
      </c>
      <c r="AM262" s="8" t="n">
        <f aca="false">IF(AL262="","",2*(1-NORMSDIST(ABS(AL262))))</f>
        <v>0.0936251817876763</v>
      </c>
      <c r="AN262" s="9" t="n">
        <f aca="false">IF(COUNT(V262)=0,"",IF(AB262="t_paired",V262,V262+N(Y262)))</f>
        <v>64</v>
      </c>
      <c r="AO262" s="7" t="n">
        <f aca="false">IF(AH262="","",1/AH262)</f>
        <v>15.6486360975567</v>
      </c>
      <c r="AP262" s="5" t="s">
        <v>88</v>
      </c>
      <c r="AQ262" s="5" t="s">
        <v>210</v>
      </c>
      <c r="AR262" s="5"/>
      <c r="AS262" s="7" t="n">
        <f aca="false">IF(AND(AP262="Y",ISNUMBER(AO262)),AO262,0)</f>
        <v>15.6486360975567</v>
      </c>
      <c r="AT262" s="7" t="n">
        <f aca="false">IF(AS262&gt;0,AS262*AG262,0)</f>
        <v>6.63226407625828</v>
      </c>
      <c r="AU262" s="7" t="n">
        <f aca="false">IF(AS262&gt;0,AS262*AG262^2,0)</f>
        <v>2.81091121954674</v>
      </c>
      <c r="AV262" s="9" t="n">
        <f aca="false">IF(AS262&gt;0,AS262^2,0)</f>
        <v>244.879811713753</v>
      </c>
      <c r="AW262" s="7" t="n">
        <f aca="false">IF(AS262&gt;0,AG262,0)</f>
        <v>0.423823778309589</v>
      </c>
      <c r="AX262" s="7" t="n">
        <f aca="false">IF(AS262&gt;0,AH262,1)</f>
        <v>0.0639033327739111</v>
      </c>
    </row>
    <row r="263" customFormat="false" ht="15" hidden="false" customHeight="false" outlineLevel="0" collapsed="false">
      <c r="A263" s="5" t="s">
        <v>866</v>
      </c>
      <c r="B263" s="5" t="s">
        <v>867</v>
      </c>
      <c r="C263" s="5" t="s">
        <v>868</v>
      </c>
      <c r="D263" s="5" t="n">
        <v>2025</v>
      </c>
      <c r="E263" s="5" t="s">
        <v>221</v>
      </c>
      <c r="F263" s="5" t="s">
        <v>199</v>
      </c>
      <c r="G263" s="5" t="s">
        <v>160</v>
      </c>
      <c r="H263" s="5" t="s">
        <v>131</v>
      </c>
      <c r="I263" s="5" t="s">
        <v>869</v>
      </c>
      <c r="J263" s="5" t="s">
        <v>162</v>
      </c>
      <c r="K263" s="5" t="s">
        <v>163</v>
      </c>
      <c r="L263" s="5" t="s">
        <v>164</v>
      </c>
      <c r="M263" s="5"/>
      <c r="N263" s="5" t="n">
        <v>120</v>
      </c>
      <c r="O263" s="5" t="s">
        <v>162</v>
      </c>
      <c r="P263" s="10" t="s">
        <v>82</v>
      </c>
      <c r="Q263" s="10" t="s">
        <v>83</v>
      </c>
      <c r="R263" s="5"/>
      <c r="S263" s="10" t="s">
        <v>870</v>
      </c>
      <c r="T263" s="5" t="s">
        <v>871</v>
      </c>
      <c r="U263" s="10" t="s">
        <v>98</v>
      </c>
      <c r="V263" s="5" t="n">
        <v>55</v>
      </c>
      <c r="W263" s="5" t="n">
        <v>0.545</v>
      </c>
      <c r="X263" s="5" t="n">
        <v>0.225</v>
      </c>
      <c r="Y263" s="5" t="n">
        <v>60</v>
      </c>
      <c r="Z263" s="5" t="n">
        <v>0.732</v>
      </c>
      <c r="AA263" s="5" t="n">
        <v>0.123</v>
      </c>
      <c r="AB263" s="5" t="s">
        <v>99</v>
      </c>
      <c r="AC263" s="5"/>
      <c r="AD263" s="5" t="n">
        <v>1</v>
      </c>
      <c r="AE263" s="7" t="n">
        <f aca="false">IFERROR(IF(AB263="MSD",IF(COUNT(V263,W263,X263,Y263,Z263,AA263)&lt;6,"",(W263-Z263)/SQRT(((V263-1)*X263^2+(Y263-1)*AA263^2)/(V263+Y263-2))*AD263),IF(AB263="t",AC263*SQRT(1/V263+1/Y263)*AD263,IF(AB263="F",SQRT(AC263)*SQRT(1/V263+1/Y263)*AD263,IF(AB263="z",2*(AC263/SQRT(V263+Y263))/SQRT(1-(AC263/SQRT(V263+Y263))^2)*AD263,IF(AB263="t_paired",AC263/SQRT(V263)*AD263,""))))),"")</f>
        <v>-1.0438673418246</v>
      </c>
      <c r="AF263" s="7" t="n">
        <f aca="false">IF(AE263="","",IF(AB263="t_paired",1-3/(4*(V263-1)-1),1-3/(4*(V263+Y263)-9)))</f>
        <v>0.993348115299335</v>
      </c>
      <c r="AG263" s="7" t="n">
        <f aca="false">IF(AE263="","",AE263*AF263)</f>
        <v>-1.03692365662399</v>
      </c>
      <c r="AH263" s="7" t="n">
        <f aca="false">IF(AG263="","",IF(AB263="t_paired",1/V263+AG263^2/(2*V263),(V263+Y263)/(V263*Y263)+AG263^2/(2*(V263+Y263))))</f>
        <v>0.0395233138470347</v>
      </c>
      <c r="AI263" s="7" t="n">
        <f aca="false">IF(AH263="","",SQRT(AH263))</f>
        <v>0.198804712839094</v>
      </c>
      <c r="AJ263" s="7" t="n">
        <f aca="false">IF(AI263="","",AG263-1.96*AI263)</f>
        <v>-1.42658089378861</v>
      </c>
      <c r="AK263" s="7" t="n">
        <f aca="false">IF(AI263="","",AG263+1.96*AI263)</f>
        <v>-0.647266419459363</v>
      </c>
      <c r="AL263" s="7" t="n">
        <f aca="false">IF(AI263="","",AG263/AI263)</f>
        <v>-5.21579011792964</v>
      </c>
      <c r="AM263" s="8" t="n">
        <f aca="false">IF(AL263="","",2*(1-NORMSDIST(ABS(AL263))))</f>
        <v>1.83035333334303E-007</v>
      </c>
      <c r="AN263" s="9" t="n">
        <f aca="false">IF(COUNT(V263)=0,"",IF(AB263="t_paired",V263,V263+N(Y263)))</f>
        <v>115</v>
      </c>
      <c r="AO263" s="7" t="n">
        <f aca="false">IF(AH263="","",1/AH263)</f>
        <v>25.3015221312225</v>
      </c>
      <c r="AP263" s="5" t="s">
        <v>100</v>
      </c>
      <c r="AQ263" s="5" t="s">
        <v>167</v>
      </c>
      <c r="AR263" s="5"/>
      <c r="AS263" s="9" t="n">
        <f aca="false">IF(AND(AP263="Y",ISNUMBER(AO263)),AO263,0)</f>
        <v>0</v>
      </c>
      <c r="AT263" s="7" t="n">
        <f aca="false">IF(AS263&gt;0,AS263*AG263,0)</f>
        <v>0</v>
      </c>
      <c r="AU263" s="7" t="n">
        <f aca="false">IF(AS263&gt;0,AS263*AG263^2,0)</f>
        <v>0</v>
      </c>
      <c r="AV263" s="9" t="n">
        <f aca="false">IF(AS263&gt;0,AS263^2,0)</f>
        <v>0</v>
      </c>
      <c r="AW263" s="7" t="n">
        <f aca="false">IF(AS263&gt;0,AG263,0)</f>
        <v>0</v>
      </c>
      <c r="AX263" s="7" t="n">
        <f aca="false">IF(AS263&gt;0,AH263,1)</f>
        <v>1</v>
      </c>
    </row>
    <row r="264" customFormat="false" ht="15" hidden="false" customHeight="false" outlineLevel="0" collapsed="false">
      <c r="A264" s="5" t="s">
        <v>872</v>
      </c>
      <c r="B264" s="5" t="s">
        <v>867</v>
      </c>
      <c r="C264" s="5" t="s">
        <v>868</v>
      </c>
      <c r="D264" s="5" t="n">
        <v>2025</v>
      </c>
      <c r="E264" s="5" t="s">
        <v>221</v>
      </c>
      <c r="F264" s="5" t="s">
        <v>199</v>
      </c>
      <c r="G264" s="5" t="s">
        <v>160</v>
      </c>
      <c r="H264" s="5" t="s">
        <v>131</v>
      </c>
      <c r="I264" s="5" t="s">
        <v>869</v>
      </c>
      <c r="J264" s="5" t="s">
        <v>162</v>
      </c>
      <c r="K264" s="5" t="s">
        <v>163</v>
      </c>
      <c r="L264" s="5" t="s">
        <v>164</v>
      </c>
      <c r="M264" s="5"/>
      <c r="N264" s="5" t="n">
        <v>120</v>
      </c>
      <c r="O264" s="5" t="s">
        <v>162</v>
      </c>
      <c r="P264" s="6" t="s">
        <v>82</v>
      </c>
      <c r="Q264" s="6" t="s">
        <v>83</v>
      </c>
      <c r="R264" s="5"/>
      <c r="S264" s="6" t="s">
        <v>870</v>
      </c>
      <c r="T264" s="5" t="s">
        <v>871</v>
      </c>
      <c r="U264" s="6" t="s">
        <v>86</v>
      </c>
      <c r="V264" s="5" t="n">
        <v>55</v>
      </c>
      <c r="W264" s="5" t="n">
        <v>0.558</v>
      </c>
      <c r="X264" s="5" t="n">
        <v>0.224</v>
      </c>
      <c r="Y264" s="5" t="n">
        <v>60</v>
      </c>
      <c r="Z264" s="5" t="n">
        <v>0.759</v>
      </c>
      <c r="AA264" s="5" t="n">
        <v>0.118</v>
      </c>
      <c r="AB264" s="5" t="s">
        <v>99</v>
      </c>
      <c r="AC264" s="5"/>
      <c r="AD264" s="5" t="n">
        <v>1</v>
      </c>
      <c r="AE264" s="7" t="n">
        <f aca="false">IFERROR(IF(AB264="MSD",IF(COUNT(V264,W264,X264,Y264,Z264,AA264)&lt;6,"",(W264-Z264)/SQRT(((V264-1)*X264^2+(Y264-1)*AA264^2)/(V264+Y264-2))*AD264),IF(AB264="t",AC264*SQRT(1/V264+1/Y264)*AD264,IF(AB264="F",SQRT(AC264)*SQRT(1/V264+1/Y264)*AD264,IF(AB264="z",2*(AC264/SQRT(V264+Y264))/SQRT(1-(AC264/SQRT(V264+Y264))^2)*AD264,IF(AB264="t_paired",AC264/SQRT(V264)*AD264,""))))),"")</f>
        <v>-1.13706473482374</v>
      </c>
      <c r="AF264" s="7" t="n">
        <f aca="false">IF(AE264="","",IF(AB264="t_paired",1-3/(4*(V264-1)-1),1-3/(4*(V264+Y264)-9)))</f>
        <v>0.993348115299335</v>
      </c>
      <c r="AG264" s="7" t="n">
        <f aca="false">IF(AE264="","",AE264*AF264)</f>
        <v>-1.1295011113105</v>
      </c>
      <c r="AH264" s="7" t="n">
        <f aca="false">IF(AG264="","",IF(AB264="t_paired",1/V264+AG264^2/(2*V264),(V264+Y264)/(V264*Y264)+AG264^2/(2*(V264+Y264))))</f>
        <v>0.0403953229374051</v>
      </c>
      <c r="AI264" s="7" t="n">
        <f aca="false">IF(AH264="","",SQRT(AH264))</f>
        <v>0.200985877457609</v>
      </c>
      <c r="AJ264" s="7" t="n">
        <f aca="false">IF(AI264="","",AG264-1.96*AI264)</f>
        <v>-1.52343343112741</v>
      </c>
      <c r="AK264" s="7" t="n">
        <f aca="false">IF(AI264="","",AG264+1.96*AI264)</f>
        <v>-0.735568791493582</v>
      </c>
      <c r="AL264" s="7" t="n">
        <f aca="false">IF(AI264="","",AG264/AI264)</f>
        <v>-5.61980336926272</v>
      </c>
      <c r="AM264" s="8" t="n">
        <f aca="false">IF(AL264="","",2*(1-NORMSDIST(ABS(AL264))))</f>
        <v>1.91174911456926E-008</v>
      </c>
      <c r="AN264" s="9" t="n">
        <f aca="false">IF(COUNT(V264)=0,"",IF(AB264="t_paired",V264,V264+N(Y264)))</f>
        <v>115</v>
      </c>
      <c r="AO264" s="7" t="n">
        <f aca="false">IF(AH264="","",1/AH264)</f>
        <v>24.755341145547</v>
      </c>
      <c r="AP264" s="5" t="s">
        <v>88</v>
      </c>
      <c r="AQ264" s="5" t="s">
        <v>167</v>
      </c>
      <c r="AR264" s="5"/>
      <c r="AS264" s="7" t="n">
        <f aca="false">IF(AND(AP264="Y",ISNUMBER(AO264)),AO264,0)</f>
        <v>24.755341145547</v>
      </c>
      <c r="AT264" s="7" t="n">
        <f aca="false">IF(AS264&gt;0,AS264*AG264,0)</f>
        <v>-27.9611853347657</v>
      </c>
      <c r="AU264" s="7" t="n">
        <f aca="false">IF(AS264&gt;0,AS264*AG264^2,0)</f>
        <v>31.5821899091766</v>
      </c>
      <c r="AV264" s="9" t="n">
        <f aca="false">IF(AS264&gt;0,AS264^2,0)</f>
        <v>612.82691523241</v>
      </c>
      <c r="AW264" s="7" t="n">
        <f aca="false">IF(AS264&gt;0,AG264,0)</f>
        <v>-1.1295011113105</v>
      </c>
      <c r="AX264" s="7" t="n">
        <f aca="false">IF(AS264&gt;0,AH264,1)</f>
        <v>0.0403953229374051</v>
      </c>
    </row>
    <row r="265" customFormat="false" ht="15" hidden="false" customHeight="false" outlineLevel="0" collapsed="false">
      <c r="A265" s="5" t="s">
        <v>873</v>
      </c>
      <c r="B265" s="5" t="s">
        <v>867</v>
      </c>
      <c r="C265" s="5" t="s">
        <v>868</v>
      </c>
      <c r="D265" s="5" t="n">
        <v>2025</v>
      </c>
      <c r="E265" s="5" t="s">
        <v>221</v>
      </c>
      <c r="F265" s="5" t="s">
        <v>199</v>
      </c>
      <c r="G265" s="5" t="s">
        <v>160</v>
      </c>
      <c r="H265" s="5" t="s">
        <v>131</v>
      </c>
      <c r="I265" s="5" t="s">
        <v>869</v>
      </c>
      <c r="J265" s="5" t="s">
        <v>162</v>
      </c>
      <c r="K265" s="5" t="s">
        <v>163</v>
      </c>
      <c r="L265" s="5" t="s">
        <v>164</v>
      </c>
      <c r="M265" s="5"/>
      <c r="N265" s="5" t="n">
        <v>120</v>
      </c>
      <c r="O265" s="5" t="s">
        <v>162</v>
      </c>
      <c r="P265" s="10" t="s">
        <v>82</v>
      </c>
      <c r="Q265" s="10" t="s">
        <v>191</v>
      </c>
      <c r="R265" s="5"/>
      <c r="S265" s="10" t="s">
        <v>874</v>
      </c>
      <c r="T265" s="5" t="s">
        <v>875</v>
      </c>
      <c r="U265" s="10" t="s">
        <v>98</v>
      </c>
      <c r="V265" s="5" t="n">
        <v>55</v>
      </c>
      <c r="W265" s="5" t="n">
        <v>0.716</v>
      </c>
      <c r="X265" s="5" t="n">
        <v>0.205</v>
      </c>
      <c r="Y265" s="5" t="n">
        <v>60</v>
      </c>
      <c r="Z265" s="5" t="n">
        <v>0.758</v>
      </c>
      <c r="AA265" s="5" t="n">
        <v>0.147</v>
      </c>
      <c r="AB265" s="5" t="s">
        <v>99</v>
      </c>
      <c r="AC265" s="5"/>
      <c r="AD265" s="5" t="n">
        <v>1</v>
      </c>
      <c r="AE265" s="7" t="n">
        <f aca="false">IFERROR(IF(AB265="MSD",IF(COUNT(V265,W265,X265,Y265,Z265,AA265)&lt;6,"",(W265-Z265)/SQRT(((V265-1)*X265^2+(Y265-1)*AA265^2)/(V265+Y265-2))*AD265),IF(AB265="t",AC265*SQRT(1/V265+1/Y265)*AD265,IF(AB265="F",SQRT(AC265)*SQRT(1/V265+1/Y265)*AD265,IF(AB265="z",2*(AC265/SQRT(V265+Y265))/SQRT(1-(AC265/SQRT(V265+Y265))^2)*AD265,IF(AB265="t_paired",AC265/SQRT(V265)*AD265,""))))),"")</f>
        <v>-0.237150715256531</v>
      </c>
      <c r="AF265" s="7" t="n">
        <f aca="false">IF(AE265="","",IF(AB265="t_paired",1-3/(4*(V265-1)-1),1-3/(4*(V265+Y265)-9)))</f>
        <v>0.993348115299335</v>
      </c>
      <c r="AG265" s="7" t="n">
        <f aca="false">IF(AE265="","",AE265*AF265)</f>
        <v>-0.235573216041965</v>
      </c>
      <c r="AH265" s="7" t="n">
        <f aca="false">IF(AG265="","",IF(AB265="t_paired",1/V265+AG265^2/(2*V265),(V265+Y265)/(V265*Y265)+AG265^2/(2*(V265+Y265))))</f>
        <v>0.0350897663272516</v>
      </c>
      <c r="AI265" s="7" t="n">
        <f aca="false">IF(AH265="","",SQRT(AH265))</f>
        <v>0.187322626308867</v>
      </c>
      <c r="AJ265" s="7" t="n">
        <f aca="false">IF(AI265="","",AG265-1.96*AI265)</f>
        <v>-0.602725563607345</v>
      </c>
      <c r="AK265" s="7" t="n">
        <f aca="false">IF(AI265="","",AG265+1.96*AI265)</f>
        <v>0.131579131523416</v>
      </c>
      <c r="AL265" s="7" t="n">
        <f aca="false">IF(AI265="","",AG265/AI265)</f>
        <v>-1.25758014759808</v>
      </c>
      <c r="AM265" s="8" t="n">
        <f aca="false">IF(AL265="","",2*(1-NORMSDIST(ABS(AL265))))</f>
        <v>0.208543636735441</v>
      </c>
      <c r="AN265" s="9" t="n">
        <f aca="false">IF(COUNT(V265)=0,"",IF(AB265="t_paired",V265,V265+N(Y265)))</f>
        <v>115</v>
      </c>
      <c r="AO265" s="7" t="n">
        <f aca="false">IF(AH265="","",1/AH265)</f>
        <v>28.4983373976866</v>
      </c>
      <c r="AP265" s="5" t="s">
        <v>100</v>
      </c>
      <c r="AQ265" s="5" t="s">
        <v>167</v>
      </c>
      <c r="AR265" s="5"/>
      <c r="AS265" s="9" t="n">
        <f aca="false">IF(AND(AP265="Y",ISNUMBER(AO265)),AO265,0)</f>
        <v>0</v>
      </c>
      <c r="AT265" s="7" t="n">
        <f aca="false">IF(AS265&gt;0,AS265*AG265,0)</f>
        <v>0</v>
      </c>
      <c r="AU265" s="7" t="n">
        <f aca="false">IF(AS265&gt;0,AS265*AG265^2,0)</f>
        <v>0</v>
      </c>
      <c r="AV265" s="9" t="n">
        <f aca="false">IF(AS265&gt;0,AS265^2,0)</f>
        <v>0</v>
      </c>
      <c r="AW265" s="7" t="n">
        <f aca="false">IF(AS265&gt;0,AG265,0)</f>
        <v>0</v>
      </c>
      <c r="AX265" s="7" t="n">
        <f aca="false">IF(AS265&gt;0,AH265,1)</f>
        <v>1</v>
      </c>
    </row>
    <row r="266" customFormat="false" ht="15" hidden="false" customHeight="false" outlineLevel="0" collapsed="false">
      <c r="A266" s="5" t="s">
        <v>876</v>
      </c>
      <c r="B266" s="5" t="s">
        <v>867</v>
      </c>
      <c r="C266" s="5" t="s">
        <v>868</v>
      </c>
      <c r="D266" s="5" t="n">
        <v>2025</v>
      </c>
      <c r="E266" s="5" t="s">
        <v>221</v>
      </c>
      <c r="F266" s="5" t="s">
        <v>199</v>
      </c>
      <c r="G266" s="5" t="s">
        <v>160</v>
      </c>
      <c r="H266" s="5" t="s">
        <v>131</v>
      </c>
      <c r="I266" s="5" t="s">
        <v>869</v>
      </c>
      <c r="J266" s="5" t="s">
        <v>162</v>
      </c>
      <c r="K266" s="5" t="s">
        <v>163</v>
      </c>
      <c r="L266" s="5" t="s">
        <v>164</v>
      </c>
      <c r="M266" s="5"/>
      <c r="N266" s="5" t="n">
        <v>120</v>
      </c>
      <c r="O266" s="5" t="s">
        <v>162</v>
      </c>
      <c r="P266" s="6" t="s">
        <v>82</v>
      </c>
      <c r="Q266" s="6" t="s">
        <v>191</v>
      </c>
      <c r="R266" s="5"/>
      <c r="S266" s="6" t="s">
        <v>874</v>
      </c>
      <c r="T266" s="5" t="s">
        <v>875</v>
      </c>
      <c r="U266" s="6" t="s">
        <v>86</v>
      </c>
      <c r="V266" s="5" t="n">
        <v>55</v>
      </c>
      <c r="W266" s="5" t="n">
        <v>0.726</v>
      </c>
      <c r="X266" s="5" t="n">
        <v>0.21</v>
      </c>
      <c r="Y266" s="5" t="n">
        <v>60</v>
      </c>
      <c r="Z266" s="5" t="n">
        <v>0.815</v>
      </c>
      <c r="AA266" s="5" t="n">
        <v>0.137</v>
      </c>
      <c r="AB266" s="5" t="s">
        <v>99</v>
      </c>
      <c r="AC266" s="5"/>
      <c r="AD266" s="5" t="n">
        <v>1</v>
      </c>
      <c r="AE266" s="7" t="n">
        <f aca="false">IFERROR(IF(AB266="MSD",IF(COUNT(V266,W266,X266,Y266,Z266,AA266)&lt;6,"",(W266-Z266)/SQRT(((V266-1)*X266^2+(Y266-1)*AA266^2)/(V266+Y266-2))*AD266),IF(AB266="t",AC266*SQRT(1/V266+1/Y266)*AD266,IF(AB266="F",SQRT(AC266)*SQRT(1/V266+1/Y266)*AD266,IF(AB266="z",2*(AC266/SQRT(V266+Y266))/SQRT(1-(AC266/SQRT(V266+Y266))^2)*AD266,IF(AB266="t_paired",AC266/SQRT(V266)*AD266,""))))),"")</f>
        <v>-0.506515799399856</v>
      </c>
      <c r="AF266" s="7" t="n">
        <f aca="false">IF(AE266="","",IF(AB266="t_paired",1-3/(4*(V266-1)-1),1-3/(4*(V266+Y266)-9)))</f>
        <v>0.993348115299335</v>
      </c>
      <c r="AG266" s="7" t="n">
        <f aca="false">IF(AE266="","",AE266*AF266)</f>
        <v>-0.503146514703183</v>
      </c>
      <c r="AH266" s="7" t="n">
        <f aca="false">IF(AG266="","",IF(AB266="t_paired",1/V266+AG266^2/(2*V266),(V266+Y266)/(V266*Y266)+AG266^2/(2*(V266+Y266))))</f>
        <v>0.0359491649148238</v>
      </c>
      <c r="AI266" s="7" t="n">
        <f aca="false">IF(AH266="","",SQRT(AH266))</f>
        <v>0.189602650073315</v>
      </c>
      <c r="AJ266" s="7" t="n">
        <f aca="false">IF(AI266="","",AG266-1.96*AI266)</f>
        <v>-0.87476770884688</v>
      </c>
      <c r="AK266" s="7" t="n">
        <f aca="false">IF(AI266="","",AG266+1.96*AI266)</f>
        <v>-0.131525320559486</v>
      </c>
      <c r="AL266" s="7" t="n">
        <f aca="false">IF(AI266="","",AG266/AI266)</f>
        <v>-2.65368925227906</v>
      </c>
      <c r="AM266" s="8" t="n">
        <f aca="false">IF(AL266="","",2*(1-NORMSDIST(ABS(AL266))))</f>
        <v>0.00796171099425558</v>
      </c>
      <c r="AN266" s="9" t="n">
        <f aca="false">IF(COUNT(V266)=0,"",IF(AB266="t_paired",V266,V266+N(Y266)))</f>
        <v>115</v>
      </c>
      <c r="AO266" s="7" t="n">
        <f aca="false">IF(AH266="","",1/AH266)</f>
        <v>27.8170578473617</v>
      </c>
      <c r="AP266" s="5" t="s">
        <v>88</v>
      </c>
      <c r="AQ266" s="5" t="s">
        <v>167</v>
      </c>
      <c r="AR266" s="5"/>
      <c r="AS266" s="7" t="n">
        <f aca="false">IF(AND(AP266="Y",ISNUMBER(AO266)),AO266,0)</f>
        <v>27.8170578473617</v>
      </c>
      <c r="AT266" s="7" t="n">
        <f aca="false">IF(AS266&gt;0,AS266*AG266,0)</f>
        <v>-13.9960557051969</v>
      </c>
      <c r="AU266" s="7" t="n">
        <f aca="false">IF(AS266&gt;0,AS266*AG266^2,0)</f>
        <v>7.0420666476614</v>
      </c>
      <c r="AV266" s="9" t="n">
        <f aca="false">IF(AS266&gt;0,AS266^2,0)</f>
        <v>773.788707283468</v>
      </c>
      <c r="AW266" s="7" t="n">
        <f aca="false">IF(AS266&gt;0,AG266,0)</f>
        <v>-0.503146514703183</v>
      </c>
      <c r="AX266" s="7" t="n">
        <f aca="false">IF(AS266&gt;0,AH266,1)</f>
        <v>0.0359491649148238</v>
      </c>
    </row>
    <row r="267" customFormat="false" ht="15" hidden="false" customHeight="false" outlineLevel="0" collapsed="false">
      <c r="A267" s="5" t="s">
        <v>877</v>
      </c>
      <c r="B267" s="5" t="s">
        <v>878</v>
      </c>
      <c r="C267" s="5" t="s">
        <v>879</v>
      </c>
      <c r="D267" s="5" t="n">
        <v>2024</v>
      </c>
      <c r="E267" s="5" t="s">
        <v>880</v>
      </c>
      <c r="F267" s="5" t="s">
        <v>173</v>
      </c>
      <c r="G267" s="5" t="s">
        <v>253</v>
      </c>
      <c r="H267" s="5" t="s">
        <v>74</v>
      </c>
      <c r="I267" s="5" t="s">
        <v>207</v>
      </c>
      <c r="J267" s="5" t="s">
        <v>76</v>
      </c>
      <c r="K267" s="5" t="s">
        <v>163</v>
      </c>
      <c r="L267" s="5" t="s">
        <v>164</v>
      </c>
      <c r="M267" s="5"/>
      <c r="N267" s="5"/>
      <c r="O267" s="5" t="s">
        <v>261</v>
      </c>
      <c r="P267" s="10" t="s">
        <v>82</v>
      </c>
      <c r="Q267" s="10" t="s">
        <v>191</v>
      </c>
      <c r="R267" s="5"/>
      <c r="S267" s="10" t="s">
        <v>881</v>
      </c>
      <c r="T267" s="5" t="s">
        <v>882</v>
      </c>
      <c r="U267" s="10" t="s">
        <v>98</v>
      </c>
      <c r="V267" s="5" t="n">
        <v>77</v>
      </c>
      <c r="W267" s="5" t="n">
        <v>1.71</v>
      </c>
      <c r="X267" s="5" t="n">
        <v>0.81</v>
      </c>
      <c r="Y267" s="5" t="n">
        <v>68</v>
      </c>
      <c r="Z267" s="5" t="n">
        <v>1.74</v>
      </c>
      <c r="AA267" s="5" t="n">
        <v>0.99</v>
      </c>
      <c r="AB267" s="5" t="s">
        <v>99</v>
      </c>
      <c r="AC267" s="5"/>
      <c r="AD267" s="5" t="n">
        <v>1</v>
      </c>
      <c r="AE267" s="7" t="n">
        <f aca="false">IFERROR(IF(AB267="MSD",IF(COUNT(V267,W267,X267,Y267,Z267,AA267)&lt;6,"",(W267-Z267)/SQRT(((V267-1)*X267^2+(Y267-1)*AA267^2)/(V267+Y267-2))*AD267),IF(AB267="t",AC267*SQRT(1/V267+1/Y267)*AD267,IF(AB267="F",SQRT(AC267)*SQRT(1/V267+1/Y267)*AD267,IF(AB267="z",2*(AC267/SQRT(V267+Y267))/SQRT(1-(AC267/SQRT(V267+Y267))^2)*AD267,IF(AB267="t_paired",AC267/SQRT(V267)*AD267,""))))),"")</f>
        <v>-0.0333765407411022</v>
      </c>
      <c r="AF267" s="7" t="n">
        <f aca="false">IF(AE267="","",IF(AB267="t_paired",1-3/(4*(V267-1)-1),1-3/(4*(V267+Y267)-9)))</f>
        <v>0.994746059544658</v>
      </c>
      <c r="AG267" s="7" t="n">
        <f aca="false">IF(AE267="","",AE267*AF267)</f>
        <v>-0.0332011823834431</v>
      </c>
      <c r="AH267" s="7" t="n">
        <f aca="false">IF(AG267="","",IF(AB267="t_paired",1/V267+AG267^2/(2*V267),(V267+Y267)/(V267*Y267)+AG267^2/(2*(V267+Y267))))</f>
        <v>0.0276966964382702</v>
      </c>
      <c r="AI267" s="7" t="n">
        <f aca="false">IF(AH267="","",SQRT(AH267))</f>
        <v>0.166423244885654</v>
      </c>
      <c r="AJ267" s="7" t="n">
        <f aca="false">IF(AI267="","",AG267-1.96*AI267)</f>
        <v>-0.359390742359324</v>
      </c>
      <c r="AK267" s="7" t="n">
        <f aca="false">IF(AI267="","",AG267+1.96*AI267)</f>
        <v>0.292988377592438</v>
      </c>
      <c r="AL267" s="7" t="n">
        <f aca="false">IF(AI267="","",AG267/AI267)</f>
        <v>-0.199498467934903</v>
      </c>
      <c r="AM267" s="8" t="n">
        <f aca="false">IF(AL267="","",2*(1-NORMSDIST(ABS(AL267))))</f>
        <v>0.841872841677847</v>
      </c>
      <c r="AN267" s="9" t="n">
        <f aca="false">IF(COUNT(V267)=0,"",IF(AB267="t_paired",V267,V267+N(Y267)))</f>
        <v>145</v>
      </c>
      <c r="AO267" s="7" t="n">
        <f aca="false">IF(AH267="","",1/AH267)</f>
        <v>36.1053890390422</v>
      </c>
      <c r="AP267" s="5" t="s">
        <v>100</v>
      </c>
      <c r="AQ267" s="5" t="s">
        <v>178</v>
      </c>
      <c r="AR267" s="5"/>
      <c r="AS267" s="9" t="n">
        <f aca="false">IF(AND(AP267="Y",ISNUMBER(AO267)),AO267,0)</f>
        <v>0</v>
      </c>
      <c r="AT267" s="7" t="n">
        <f aca="false">IF(AS267&gt;0,AS267*AG267,0)</f>
        <v>0</v>
      </c>
      <c r="AU267" s="7" t="n">
        <f aca="false">IF(AS267&gt;0,AS267*AG267^2,0)</f>
        <v>0</v>
      </c>
      <c r="AV267" s="9" t="n">
        <f aca="false">IF(AS267&gt;0,AS267^2,0)</f>
        <v>0</v>
      </c>
      <c r="AW267" s="7" t="n">
        <f aca="false">IF(AS267&gt;0,AG267,0)</f>
        <v>0</v>
      </c>
      <c r="AX267" s="7" t="n">
        <f aca="false">IF(AS267&gt;0,AH267,1)</f>
        <v>1</v>
      </c>
    </row>
    <row r="268" customFormat="false" ht="15" hidden="false" customHeight="false" outlineLevel="0" collapsed="false">
      <c r="A268" s="5" t="s">
        <v>883</v>
      </c>
      <c r="B268" s="5" t="s">
        <v>878</v>
      </c>
      <c r="C268" s="5" t="s">
        <v>879</v>
      </c>
      <c r="D268" s="5" t="n">
        <v>2024</v>
      </c>
      <c r="E268" s="5" t="s">
        <v>880</v>
      </c>
      <c r="F268" s="5" t="s">
        <v>173</v>
      </c>
      <c r="G268" s="5" t="s">
        <v>253</v>
      </c>
      <c r="H268" s="5" t="s">
        <v>74</v>
      </c>
      <c r="I268" s="5" t="s">
        <v>207</v>
      </c>
      <c r="J268" s="5" t="s">
        <v>76</v>
      </c>
      <c r="K268" s="5" t="s">
        <v>163</v>
      </c>
      <c r="L268" s="5" t="s">
        <v>164</v>
      </c>
      <c r="M268" s="5"/>
      <c r="N268" s="5"/>
      <c r="O268" s="5" t="s">
        <v>261</v>
      </c>
      <c r="P268" s="6" t="s">
        <v>82</v>
      </c>
      <c r="Q268" s="6" t="s">
        <v>191</v>
      </c>
      <c r="R268" s="5"/>
      <c r="S268" s="6" t="s">
        <v>881</v>
      </c>
      <c r="T268" s="5" t="s">
        <v>884</v>
      </c>
      <c r="U268" s="6" t="s">
        <v>86</v>
      </c>
      <c r="V268" s="5" t="n">
        <v>77</v>
      </c>
      <c r="W268" s="5" t="n">
        <v>3.6</v>
      </c>
      <c r="X268" s="5" t="n">
        <v>0.89</v>
      </c>
      <c r="Y268" s="5" t="n">
        <v>68</v>
      </c>
      <c r="Z268" s="5" t="n">
        <v>2.99</v>
      </c>
      <c r="AA268" s="5" t="n">
        <v>0.86</v>
      </c>
      <c r="AB268" s="5" t="s">
        <v>99</v>
      </c>
      <c r="AC268" s="5"/>
      <c r="AD268" s="5" t="n">
        <v>1</v>
      </c>
      <c r="AE268" s="7" t="n">
        <f aca="false">IFERROR(IF(AB268="MSD",IF(COUNT(V268,W268,X268,Y268,Z268,AA268)&lt;6,"",(W268-Z268)/SQRT(((V268-1)*X268^2+(Y268-1)*AA268^2)/(V268+Y268-2))*AD268),IF(AB268="t",AC268*SQRT(1/V268+1/Y268)*AD268,IF(AB268="F",SQRT(AC268)*SQRT(1/V268+1/Y268)*AD268,IF(AB268="z",2*(AC268/SQRT(V268+Y268))/SQRT(1-(AC268/SQRT(V268+Y268))^2)*AD268,IF(AB268="t_paired",AC268/SQRT(V268)*AD268,""))))),"")</f>
        <v>0.696289825926489</v>
      </c>
      <c r="AF268" s="7" t="n">
        <f aca="false">IF(AE268="","",IF(AB268="t_paired",1-3/(4*(V268-1)-1),1-3/(4*(V268+Y268)-9)))</f>
        <v>0.994746059544658</v>
      </c>
      <c r="AG268" s="7" t="n">
        <f aca="false">IF(AE268="","",AE268*AF268)</f>
        <v>0.692631560641411</v>
      </c>
      <c r="AH268" s="7" t="n">
        <f aca="false">IF(AG268="","",IF(AB268="t_paired",1/V268+AG268^2/(2*V268),(V268+Y268)/(V268*Y268)+AG268^2/(2*(V268+Y268))))</f>
        <v>0.029347165956494</v>
      </c>
      <c r="AI268" s="7" t="n">
        <f aca="false">IF(AH268="","",SQRT(AH268))</f>
        <v>0.171310145515361</v>
      </c>
      <c r="AJ268" s="7" t="n">
        <f aca="false">IF(AI268="","",AG268-1.96*AI268)</f>
        <v>0.356863675431304</v>
      </c>
      <c r="AK268" s="7" t="n">
        <f aca="false">IF(AI268="","",AG268+1.96*AI268)</f>
        <v>1.02839944585152</v>
      </c>
      <c r="AL268" s="7" t="n">
        <f aca="false">IF(AI268="","",AG268/AI268)</f>
        <v>4.04314384625461</v>
      </c>
      <c r="AM268" s="8" t="n">
        <f aca="false">IF(AL268="","",2*(1-NORMSDIST(ABS(AL268))))</f>
        <v>5.27392421811879E-005</v>
      </c>
      <c r="AN268" s="9" t="n">
        <f aca="false">IF(COUNT(V268)=0,"",IF(AB268="t_paired",V268,V268+N(Y268)))</f>
        <v>145</v>
      </c>
      <c r="AO268" s="7" t="n">
        <f aca="false">IF(AH268="","",1/AH268)</f>
        <v>34.0748405308526</v>
      </c>
      <c r="AP268" s="5" t="s">
        <v>88</v>
      </c>
      <c r="AQ268" s="5" t="s">
        <v>178</v>
      </c>
      <c r="AR268" s="5"/>
      <c r="AS268" s="7" t="n">
        <f aca="false">IF(AND(AP268="Y",ISNUMBER(AO268)),AO268,0)</f>
        <v>34.0748405308526</v>
      </c>
      <c r="AT268" s="7" t="n">
        <f aca="false">IF(AS268&gt;0,AS268*AG268,0)</f>
        <v>23.6013099754916</v>
      </c>
      <c r="AU268" s="7" t="n">
        <f aca="false">IF(AS268&gt;0,AS268*AG268^2,0)</f>
        <v>16.3470121615065</v>
      </c>
      <c r="AV268" s="9" t="n">
        <f aca="false">IF(AS268&gt;0,AS268^2,0)</f>
        <v>1161.09475720304</v>
      </c>
      <c r="AW268" s="7" t="n">
        <f aca="false">IF(AS268&gt;0,AG268,0)</f>
        <v>0.692631560641411</v>
      </c>
      <c r="AX268" s="7" t="n">
        <f aca="false">IF(AS268&gt;0,AH268,1)</f>
        <v>0.029347165956494</v>
      </c>
    </row>
    <row r="269" customFormat="false" ht="15" hidden="false" customHeight="false" outlineLevel="0" collapsed="false">
      <c r="A269" s="5" t="s">
        <v>885</v>
      </c>
      <c r="B269" s="5" t="s">
        <v>878</v>
      </c>
      <c r="C269" s="5" t="s">
        <v>879</v>
      </c>
      <c r="D269" s="5" t="n">
        <v>2024</v>
      </c>
      <c r="E269" s="5" t="s">
        <v>880</v>
      </c>
      <c r="F269" s="5" t="s">
        <v>173</v>
      </c>
      <c r="G269" s="5" t="s">
        <v>253</v>
      </c>
      <c r="H269" s="5" t="s">
        <v>74</v>
      </c>
      <c r="I269" s="5" t="s">
        <v>207</v>
      </c>
      <c r="J269" s="5" t="s">
        <v>76</v>
      </c>
      <c r="K269" s="5" t="s">
        <v>163</v>
      </c>
      <c r="L269" s="5" t="s">
        <v>164</v>
      </c>
      <c r="M269" s="5"/>
      <c r="N269" s="5"/>
      <c r="O269" s="5" t="s">
        <v>261</v>
      </c>
      <c r="P269" s="6" t="s">
        <v>82</v>
      </c>
      <c r="Q269" s="6" t="s">
        <v>191</v>
      </c>
      <c r="R269" s="5"/>
      <c r="S269" s="6" t="s">
        <v>881</v>
      </c>
      <c r="T269" s="5" t="s">
        <v>886</v>
      </c>
      <c r="U269" s="6" t="s">
        <v>86</v>
      </c>
      <c r="V269" s="5" t="n">
        <v>77</v>
      </c>
      <c r="W269" s="5" t="n">
        <v>2.79</v>
      </c>
      <c r="X269" s="5" t="n">
        <v>1.11</v>
      </c>
      <c r="Y269" s="5" t="n">
        <v>68</v>
      </c>
      <c r="Z269" s="5" t="n">
        <v>2.21</v>
      </c>
      <c r="AA269" s="5" t="n">
        <v>0.74</v>
      </c>
      <c r="AB269" s="5" t="s">
        <v>99</v>
      </c>
      <c r="AC269" s="5"/>
      <c r="AD269" s="5" t="n">
        <v>1</v>
      </c>
      <c r="AE269" s="7" t="n">
        <f aca="false">IFERROR(IF(AB269="MSD",IF(COUNT(V269,W269,X269,Y269,Z269,AA269)&lt;6,"",(W269-Z269)/SQRT(((V269-1)*X269^2+(Y269-1)*AA269^2)/(V269+Y269-2))*AD269),IF(AB269="t",AC269*SQRT(1/V269+1/Y269)*AD269,IF(AB269="F",SQRT(AC269)*SQRT(1/V269+1/Y269)*AD269,IF(AB269="z",2*(AC269/SQRT(V269+Y269))/SQRT(1-(AC269/SQRT(V269+Y269))^2)*AD269,IF(AB269="t_paired",AC269/SQRT(V269)*AD269,""))))),"")</f>
        <v>0.607541311042416</v>
      </c>
      <c r="AF269" s="7" t="n">
        <f aca="false">IF(AE269="","",IF(AB269="t_paired",1-3/(4*(V269-1)-1),1-3/(4*(V269+Y269)-9)))</f>
        <v>0.994746059544658</v>
      </c>
      <c r="AG269" s="7" t="n">
        <f aca="false">IF(AE269="","",AE269*AF269)</f>
        <v>0.604349325170039</v>
      </c>
      <c r="AH269" s="7" t="n">
        <f aca="false">IF(AG269="","",IF(AB269="t_paired",1/V269+AG269^2/(2*V269),(V269+Y269)/(V269*Y269)+AG269^2/(2*(V269+Y269))))</f>
        <v>0.0289523370876558</v>
      </c>
      <c r="AI269" s="7" t="n">
        <f aca="false">IF(AH269="","",SQRT(AH269))</f>
        <v>0.170153862981878</v>
      </c>
      <c r="AJ269" s="7" t="n">
        <f aca="false">IF(AI269="","",AG269-1.96*AI269)</f>
        <v>0.270847753725558</v>
      </c>
      <c r="AK269" s="7" t="n">
        <f aca="false">IF(AI269="","",AG269+1.96*AI269)</f>
        <v>0.937850896614521</v>
      </c>
      <c r="AL269" s="7" t="n">
        <f aca="false">IF(AI269="","",AG269/AI269)</f>
        <v>3.55178139701949</v>
      </c>
      <c r="AM269" s="8" t="n">
        <f aca="false">IF(AL269="","",2*(1-NORMSDIST(ABS(AL269))))</f>
        <v>0.000382632608062261</v>
      </c>
      <c r="AN269" s="9" t="n">
        <f aca="false">IF(COUNT(V269)=0,"",IF(AB269="t_paired",V269,V269+N(Y269)))</f>
        <v>145</v>
      </c>
      <c r="AO269" s="7" t="n">
        <f aca="false">IF(AH269="","",1/AH269)</f>
        <v>34.5395260138209</v>
      </c>
      <c r="AP269" s="5" t="s">
        <v>88</v>
      </c>
      <c r="AQ269" s="5" t="s">
        <v>178</v>
      </c>
      <c r="AR269" s="5"/>
      <c r="AS269" s="7" t="n">
        <f aca="false">IF(AND(AP269="Y",ISNUMBER(AO269)),AO269,0)</f>
        <v>34.5395260138209</v>
      </c>
      <c r="AT269" s="7" t="n">
        <f aca="false">IF(AS269&gt;0,AS269*AG269,0)</f>
        <v>20.8739392381457</v>
      </c>
      <c r="AU269" s="7" t="n">
        <f aca="false">IF(AS269&gt;0,AS269*AG269^2,0)</f>
        <v>12.6151510922137</v>
      </c>
      <c r="AV269" s="9" t="n">
        <f aca="false">IF(AS269&gt;0,AS269^2,0)</f>
        <v>1192.97885725941</v>
      </c>
      <c r="AW269" s="7" t="n">
        <f aca="false">IF(AS269&gt;0,AG269,0)</f>
        <v>0.604349325170039</v>
      </c>
      <c r="AX269" s="7" t="n">
        <f aca="false">IF(AS269&gt;0,AH269,1)</f>
        <v>0.0289523370876558</v>
      </c>
    </row>
    <row r="270" customFormat="false" ht="15" hidden="false" customHeight="false" outlineLevel="0" collapsed="false">
      <c r="A270" s="5" t="s">
        <v>887</v>
      </c>
      <c r="B270" s="5" t="s">
        <v>878</v>
      </c>
      <c r="C270" s="5" t="s">
        <v>879</v>
      </c>
      <c r="D270" s="5" t="n">
        <v>2024</v>
      </c>
      <c r="E270" s="5" t="s">
        <v>880</v>
      </c>
      <c r="F270" s="5" t="s">
        <v>173</v>
      </c>
      <c r="G270" s="5" t="s">
        <v>253</v>
      </c>
      <c r="H270" s="5" t="s">
        <v>74</v>
      </c>
      <c r="I270" s="5" t="s">
        <v>207</v>
      </c>
      <c r="J270" s="5" t="s">
        <v>76</v>
      </c>
      <c r="K270" s="5" t="s">
        <v>163</v>
      </c>
      <c r="L270" s="5" t="s">
        <v>164</v>
      </c>
      <c r="M270" s="5"/>
      <c r="N270" s="5"/>
      <c r="O270" s="5" t="s">
        <v>261</v>
      </c>
      <c r="P270" s="6" t="s">
        <v>82</v>
      </c>
      <c r="Q270" s="6" t="s">
        <v>191</v>
      </c>
      <c r="R270" s="5"/>
      <c r="S270" s="6" t="s">
        <v>881</v>
      </c>
      <c r="T270" s="5" t="s">
        <v>888</v>
      </c>
      <c r="U270" s="6" t="s">
        <v>86</v>
      </c>
      <c r="V270" s="5" t="n">
        <v>77</v>
      </c>
      <c r="W270" s="5" t="n">
        <v>2.74</v>
      </c>
      <c r="X270" s="5" t="n">
        <v>1.02</v>
      </c>
      <c r="Y270" s="5" t="n">
        <v>68</v>
      </c>
      <c r="Z270" s="5" t="n">
        <v>2.21</v>
      </c>
      <c r="AA270" s="5" t="n">
        <v>0.91</v>
      </c>
      <c r="AB270" s="5" t="s">
        <v>99</v>
      </c>
      <c r="AC270" s="5"/>
      <c r="AD270" s="5" t="n">
        <v>1</v>
      </c>
      <c r="AE270" s="7" t="n">
        <f aca="false">IFERROR(IF(AB270="MSD",IF(COUNT(V270,W270,X270,Y270,Z270,AA270)&lt;6,"",(W270-Z270)/SQRT(((V270-1)*X270^2+(Y270-1)*AA270^2)/(V270+Y270-2))*AD270),IF(AB270="t",AC270*SQRT(1/V270+1/Y270)*AD270,IF(AB270="F",SQRT(AC270)*SQRT(1/V270+1/Y270)*AD270,IF(AB270="z",2*(AC270/SQRT(V270+Y270))/SQRT(1-(AC270/SQRT(V270+Y270))^2)*AD270,IF(AB270="t_paired",AC270/SQRT(V270)*AD270,""))))),"")</f>
        <v>0.546382818768415</v>
      </c>
      <c r="AF270" s="7" t="n">
        <f aca="false">IF(AE270="","",IF(AB270="t_paired",1-3/(4*(V270-1)-1),1-3/(4*(V270+Y270)-9)))</f>
        <v>0.994746059544658</v>
      </c>
      <c r="AG270" s="7" t="n">
        <f aca="false">IF(AE270="","",AE270*AF270)</f>
        <v>0.543512155972784</v>
      </c>
      <c r="AH270" s="7" t="n">
        <f aca="false">IF(AG270="","",IF(AB270="t_paired",1/V270+AG270^2/(2*V270),(V270+Y270)/(V270*Y270)+AG270^2/(2*(V270+Y270))))</f>
        <v>0.0287115348699203</v>
      </c>
      <c r="AI270" s="7" t="n">
        <f aca="false">IF(AH270="","",SQRT(AH270))</f>
        <v>0.169444784133122</v>
      </c>
      <c r="AJ270" s="7" t="n">
        <f aca="false">IF(AI270="","",AG270-1.96*AI270)</f>
        <v>0.211400379071865</v>
      </c>
      <c r="AK270" s="7" t="n">
        <f aca="false">IF(AI270="","",AG270+1.96*AI270)</f>
        <v>0.875623932873703</v>
      </c>
      <c r="AL270" s="7" t="n">
        <f aca="false">IF(AI270="","",AG270/AI270)</f>
        <v>3.20760629342111</v>
      </c>
      <c r="AM270" s="8" t="n">
        <f aca="false">IF(AL270="","",2*(1-NORMSDIST(ABS(AL270))))</f>
        <v>0.00133844589686682</v>
      </c>
      <c r="AN270" s="9" t="n">
        <f aca="false">IF(COUNT(V270)=0,"",IF(AB270="t_paired",V270,V270+N(Y270)))</f>
        <v>145</v>
      </c>
      <c r="AO270" s="7" t="n">
        <f aca="false">IF(AH270="","",1/AH270)</f>
        <v>34.8292073039833</v>
      </c>
      <c r="AP270" s="5" t="s">
        <v>88</v>
      </c>
      <c r="AQ270" s="5" t="s">
        <v>178</v>
      </c>
      <c r="AR270" s="5"/>
      <c r="AS270" s="7" t="n">
        <f aca="false">IF(AND(AP270="Y",ISNUMBER(AO270)),AO270,0)</f>
        <v>34.8292073039833</v>
      </c>
      <c r="AT270" s="7" t="n">
        <f aca="false">IF(AS270&gt;0,AS270*AG270,0)</f>
        <v>18.930097552611</v>
      </c>
      <c r="AU270" s="7" t="n">
        <f aca="false">IF(AS270&gt;0,AS270*AG270^2,0)</f>
        <v>10.2887381335947</v>
      </c>
      <c r="AV270" s="9" t="n">
        <f aca="false">IF(AS270&gt;0,AS270^2,0)</f>
        <v>1213.07368142384</v>
      </c>
      <c r="AW270" s="7" t="n">
        <f aca="false">IF(AS270&gt;0,AG270,0)</f>
        <v>0.543512155972784</v>
      </c>
      <c r="AX270" s="7" t="n">
        <f aca="false">IF(AS270&gt;0,AH270,1)</f>
        <v>0.0287115348699203</v>
      </c>
    </row>
    <row r="271" customFormat="false" ht="15" hidden="false" customHeight="false" outlineLevel="0" collapsed="false">
      <c r="A271" s="5" t="s">
        <v>889</v>
      </c>
      <c r="B271" s="5" t="s">
        <v>878</v>
      </c>
      <c r="C271" s="5" t="s">
        <v>879</v>
      </c>
      <c r="D271" s="5" t="n">
        <v>2024</v>
      </c>
      <c r="E271" s="5" t="s">
        <v>880</v>
      </c>
      <c r="F271" s="5" t="s">
        <v>173</v>
      </c>
      <c r="G271" s="5" t="s">
        <v>253</v>
      </c>
      <c r="H271" s="5" t="s">
        <v>74</v>
      </c>
      <c r="I271" s="5" t="s">
        <v>207</v>
      </c>
      <c r="J271" s="5" t="s">
        <v>76</v>
      </c>
      <c r="K271" s="5" t="s">
        <v>163</v>
      </c>
      <c r="L271" s="5" t="s">
        <v>164</v>
      </c>
      <c r="M271" s="5"/>
      <c r="N271" s="5"/>
      <c r="O271" s="5" t="s">
        <v>261</v>
      </c>
      <c r="P271" s="11" t="s">
        <v>113</v>
      </c>
      <c r="Q271" s="11" t="s">
        <v>114</v>
      </c>
      <c r="R271" s="5" t="s">
        <v>125</v>
      </c>
      <c r="S271" s="11" t="s">
        <v>226</v>
      </c>
      <c r="T271" s="5"/>
      <c r="U271" s="11" t="s">
        <v>86</v>
      </c>
      <c r="V271" s="5" t="n">
        <v>57</v>
      </c>
      <c r="W271" s="5" t="n">
        <v>51.51</v>
      </c>
      <c r="X271" s="5" t="n">
        <v>15.86</v>
      </c>
      <c r="Y271" s="5" t="n">
        <v>68</v>
      </c>
      <c r="Z271" s="5" t="n">
        <v>29.41</v>
      </c>
      <c r="AA271" s="5" t="n">
        <v>16.32</v>
      </c>
      <c r="AB271" s="5" t="s">
        <v>99</v>
      </c>
      <c r="AC271" s="5"/>
      <c r="AD271" s="5" t="n">
        <v>1</v>
      </c>
      <c r="AE271" s="7" t="n">
        <f aca="false">IFERROR(IF(AB271="MSD",IF(COUNT(V271,W271,X271,Y271,Z271,AA271)&lt;6,"",(W271-Z271)/SQRT(((V271-1)*X271^2+(Y271-1)*AA271^2)/(V271+Y271-2))*AD271),IF(AB271="t",AC271*SQRT(1/V271+1/Y271)*AD271,IF(AB271="F",SQRT(AC271)*SQRT(1/V271+1/Y271)*AD271,IF(AB271="z",2*(AC271/SQRT(V271+Y271))/SQRT(1-(AC271/SQRT(V271+Y271))^2)*AD271,IF(AB271="t_paired",AC271/SQRT(V271)*AD271,""))))),"")</f>
        <v>1.37163163274898</v>
      </c>
      <c r="AF271" s="7" t="n">
        <f aca="false">IF(AE271="","",IF(AB271="t_paired",1-3/(4*(V271-1)-1),1-3/(4*(V271+Y271)-9)))</f>
        <v>0.993890020366599</v>
      </c>
      <c r="AG271" s="7" t="n">
        <f aca="false">IF(AE271="","",AE271*AF271)</f>
        <v>1.36325099140836</v>
      </c>
      <c r="AH271" s="7" t="n">
        <f aca="false">IF(AG271="","",IF(AB271="t_paired",1/V271+AG271^2/(2*V271),(V271+Y271)/(V271*Y271)+AG271^2/(2*(V271+Y271))))</f>
        <v>0.0396835550643675</v>
      </c>
      <c r="AI271" s="7" t="n">
        <f aca="false">IF(AH271="","",SQRT(AH271))</f>
        <v>0.199207316794257</v>
      </c>
      <c r="AJ271" s="7" t="n">
        <f aca="false">IF(AI271="","",AG271-1.96*AI271)</f>
        <v>0.972804650491616</v>
      </c>
      <c r="AK271" s="7" t="n">
        <f aca="false">IF(AI271="","",AG271+1.96*AI271)</f>
        <v>1.7536973323251</v>
      </c>
      <c r="AL271" s="7" t="n">
        <f aca="false">IF(AI271="","",AG271/AI271)</f>
        <v>6.84337811153963</v>
      </c>
      <c r="AM271" s="8" t="n">
        <f aca="false">IF(AL271="","",2*(1-NORMSDIST(ABS(AL271))))</f>
        <v>7.73470176795854E-012</v>
      </c>
      <c r="AN271" s="9" t="n">
        <f aca="false">IF(COUNT(V271)=0,"",IF(AB271="t_paired",V271,V271+N(Y271)))</f>
        <v>125</v>
      </c>
      <c r="AO271" s="7" t="n">
        <f aca="false">IF(AH271="","",1/AH271)</f>
        <v>25.1993552084228</v>
      </c>
      <c r="AP271" s="5" t="s">
        <v>88</v>
      </c>
      <c r="AQ271" s="5" t="s">
        <v>227</v>
      </c>
      <c r="AR271" s="5"/>
      <c r="AS271" s="7" t="n">
        <f aca="false">IF(AND(AP271="Y",ISNUMBER(AO271)),AO271,0)</f>
        <v>25.1993552084228</v>
      </c>
      <c r="AT271" s="7" t="n">
        <f aca="false">IF(AS271&gt;0,AS271*AG271,0)</f>
        <v>34.3530459707337</v>
      </c>
      <c r="AU271" s="7" t="n">
        <f aca="false">IF(AS271&gt;0,AS271*AG271^2,0)</f>
        <v>46.8318239774997</v>
      </c>
      <c r="AV271" s="9" t="n">
        <f aca="false">IF(AS271&gt;0,AS271^2,0)</f>
        <v>635.007502920263</v>
      </c>
      <c r="AW271" s="7" t="n">
        <f aca="false">IF(AS271&gt;0,AG271,0)</f>
        <v>1.36325099140836</v>
      </c>
      <c r="AX271" s="7" t="n">
        <f aca="false">IF(AS271&gt;0,AH271,1)</f>
        <v>0.0396835550643675</v>
      </c>
    </row>
    <row r="272" customFormat="false" ht="15" hidden="false" customHeight="false" outlineLevel="0" collapsed="false">
      <c r="A272" s="5" t="s">
        <v>890</v>
      </c>
      <c r="B272" s="5" t="s">
        <v>891</v>
      </c>
      <c r="C272" s="5" t="s">
        <v>892</v>
      </c>
      <c r="D272" s="5" t="n">
        <v>2022</v>
      </c>
      <c r="E272" s="5" t="s">
        <v>893</v>
      </c>
      <c r="F272" s="5" t="s">
        <v>159</v>
      </c>
      <c r="G272" s="5" t="s">
        <v>160</v>
      </c>
      <c r="H272" s="5" t="s">
        <v>161</v>
      </c>
      <c r="I272" s="5" t="s">
        <v>161</v>
      </c>
      <c r="J272" s="5" t="s">
        <v>162</v>
      </c>
      <c r="K272" s="5" t="s">
        <v>163</v>
      </c>
      <c r="L272" s="5" t="s">
        <v>164</v>
      </c>
      <c r="M272" s="5" t="s">
        <v>894</v>
      </c>
      <c r="N272" s="5" t="n">
        <v>70</v>
      </c>
      <c r="O272" s="5" t="s">
        <v>190</v>
      </c>
      <c r="P272" s="6" t="s">
        <v>82</v>
      </c>
      <c r="Q272" s="6" t="s">
        <v>191</v>
      </c>
      <c r="R272" s="5"/>
      <c r="S272" s="6" t="s">
        <v>895</v>
      </c>
      <c r="T272" s="5" t="s">
        <v>896</v>
      </c>
      <c r="U272" s="6" t="s">
        <v>86</v>
      </c>
      <c r="V272" s="5" t="n">
        <v>10</v>
      </c>
      <c r="W272" s="5" t="n">
        <v>93.83</v>
      </c>
      <c r="X272" s="5" t="n">
        <v>15.105</v>
      </c>
      <c r="Y272" s="5" t="n">
        <v>10</v>
      </c>
      <c r="Z272" s="5" t="n">
        <v>90.67</v>
      </c>
      <c r="AA272" s="5" t="n">
        <v>10.033</v>
      </c>
      <c r="AB272" s="5" t="s">
        <v>99</v>
      </c>
      <c r="AC272" s="5"/>
      <c r="AD272" s="5" t="n">
        <v>1</v>
      </c>
      <c r="AE272" s="7" t="n">
        <f aca="false">IFERROR(IF(AB272="MSD",IF(COUNT(V272,W272,X272,Y272,Z272,AA272)&lt;6,"",(W272-Z272)/SQRT(((V272-1)*X272^2+(Y272-1)*AA272^2)/(V272+Y272-2))*AD272),IF(AB272="t",AC272*SQRT(1/V272+1/Y272)*AD272,IF(AB272="F",SQRT(AC272)*SQRT(1/V272+1/Y272)*AD272,IF(AB272="z",2*(AC272/SQRT(V272+Y272))/SQRT(1-(AC272/SQRT(V272+Y272))^2)*AD272,IF(AB272="t_paired",AC272/SQRT(V272)*AD272,""))))),"")</f>
        <v>0.246445885527899</v>
      </c>
      <c r="AF272" s="7" t="n">
        <f aca="false">IF(AE272="","",IF(AB272="t_paired",1-3/(4*(V272-1)-1),1-3/(4*(V272+Y272)-9)))</f>
        <v>0.95774647887324</v>
      </c>
      <c r="AG272" s="7" t="n">
        <f aca="false">IF(AE272="","",AE272*AF272)</f>
        <v>0.236032679097142</v>
      </c>
      <c r="AH272" s="7" t="n">
        <f aca="false">IF(AG272="","",IF(AB272="t_paired",1/V272+AG272^2/(2*V272),(V272+Y272)/(V272*Y272)+AG272^2/(2*(V272+Y272))))</f>
        <v>0.201392785640044</v>
      </c>
      <c r="AI272" s="7" t="n">
        <f aca="false">IF(AH272="","",SQRT(AH272))</f>
        <v>0.448768075558015</v>
      </c>
      <c r="AJ272" s="7" t="n">
        <f aca="false">IF(AI272="","",AG272-1.96*AI272)</f>
        <v>-0.643552748996567</v>
      </c>
      <c r="AK272" s="7" t="n">
        <f aca="false">IF(AI272="","",AG272+1.96*AI272)</f>
        <v>1.11561810719085</v>
      </c>
      <c r="AL272" s="7" t="n">
        <f aca="false">IF(AI272="","",AG272/AI272)</f>
        <v>0.525956929542394</v>
      </c>
      <c r="AM272" s="8" t="n">
        <f aca="false">IF(AL272="","",2*(1-NORMSDIST(ABS(AL272))))</f>
        <v>0.598918132723443</v>
      </c>
      <c r="AN272" s="9" t="n">
        <f aca="false">IF(COUNT(V272)=0,"",IF(AB272="t_paired",V272,V272+N(Y272)))</f>
        <v>20</v>
      </c>
      <c r="AO272" s="7" t="n">
        <f aca="false">IF(AH272="","",1/AH272)</f>
        <v>4.96542116353329</v>
      </c>
      <c r="AP272" s="5" t="s">
        <v>88</v>
      </c>
      <c r="AQ272" s="5" t="s">
        <v>167</v>
      </c>
      <c r="AR272" s="5"/>
      <c r="AS272" s="7" t="n">
        <f aca="false">IF(AND(AP272="Y",ISNUMBER(AO272)),AO272,0)</f>
        <v>4.96542116353329</v>
      </c>
      <c r="AT272" s="7" t="n">
        <f aca="false">IF(AS272&gt;0,AS272*AG272,0)</f>
        <v>1.17200166007441</v>
      </c>
      <c r="AU272" s="7" t="n">
        <f aca="false">IF(AS272&gt;0,AS272*AG272^2,0)</f>
        <v>0.276630691733662</v>
      </c>
      <c r="AV272" s="9" t="n">
        <f aca="false">IF(AS272&gt;0,AS272^2,0)</f>
        <v>24.6554073312643</v>
      </c>
      <c r="AW272" s="7" t="n">
        <f aca="false">IF(AS272&gt;0,AG272,0)</f>
        <v>0.236032679097142</v>
      </c>
      <c r="AX272" s="7" t="n">
        <f aca="false">IF(AS272&gt;0,AH272,1)</f>
        <v>0.201392785640044</v>
      </c>
    </row>
    <row r="273" customFormat="false" ht="15" hidden="false" customHeight="false" outlineLevel="0" collapsed="false">
      <c r="A273" s="5" t="s">
        <v>897</v>
      </c>
      <c r="B273" s="5" t="s">
        <v>898</v>
      </c>
      <c r="C273" s="5" t="s">
        <v>899</v>
      </c>
      <c r="D273" s="5" t="n">
        <v>2025</v>
      </c>
      <c r="E273" s="5" t="s">
        <v>221</v>
      </c>
      <c r="F273" s="5" t="s">
        <v>173</v>
      </c>
      <c r="G273" s="5" t="s">
        <v>160</v>
      </c>
      <c r="H273" s="5" t="s">
        <v>74</v>
      </c>
      <c r="I273" s="5" t="s">
        <v>207</v>
      </c>
      <c r="J273" s="5" t="s">
        <v>162</v>
      </c>
      <c r="K273" s="5" t="s">
        <v>163</v>
      </c>
      <c r="L273" s="5" t="s">
        <v>164</v>
      </c>
      <c r="M273" s="5" t="s">
        <v>900</v>
      </c>
      <c r="N273" s="5" t="n">
        <v>70</v>
      </c>
      <c r="O273" s="5" t="s">
        <v>261</v>
      </c>
      <c r="P273" s="6" t="s">
        <v>82</v>
      </c>
      <c r="Q273" s="6" t="s">
        <v>450</v>
      </c>
      <c r="R273" s="5"/>
      <c r="S273" s="6" t="s">
        <v>901</v>
      </c>
      <c r="T273" s="5"/>
      <c r="U273" s="6" t="s">
        <v>86</v>
      </c>
      <c r="V273" s="5" t="n">
        <v>24</v>
      </c>
      <c r="W273" s="5" t="n">
        <v>2.57</v>
      </c>
      <c r="X273" s="5" t="n">
        <v>0.68</v>
      </c>
      <c r="Y273" s="5" t="n">
        <v>21</v>
      </c>
      <c r="Z273" s="5" t="n">
        <v>2.98</v>
      </c>
      <c r="AA273" s="5" t="n">
        <v>0.61</v>
      </c>
      <c r="AB273" s="5" t="s">
        <v>99</v>
      </c>
      <c r="AC273" s="5"/>
      <c r="AD273" s="5" t="n">
        <v>-1</v>
      </c>
      <c r="AE273" s="7" t="n">
        <f aca="false">IFERROR(IF(AB273="MSD",IF(COUNT(V273,W273,X273,Y273,Z273,AA273)&lt;6,"",(W273-Z273)/SQRT(((V273-1)*X273^2+(Y273-1)*AA273^2)/(V273+Y273-2))*AD273),IF(AB273="t",AC273*SQRT(1/V273+1/Y273)*AD273,IF(AB273="F",SQRT(AC273)*SQRT(1/V273+1/Y273)*AD273,IF(AB273="z",2*(AC273/SQRT(V273+Y273))/SQRT(1-(AC273/SQRT(V273+Y273))^2)*AD273,IF(AB273="t_paired",AC273/SQRT(V273)*AD273,""))))),"")</f>
        <v>0.632342690937527</v>
      </c>
      <c r="AF273" s="7" t="n">
        <f aca="false">IF(AE273="","",IF(AB273="t_paired",1-3/(4*(V273-1)-1),1-3/(4*(V273+Y273)-9)))</f>
        <v>0.982456140350877</v>
      </c>
      <c r="AG273" s="7" t="n">
        <f aca="false">IF(AE273="","",AE273*AF273)</f>
        <v>0.62124895951757</v>
      </c>
      <c r="AH273" s="7" t="n">
        <f aca="false">IF(AG273="","",IF(AB273="t_paired",1/V273+AG273^2/(2*V273),(V273+Y273)/(V273*Y273)+AG273^2/(2*(V273+Y273))))</f>
        <v>0.0935740506157328</v>
      </c>
      <c r="AI273" s="7" t="n">
        <f aca="false">IF(AH273="","",SQRT(AH273))</f>
        <v>0.305898758767885</v>
      </c>
      <c r="AJ273" s="7" t="n">
        <f aca="false">IF(AI273="","",AG273-1.96*AI273)</f>
        <v>0.0216873923325153</v>
      </c>
      <c r="AK273" s="7" t="n">
        <f aca="false">IF(AI273="","",AG273+1.96*AI273)</f>
        <v>1.22081052670262</v>
      </c>
      <c r="AL273" s="7" t="n">
        <f aca="false">IF(AI273="","",AG273/AI273)</f>
        <v>2.03089728778197</v>
      </c>
      <c r="AM273" s="8" t="n">
        <f aca="false">IF(AL273="","",2*(1-NORMSDIST(ABS(AL273))))</f>
        <v>0.0422654149822821</v>
      </c>
      <c r="AN273" s="9" t="n">
        <f aca="false">IF(COUNT(V273)=0,"",IF(AB273="t_paired",V273,V273+N(Y273)))</f>
        <v>45</v>
      </c>
      <c r="AO273" s="7" t="n">
        <f aca="false">IF(AH273="","",1/AH273)</f>
        <v>10.6867234390286</v>
      </c>
      <c r="AP273" s="5" t="s">
        <v>88</v>
      </c>
      <c r="AQ273" s="5" t="s">
        <v>210</v>
      </c>
      <c r="AR273" s="5" t="s">
        <v>452</v>
      </c>
      <c r="AS273" s="7" t="n">
        <f aca="false">IF(AND(AP273="Y",ISNUMBER(AO273)),AO273,0)</f>
        <v>10.6867234390286</v>
      </c>
      <c r="AT273" s="7" t="n">
        <f aca="false">IF(AS273&gt;0,AS273*AG273,0)</f>
        <v>6.63911581714855</v>
      </c>
      <c r="AU273" s="7" t="n">
        <f aca="false">IF(AS273&gt;0,AS273*AG273^2,0)</f>
        <v>4.12454379352018</v>
      </c>
      <c r="AV273" s="9" t="n">
        <f aca="false">IF(AS273&gt;0,AS273^2,0)</f>
        <v>114.206057862283</v>
      </c>
      <c r="AW273" s="7" t="n">
        <f aca="false">IF(AS273&gt;0,AG273,0)</f>
        <v>0.62124895951757</v>
      </c>
      <c r="AX273" s="7" t="n">
        <f aca="false">IF(AS273&gt;0,AH273,1)</f>
        <v>0.0935740506157328</v>
      </c>
    </row>
    <row r="274" customFormat="false" ht="15" hidden="false" customHeight="false" outlineLevel="0" collapsed="false">
      <c r="A274" s="5" t="s">
        <v>902</v>
      </c>
      <c r="B274" s="5" t="s">
        <v>898</v>
      </c>
      <c r="C274" s="5" t="s">
        <v>899</v>
      </c>
      <c r="D274" s="5" t="n">
        <v>2025</v>
      </c>
      <c r="E274" s="5" t="s">
        <v>221</v>
      </c>
      <c r="F274" s="5" t="s">
        <v>173</v>
      </c>
      <c r="G274" s="5" t="s">
        <v>160</v>
      </c>
      <c r="H274" s="5" t="s">
        <v>74</v>
      </c>
      <c r="I274" s="5" t="s">
        <v>207</v>
      </c>
      <c r="J274" s="5" t="s">
        <v>162</v>
      </c>
      <c r="K274" s="5" t="s">
        <v>163</v>
      </c>
      <c r="L274" s="5" t="s">
        <v>164</v>
      </c>
      <c r="M274" s="5" t="s">
        <v>900</v>
      </c>
      <c r="N274" s="5" t="n">
        <v>70</v>
      </c>
      <c r="O274" s="5" t="s">
        <v>261</v>
      </c>
      <c r="P274" s="6" t="s">
        <v>82</v>
      </c>
      <c r="Q274" s="6" t="s">
        <v>103</v>
      </c>
      <c r="R274" s="5"/>
      <c r="S274" s="6" t="s">
        <v>212</v>
      </c>
      <c r="T274" s="5" t="s">
        <v>903</v>
      </c>
      <c r="U274" s="6" t="s">
        <v>86</v>
      </c>
      <c r="V274" s="5" t="n">
        <v>24</v>
      </c>
      <c r="W274" s="5" t="n">
        <v>83.5</v>
      </c>
      <c r="X274" s="5" t="n">
        <v>6.39</v>
      </c>
      <c r="Y274" s="5" t="n">
        <v>21</v>
      </c>
      <c r="Z274" s="5" t="n">
        <v>78.14</v>
      </c>
      <c r="AA274" s="5" t="n">
        <v>5.54</v>
      </c>
      <c r="AB274" s="5" t="s">
        <v>99</v>
      </c>
      <c r="AC274" s="5"/>
      <c r="AD274" s="5" t="n">
        <v>1</v>
      </c>
      <c r="AE274" s="7" t="n">
        <f aca="false">IFERROR(IF(AB274="MSD",IF(COUNT(V274,W274,X274,Y274,Z274,AA274)&lt;6,"",(W274-Z274)/SQRT(((V274-1)*X274^2+(Y274-1)*AA274^2)/(V274+Y274-2))*AD274),IF(AB274="t",AC274*SQRT(1/V274+1/Y274)*AD274,IF(AB274="F",SQRT(AC274)*SQRT(1/V274+1/Y274)*AD274,IF(AB274="z",2*(AC274/SQRT(V274+Y274))/SQRT(1-(AC274/SQRT(V274+Y274))^2)*AD274,IF(AB274="t_paired",AC274/SQRT(V274)*AD274,""))))),"")</f>
        <v>0.891902625663242</v>
      </c>
      <c r="AF274" s="7" t="n">
        <f aca="false">IF(AE274="","",IF(AB274="t_paired",1-3/(4*(V274-1)-1),1-3/(4*(V274+Y274)-9)))</f>
        <v>0.982456140350877</v>
      </c>
      <c r="AG274" s="7" t="n">
        <f aca="false">IF(AE274="","",AE274*AF274)</f>
        <v>0.876255211177922</v>
      </c>
      <c r="AH274" s="7" t="n">
        <f aca="false">IF(AG274="","",IF(AB274="t_paired",1/V274+AG274^2/(2*V274),(V274+Y274)/(V274*Y274)+AG274^2/(2*(V274+Y274))))</f>
        <v>0.0978170831203417</v>
      </c>
      <c r="AI274" s="7" t="n">
        <f aca="false">IF(AH274="","",SQRT(AH274))</f>
        <v>0.312757227127275</v>
      </c>
      <c r="AJ274" s="7" t="n">
        <f aca="false">IF(AI274="","",AG274-1.96*AI274)</f>
        <v>0.263251046008464</v>
      </c>
      <c r="AK274" s="7" t="n">
        <f aca="false">IF(AI274="","",AG274+1.96*AI274)</f>
        <v>1.48925937634738</v>
      </c>
      <c r="AL274" s="7" t="n">
        <f aca="false">IF(AI274="","",AG274/AI274)</f>
        <v>2.80171051274008</v>
      </c>
      <c r="AM274" s="8" t="n">
        <f aca="false">IF(AL274="","",2*(1-NORMSDIST(ABS(AL274))))</f>
        <v>0.00508324645553104</v>
      </c>
      <c r="AN274" s="9" t="n">
        <f aca="false">IF(COUNT(V274)=0,"",IF(AB274="t_paired",V274,V274+N(Y274)))</f>
        <v>45</v>
      </c>
      <c r="AO274" s="7" t="n">
        <f aca="false">IF(AH274="","",1/AH274)</f>
        <v>10.2231631541264</v>
      </c>
      <c r="AP274" s="5" t="s">
        <v>88</v>
      </c>
      <c r="AQ274" s="5" t="s">
        <v>178</v>
      </c>
      <c r="AR274" s="5" t="s">
        <v>214</v>
      </c>
      <c r="AS274" s="7" t="n">
        <f aca="false">IF(AND(AP274="Y",ISNUMBER(AO274)),AO274,0)</f>
        <v>10.2231631541264</v>
      </c>
      <c r="AT274" s="7" t="n">
        <f aca="false">IF(AS274&gt;0,AS274*AG274,0)</f>
        <v>8.95809998852541</v>
      </c>
      <c r="AU274" s="7" t="n">
        <f aca="false">IF(AS274&gt;0,AS274*AG274^2,0)</f>
        <v>7.84958179719828</v>
      </c>
      <c r="AV274" s="9" t="n">
        <f aca="false">IF(AS274&gt;0,AS274^2,0)</f>
        <v>104.513064875888</v>
      </c>
      <c r="AW274" s="7" t="n">
        <f aca="false">IF(AS274&gt;0,AG274,0)</f>
        <v>0.876255211177922</v>
      </c>
      <c r="AX274" s="7" t="n">
        <f aca="false">IF(AS274&gt;0,AH274,1)</f>
        <v>0.0978170831203417</v>
      </c>
    </row>
    <row r="275" customFormat="false" ht="15" hidden="false" customHeight="false" outlineLevel="0" collapsed="false">
      <c r="A275" s="5" t="s">
        <v>904</v>
      </c>
      <c r="B275" s="5" t="s">
        <v>905</v>
      </c>
      <c r="C275" s="5" t="s">
        <v>906</v>
      </c>
      <c r="D275" s="5" t="n">
        <v>2024</v>
      </c>
      <c r="E275" s="5" t="s">
        <v>907</v>
      </c>
      <c r="F275" s="5" t="s">
        <v>199</v>
      </c>
      <c r="G275" s="5" t="s">
        <v>160</v>
      </c>
      <c r="H275" s="5" t="s">
        <v>174</v>
      </c>
      <c r="I275" s="5" t="s">
        <v>908</v>
      </c>
      <c r="J275" s="5" t="s">
        <v>162</v>
      </c>
      <c r="K275" s="5" t="s">
        <v>163</v>
      </c>
      <c r="L275" s="5" t="s">
        <v>164</v>
      </c>
      <c r="M275" s="5"/>
      <c r="N275" s="5"/>
      <c r="O275" s="5" t="s">
        <v>162</v>
      </c>
      <c r="P275" s="10" t="s">
        <v>82</v>
      </c>
      <c r="Q275" s="10" t="s">
        <v>191</v>
      </c>
      <c r="R275" s="5"/>
      <c r="S275" s="10" t="s">
        <v>909</v>
      </c>
      <c r="T275" s="5" t="s">
        <v>213</v>
      </c>
      <c r="U275" s="10" t="s">
        <v>98</v>
      </c>
      <c r="V275" s="5" t="n">
        <v>174</v>
      </c>
      <c r="W275" s="5" t="n">
        <v>10.47</v>
      </c>
      <c r="X275" s="5" t="n">
        <v>2.54</v>
      </c>
      <c r="Y275" s="5" t="n">
        <v>162</v>
      </c>
      <c r="Z275" s="5" t="n">
        <v>9.78</v>
      </c>
      <c r="AA275" s="5" t="n">
        <v>1.96</v>
      </c>
      <c r="AB275" s="5" t="s">
        <v>99</v>
      </c>
      <c r="AC275" s="5"/>
      <c r="AD275" s="5" t="n">
        <v>1</v>
      </c>
      <c r="AE275" s="7" t="n">
        <f aca="false">IFERROR(IF(AB275="MSD",IF(COUNT(V275,W275,X275,Y275,Z275,AA275)&lt;6,"",(W275-Z275)/SQRT(((V275-1)*X275^2+(Y275-1)*AA275^2)/(V275+Y275-2))*AD275),IF(AB275="t",AC275*SQRT(1/V275+1/Y275)*AD275,IF(AB275="F",SQRT(AC275)*SQRT(1/V275+1/Y275)*AD275,IF(AB275="z",2*(AC275/SQRT(V275+Y275))/SQRT(1-(AC275/SQRT(V275+Y275))^2)*AD275,IF(AB275="t_paired",AC275/SQRT(V275)*AD275,""))))),"")</f>
        <v>0.30277471123606</v>
      </c>
      <c r="AF275" s="7" t="n">
        <f aca="false">IF(AE275="","",IF(AB275="t_paired",1-3/(4*(V275-1)-1),1-3/(4*(V275+Y275)-9)))</f>
        <v>0.997752808988764</v>
      </c>
      <c r="AG275" s="7" t="n">
        <f aca="false">IF(AE275="","",AE275*AF275)</f>
        <v>0.30209431862654</v>
      </c>
      <c r="AH275" s="7" t="n">
        <f aca="false">IF(AG275="","",IF(AB275="t_paired",1/V275+AG275^2/(2*V275),(V275+Y275)/(V275*Y275)+AG275^2/(2*(V275+Y275))))</f>
        <v>0.0120557709687676</v>
      </c>
      <c r="AI275" s="7" t="n">
        <f aca="false">IF(AH275="","",SQRT(AH275))</f>
        <v>0.109798774896479</v>
      </c>
      <c r="AJ275" s="7" t="n">
        <f aca="false">IF(AI275="","",AG275-1.96*AI275)</f>
        <v>0.0868887198294422</v>
      </c>
      <c r="AK275" s="7" t="n">
        <f aca="false">IF(AI275="","",AG275+1.96*AI275)</f>
        <v>0.517299917423639</v>
      </c>
      <c r="AL275" s="7" t="n">
        <f aca="false">IF(AI275="","",AG275/AI275)</f>
        <v>2.75134507567469</v>
      </c>
      <c r="AM275" s="8" t="n">
        <f aca="false">IF(AL275="","",2*(1-NORMSDIST(ABS(AL275))))</f>
        <v>0.00593510860621338</v>
      </c>
      <c r="AN275" s="9" t="n">
        <f aca="false">IF(COUNT(V275)=0,"",IF(AB275="t_paired",V275,V275+N(Y275)))</f>
        <v>336</v>
      </c>
      <c r="AO275" s="7" t="n">
        <f aca="false">IF(AH275="","",1/AH275)</f>
        <v>82.9478266127202</v>
      </c>
      <c r="AP275" s="5" t="s">
        <v>100</v>
      </c>
      <c r="AQ275" s="5" t="s">
        <v>167</v>
      </c>
      <c r="AR275" s="5"/>
      <c r="AS275" s="9" t="n">
        <f aca="false">IF(AND(AP275="Y",ISNUMBER(AO275)),AO275,0)</f>
        <v>0</v>
      </c>
      <c r="AT275" s="7" t="n">
        <f aca="false">IF(AS275&gt;0,AS275*AG275,0)</f>
        <v>0</v>
      </c>
      <c r="AU275" s="7" t="n">
        <f aca="false">IF(AS275&gt;0,AS275*AG275^2,0)</f>
        <v>0</v>
      </c>
      <c r="AV275" s="9" t="n">
        <f aca="false">IF(AS275&gt;0,AS275^2,0)</f>
        <v>0</v>
      </c>
      <c r="AW275" s="7" t="n">
        <f aca="false">IF(AS275&gt;0,AG275,0)</f>
        <v>0</v>
      </c>
      <c r="AX275" s="7" t="n">
        <f aca="false">IF(AS275&gt;0,AH275,1)</f>
        <v>1</v>
      </c>
    </row>
    <row r="276" customFormat="false" ht="15" hidden="false" customHeight="false" outlineLevel="0" collapsed="false">
      <c r="A276" s="5" t="s">
        <v>910</v>
      </c>
      <c r="B276" s="5" t="s">
        <v>905</v>
      </c>
      <c r="C276" s="5" t="s">
        <v>906</v>
      </c>
      <c r="D276" s="5" t="n">
        <v>2024</v>
      </c>
      <c r="E276" s="5" t="s">
        <v>907</v>
      </c>
      <c r="F276" s="5" t="s">
        <v>199</v>
      </c>
      <c r="G276" s="5" t="s">
        <v>160</v>
      </c>
      <c r="H276" s="5" t="s">
        <v>174</v>
      </c>
      <c r="I276" s="5" t="s">
        <v>908</v>
      </c>
      <c r="J276" s="5" t="s">
        <v>162</v>
      </c>
      <c r="K276" s="5" t="s">
        <v>163</v>
      </c>
      <c r="L276" s="5" t="s">
        <v>164</v>
      </c>
      <c r="M276" s="5"/>
      <c r="N276" s="5"/>
      <c r="O276" s="5" t="s">
        <v>162</v>
      </c>
      <c r="P276" s="6" t="s">
        <v>82</v>
      </c>
      <c r="Q276" s="6" t="s">
        <v>191</v>
      </c>
      <c r="R276" s="5"/>
      <c r="S276" s="6" t="s">
        <v>909</v>
      </c>
      <c r="T276" s="5" t="s">
        <v>213</v>
      </c>
      <c r="U276" s="6" t="s">
        <v>86</v>
      </c>
      <c r="V276" s="5" t="n">
        <v>174</v>
      </c>
      <c r="W276" s="5" t="n">
        <v>10.47</v>
      </c>
      <c r="X276" s="5" t="n">
        <v>1.57</v>
      </c>
      <c r="Y276" s="5" t="n">
        <v>162</v>
      </c>
      <c r="Z276" s="5" t="n">
        <v>9.15</v>
      </c>
      <c r="AA276" s="5" t="n">
        <v>1.81</v>
      </c>
      <c r="AB276" s="5" t="s">
        <v>99</v>
      </c>
      <c r="AC276" s="5"/>
      <c r="AD276" s="5" t="n">
        <v>1</v>
      </c>
      <c r="AE276" s="7" t="n">
        <f aca="false">IFERROR(IF(AB276="MSD",IF(COUNT(V276,W276,X276,Y276,Z276,AA276)&lt;6,"",(W276-Z276)/SQRT(((V276-1)*X276^2+(Y276-1)*AA276^2)/(V276+Y276-2))*AD276),IF(AB276="t",AC276*SQRT(1/V276+1/Y276)*AD276,IF(AB276="F",SQRT(AC276)*SQRT(1/V276+1/Y276)*AD276,IF(AB276="z",2*(AC276/SQRT(V276+Y276))/SQRT(1-(AC276/SQRT(V276+Y276))^2)*AD276,IF(AB276="t_paired",AC276/SQRT(V276)*AD276,""))))),"")</f>
        <v>0.781088670696108</v>
      </c>
      <c r="AF276" s="7" t="n">
        <f aca="false">IF(AE276="","",IF(AB276="t_paired",1-3/(4*(V276-1)-1),1-3/(4*(V276+Y276)-9)))</f>
        <v>0.997752808988764</v>
      </c>
      <c r="AG276" s="7" t="n">
        <f aca="false">IF(AE276="","",AE276*AF276)</f>
        <v>0.779333415256341</v>
      </c>
      <c r="AH276" s="7" t="n">
        <f aca="false">IF(AG276="","",IF(AB276="t_paired",1/V276+AG276^2/(2*V276),(V276+Y276)/(V276*Y276)+AG276^2/(2*(V276+Y276))))</f>
        <v>0.0128237763181555</v>
      </c>
      <c r="AI276" s="7" t="n">
        <f aca="false">IF(AH276="","",SQRT(AH276))</f>
        <v>0.113242113712856</v>
      </c>
      <c r="AJ276" s="7" t="n">
        <f aca="false">IF(AI276="","",AG276-1.96*AI276)</f>
        <v>0.557378872379143</v>
      </c>
      <c r="AK276" s="7" t="n">
        <f aca="false">IF(AI276="","",AG276+1.96*AI276)</f>
        <v>1.00128795813354</v>
      </c>
      <c r="AL276" s="7" t="n">
        <f aca="false">IF(AI276="","",AG276/AI276)</f>
        <v>6.88201049684101</v>
      </c>
      <c r="AM276" s="8" t="n">
        <f aca="false">IF(AL276="","",2*(1-NORMSDIST(ABS(AL276))))</f>
        <v>5.90127946509256E-012</v>
      </c>
      <c r="AN276" s="9" t="n">
        <f aca="false">IF(COUNT(V276)=0,"",IF(AB276="t_paired",V276,V276+N(Y276)))</f>
        <v>336</v>
      </c>
      <c r="AO276" s="7" t="n">
        <f aca="false">IF(AH276="","",1/AH276)</f>
        <v>77.9801499332323</v>
      </c>
      <c r="AP276" s="5" t="s">
        <v>88</v>
      </c>
      <c r="AQ276" s="5" t="s">
        <v>167</v>
      </c>
      <c r="AR276" s="5"/>
      <c r="AS276" s="7" t="n">
        <f aca="false">IF(AND(AP276="Y",ISNUMBER(AO276)),AO276,0)</f>
        <v>77.9801499332323</v>
      </c>
      <c r="AT276" s="7" t="n">
        <f aca="false">IF(AS276&gt;0,AS276*AG276,0)</f>
        <v>60.7725365696675</v>
      </c>
      <c r="AU276" s="7" t="n">
        <f aca="false">IF(AS276&gt;0,AS276*AG276^2,0)</f>
        <v>47.3620684786299</v>
      </c>
      <c r="AV276" s="9" t="n">
        <f aca="false">IF(AS276&gt;0,AS276^2,0)</f>
        <v>6080.90378360939</v>
      </c>
      <c r="AW276" s="7" t="n">
        <f aca="false">IF(AS276&gt;0,AG276,0)</f>
        <v>0.779333415256341</v>
      </c>
      <c r="AX276" s="7" t="n">
        <f aca="false">IF(AS276&gt;0,AH276,1)</f>
        <v>0.0128237763181555</v>
      </c>
    </row>
    <row r="277" customFormat="false" ht="15" hidden="false" customHeight="false" outlineLevel="0" collapsed="false">
      <c r="A277" s="5" t="s">
        <v>911</v>
      </c>
      <c r="B277" s="5" t="s">
        <v>912</v>
      </c>
      <c r="C277" s="5" t="s">
        <v>913</v>
      </c>
      <c r="D277" s="5" t="n">
        <v>2025</v>
      </c>
      <c r="E277" s="5" t="s">
        <v>221</v>
      </c>
      <c r="F277" s="5" t="s">
        <v>173</v>
      </c>
      <c r="G277" s="5" t="s">
        <v>395</v>
      </c>
      <c r="H277" s="5" t="s">
        <v>174</v>
      </c>
      <c r="I277" s="5" t="s">
        <v>477</v>
      </c>
      <c r="J277" s="5" t="s">
        <v>76</v>
      </c>
      <c r="K277" s="5" t="s">
        <v>163</v>
      </c>
      <c r="L277" s="5" t="s">
        <v>164</v>
      </c>
      <c r="M277" s="5" t="s">
        <v>914</v>
      </c>
      <c r="N277" s="5" t="n">
        <v>90</v>
      </c>
      <c r="O277" s="5" t="s">
        <v>190</v>
      </c>
      <c r="P277" s="10" t="s">
        <v>82</v>
      </c>
      <c r="Q277" s="10" t="s">
        <v>191</v>
      </c>
      <c r="R277" s="5"/>
      <c r="S277" s="10" t="s">
        <v>915</v>
      </c>
      <c r="T277" s="5" t="s">
        <v>363</v>
      </c>
      <c r="U277" s="10" t="s">
        <v>98</v>
      </c>
      <c r="V277" s="5" t="n">
        <v>42</v>
      </c>
      <c r="W277" s="5" t="n">
        <v>4.23</v>
      </c>
      <c r="X277" s="5" t="n">
        <v>0.36</v>
      </c>
      <c r="Y277" s="5" t="n">
        <v>42</v>
      </c>
      <c r="Z277" s="5" t="n">
        <v>5.75</v>
      </c>
      <c r="AA277" s="5" t="n">
        <v>0.49</v>
      </c>
      <c r="AB277" s="5" t="s">
        <v>99</v>
      </c>
      <c r="AC277" s="5"/>
      <c r="AD277" s="5" t="n">
        <v>1</v>
      </c>
      <c r="AE277" s="7" t="n">
        <f aca="false">IFERROR(IF(AB277="MSD",IF(COUNT(V277,W277,X277,Y277,Z277,AA277)&lt;6,"",(W277-Z277)/SQRT(((V277-1)*X277^2+(Y277-1)*AA277^2)/(V277+Y277-2))*AD277),IF(AB277="t",AC277*SQRT(1/V277+1/Y277)*AD277,IF(AB277="F",SQRT(AC277)*SQRT(1/V277+1/Y277)*AD277,IF(AB277="z",2*(AC277/SQRT(V277+Y277))/SQRT(1-(AC277/SQRT(V277+Y277))^2)*AD277,IF(AB277="t_paired",AC277/SQRT(V277)*AD277,""))))),"")</f>
        <v>-3.53536176322344</v>
      </c>
      <c r="AF277" s="7" t="n">
        <f aca="false">IF(AE277="","",IF(AB277="t_paired",1-3/(4*(V277-1)-1),1-3/(4*(V277+Y277)-9)))</f>
        <v>0.990825688073395</v>
      </c>
      <c r="AG277" s="7" t="n">
        <f aca="false">IF(AE277="","",AE277*AF277)</f>
        <v>-3.50292725163423</v>
      </c>
      <c r="AH277" s="7" t="n">
        <f aca="false">IF(AG277="","",IF(AB277="t_paired",1/V277+AG277^2/(2*V277),(V277+Y277)/(V277*Y277)+AG277^2/(2*(V277+Y277))))</f>
        <v>0.120657734108582</v>
      </c>
      <c r="AI277" s="7" t="n">
        <f aca="false">IF(AH277="","",SQRT(AH277))</f>
        <v>0.347358221593475</v>
      </c>
      <c r="AJ277" s="7" t="n">
        <f aca="false">IF(AI277="","",AG277-1.96*AI277)</f>
        <v>-4.18374936595744</v>
      </c>
      <c r="AK277" s="7" t="n">
        <f aca="false">IF(AI277="","",AG277+1.96*AI277)</f>
        <v>-2.82210513731102</v>
      </c>
      <c r="AL277" s="7" t="n">
        <f aca="false">IF(AI277="","",AG277/AI277)</f>
        <v>-10.0844806136007</v>
      </c>
      <c r="AM277" s="8" t="n">
        <f aca="false">IF(AL277="","",2*(1-NORMSDIST(ABS(AL277))))</f>
        <v>0</v>
      </c>
      <c r="AN277" s="9" t="n">
        <f aca="false">IF(COUNT(V277)=0,"",IF(AB277="t_paired",V277,V277+N(Y277)))</f>
        <v>84</v>
      </c>
      <c r="AO277" s="7" t="n">
        <f aca="false">IF(AH277="","",1/AH277)</f>
        <v>8.28790634423886</v>
      </c>
      <c r="AP277" s="5" t="s">
        <v>100</v>
      </c>
      <c r="AQ277" s="5" t="s">
        <v>178</v>
      </c>
      <c r="AR277" s="5" t="s">
        <v>916</v>
      </c>
      <c r="AS277" s="9" t="n">
        <f aca="false">IF(AND(AP277="Y",ISNUMBER(AO277)),AO277,0)</f>
        <v>0</v>
      </c>
      <c r="AT277" s="7" t="n">
        <f aca="false">IF(AS277&gt;0,AS277*AG277,0)</f>
        <v>0</v>
      </c>
      <c r="AU277" s="7" t="n">
        <f aca="false">IF(AS277&gt;0,AS277*AG277^2,0)</f>
        <v>0</v>
      </c>
      <c r="AV277" s="9" t="n">
        <f aca="false">IF(AS277&gt;0,AS277^2,0)</f>
        <v>0</v>
      </c>
      <c r="AW277" s="7" t="n">
        <f aca="false">IF(AS277&gt;0,AG277,0)</f>
        <v>0</v>
      </c>
      <c r="AX277" s="7" t="n">
        <f aca="false">IF(AS277&gt;0,AH277,1)</f>
        <v>1</v>
      </c>
    </row>
    <row r="278" customFormat="false" ht="15" hidden="false" customHeight="false" outlineLevel="0" collapsed="false">
      <c r="A278" s="5" t="s">
        <v>917</v>
      </c>
      <c r="B278" s="5" t="s">
        <v>912</v>
      </c>
      <c r="C278" s="5" t="s">
        <v>913</v>
      </c>
      <c r="D278" s="5" t="n">
        <v>2025</v>
      </c>
      <c r="E278" s="5" t="s">
        <v>221</v>
      </c>
      <c r="F278" s="5" t="s">
        <v>173</v>
      </c>
      <c r="G278" s="5" t="s">
        <v>395</v>
      </c>
      <c r="H278" s="5" t="s">
        <v>174</v>
      </c>
      <c r="I278" s="5" t="s">
        <v>477</v>
      </c>
      <c r="J278" s="5" t="s">
        <v>76</v>
      </c>
      <c r="K278" s="5" t="s">
        <v>163</v>
      </c>
      <c r="L278" s="5" t="s">
        <v>164</v>
      </c>
      <c r="M278" s="5" t="s">
        <v>914</v>
      </c>
      <c r="N278" s="5" t="n">
        <v>90</v>
      </c>
      <c r="O278" s="5" t="s">
        <v>190</v>
      </c>
      <c r="P278" s="6" t="s">
        <v>82</v>
      </c>
      <c r="Q278" s="6" t="s">
        <v>191</v>
      </c>
      <c r="R278" s="5"/>
      <c r="S278" s="6" t="s">
        <v>915</v>
      </c>
      <c r="T278" s="5" t="s">
        <v>363</v>
      </c>
      <c r="U278" s="6" t="s">
        <v>86</v>
      </c>
      <c r="V278" s="5" t="n">
        <v>42</v>
      </c>
      <c r="W278" s="5" t="n">
        <v>5</v>
      </c>
      <c r="X278" s="5" t="n">
        <v>0.51</v>
      </c>
      <c r="Y278" s="5" t="n">
        <v>42</v>
      </c>
      <c r="Z278" s="5" t="n">
        <v>5</v>
      </c>
      <c r="AA278" s="5" t="n">
        <v>0.51</v>
      </c>
      <c r="AB278" s="5" t="s">
        <v>99</v>
      </c>
      <c r="AC278" s="5"/>
      <c r="AD278" s="5" t="n">
        <v>1</v>
      </c>
      <c r="AE278" s="7" t="n">
        <f aca="false">IFERROR(IF(AB278="MSD",IF(COUNT(V278,W278,X278,Y278,Z278,AA278)&lt;6,"",(W278-Z278)/SQRT(((V278-1)*X278^2+(Y278-1)*AA278^2)/(V278+Y278-2))*AD278),IF(AB278="t",AC278*SQRT(1/V278+1/Y278)*AD278,IF(AB278="F",SQRT(AC278)*SQRT(1/V278+1/Y278)*AD278,IF(AB278="z",2*(AC278/SQRT(V278+Y278))/SQRT(1-(AC278/SQRT(V278+Y278))^2)*AD278,IF(AB278="t_paired",AC278/SQRT(V278)*AD278,""))))),"")</f>
        <v>0</v>
      </c>
      <c r="AF278" s="7" t="n">
        <f aca="false">IF(AE278="","",IF(AB278="t_paired",1-3/(4*(V278-1)-1),1-3/(4*(V278+Y278)-9)))</f>
        <v>0.990825688073395</v>
      </c>
      <c r="AG278" s="7" t="n">
        <f aca="false">IF(AE278="","",AE278*AF278)</f>
        <v>0</v>
      </c>
      <c r="AH278" s="7" t="n">
        <f aca="false">IF(AG278="","",IF(AB278="t_paired",1/V278+AG278^2/(2*V278),(V278+Y278)/(V278*Y278)+AG278^2/(2*(V278+Y278))))</f>
        <v>0.0476190476190476</v>
      </c>
      <c r="AI278" s="7" t="n">
        <f aca="false">IF(AH278="","",SQRT(AH278))</f>
        <v>0.218217890235992</v>
      </c>
      <c r="AJ278" s="7" t="n">
        <f aca="false">IF(AI278="","",AG278-1.96*AI278)</f>
        <v>-0.427707064862545</v>
      </c>
      <c r="AK278" s="7" t="n">
        <f aca="false">IF(AI278="","",AG278+1.96*AI278)</f>
        <v>0.427707064862545</v>
      </c>
      <c r="AL278" s="7" t="n">
        <f aca="false">IF(AI278="","",AG278/AI278)</f>
        <v>0</v>
      </c>
      <c r="AM278" s="8" t="n">
        <f aca="false">IF(AL278="","",2*(1-NORMSDIST(ABS(AL278))))</f>
        <v>1</v>
      </c>
      <c r="AN278" s="9" t="n">
        <f aca="false">IF(COUNT(V278)=0,"",IF(AB278="t_paired",V278,V278+N(Y278)))</f>
        <v>84</v>
      </c>
      <c r="AO278" s="7" t="n">
        <f aca="false">IF(AH278="","",1/AH278)</f>
        <v>21</v>
      </c>
      <c r="AP278" s="5" t="s">
        <v>88</v>
      </c>
      <c r="AQ278" s="5" t="s">
        <v>178</v>
      </c>
      <c r="AR278" s="5" t="s">
        <v>916</v>
      </c>
      <c r="AS278" s="7" t="n">
        <f aca="false">IF(AND(AP278="Y",ISNUMBER(AO278)),AO278,0)</f>
        <v>21</v>
      </c>
      <c r="AT278" s="7" t="n">
        <f aca="false">IF(AS278&gt;0,AS278*AG278,0)</f>
        <v>0</v>
      </c>
      <c r="AU278" s="7" t="n">
        <f aca="false">IF(AS278&gt;0,AS278*AG278^2,0)</f>
        <v>0</v>
      </c>
      <c r="AV278" s="9" t="n">
        <f aca="false">IF(AS278&gt;0,AS278^2,0)</f>
        <v>441</v>
      </c>
      <c r="AW278" s="7" t="n">
        <f aca="false">IF(AS278&gt;0,AG278,0)</f>
        <v>0</v>
      </c>
      <c r="AX278" s="7" t="n">
        <f aca="false">IF(AS278&gt;0,AH278,1)</f>
        <v>0.0476190476190476</v>
      </c>
    </row>
    <row r="279" customFormat="false" ht="15" hidden="false" customHeight="false" outlineLevel="0" collapsed="false">
      <c r="A279" s="5" t="s">
        <v>918</v>
      </c>
      <c r="B279" s="5" t="s">
        <v>912</v>
      </c>
      <c r="C279" s="5" t="s">
        <v>913</v>
      </c>
      <c r="D279" s="5" t="n">
        <v>2025</v>
      </c>
      <c r="E279" s="5" t="s">
        <v>221</v>
      </c>
      <c r="F279" s="5" t="s">
        <v>173</v>
      </c>
      <c r="G279" s="5" t="s">
        <v>395</v>
      </c>
      <c r="H279" s="5" t="s">
        <v>174</v>
      </c>
      <c r="I279" s="5" t="s">
        <v>477</v>
      </c>
      <c r="J279" s="5" t="s">
        <v>76</v>
      </c>
      <c r="K279" s="5" t="s">
        <v>163</v>
      </c>
      <c r="L279" s="5" t="s">
        <v>164</v>
      </c>
      <c r="M279" s="5" t="s">
        <v>914</v>
      </c>
      <c r="N279" s="5" t="n">
        <v>90</v>
      </c>
      <c r="O279" s="5" t="s">
        <v>190</v>
      </c>
      <c r="P279" s="10" t="s">
        <v>113</v>
      </c>
      <c r="Q279" s="10" t="s">
        <v>114</v>
      </c>
      <c r="R279" s="5" t="s">
        <v>115</v>
      </c>
      <c r="S279" s="10" t="s">
        <v>919</v>
      </c>
      <c r="T279" s="5" t="s">
        <v>654</v>
      </c>
      <c r="U279" s="10" t="s">
        <v>98</v>
      </c>
      <c r="V279" s="5" t="n">
        <v>42</v>
      </c>
      <c r="W279" s="5" t="n">
        <v>2.89</v>
      </c>
      <c r="X279" s="5" t="n">
        <v>0.63</v>
      </c>
      <c r="Y279" s="5" t="n">
        <v>42</v>
      </c>
      <c r="Z279" s="5" t="n">
        <v>2.97</v>
      </c>
      <c r="AA279" s="5" t="n">
        <v>0.57</v>
      </c>
      <c r="AB279" s="5" t="s">
        <v>99</v>
      </c>
      <c r="AC279" s="5"/>
      <c r="AD279" s="5" t="n">
        <v>1</v>
      </c>
      <c r="AE279" s="7" t="n">
        <f aca="false">IFERROR(IF(AB279="MSD",IF(COUNT(V279,W279,X279,Y279,Z279,AA279)&lt;6,"",(W279-Z279)/SQRT(((V279-1)*X279^2+(Y279-1)*AA279^2)/(V279+Y279-2))*AD279),IF(AB279="t",AC279*SQRT(1/V279+1/Y279)*AD279,IF(AB279="F",SQRT(AC279)*SQRT(1/V279+1/Y279)*AD279,IF(AB279="z",2*(AC279/SQRT(V279+Y279))/SQRT(1-(AC279/SQRT(V279+Y279))^2)*AD279,IF(AB279="t_paired",AC279/SQRT(V279)*AD279,""))))),"")</f>
        <v>-0.133166978517046</v>
      </c>
      <c r="AF279" s="7" t="n">
        <f aca="false">IF(AE279="","",IF(AB279="t_paired",1-3/(4*(V279-1)-1),1-3/(4*(V279+Y279)-9)))</f>
        <v>0.990825688073395</v>
      </c>
      <c r="AG279" s="7" t="n">
        <f aca="false">IF(AE279="","",AE279*AF279)</f>
        <v>-0.131945263117807</v>
      </c>
      <c r="AH279" s="7" t="n">
        <f aca="false">IF(AG279="","",IF(AB279="t_paired",1/V279+AG279^2/(2*V279),(V279+Y279)/(V279*Y279)+AG279^2/(2*(V279+Y279))))</f>
        <v>0.0477226759074954</v>
      </c>
      <c r="AI279" s="7" t="n">
        <f aca="false">IF(AH279="","",SQRT(AH279))</f>
        <v>0.218455203434241</v>
      </c>
      <c r="AJ279" s="7" t="n">
        <f aca="false">IF(AI279="","",AG279-1.96*AI279)</f>
        <v>-0.560117461848918</v>
      </c>
      <c r="AK279" s="7" t="n">
        <f aca="false">IF(AI279="","",AG279+1.96*AI279)</f>
        <v>0.296226935613304</v>
      </c>
      <c r="AL279" s="7" t="n">
        <f aca="false">IF(AI279="","",AG279/AI279)</f>
        <v>-0.60399231075091</v>
      </c>
      <c r="AM279" s="8" t="n">
        <f aca="false">IF(AL279="","",2*(1-NORMSDIST(ABS(AL279))))</f>
        <v>0.545848754352445</v>
      </c>
      <c r="AN279" s="9" t="n">
        <f aca="false">IF(COUNT(V279)=0,"",IF(AB279="t_paired",V279,V279+N(Y279)))</f>
        <v>84</v>
      </c>
      <c r="AO279" s="7" t="n">
        <f aca="false">IF(AH279="","",1/AH279)</f>
        <v>20.9543991610692</v>
      </c>
      <c r="AP279" s="5" t="s">
        <v>100</v>
      </c>
      <c r="AQ279" s="5" t="s">
        <v>227</v>
      </c>
      <c r="AR279" s="5"/>
      <c r="AS279" s="9" t="n">
        <f aca="false">IF(AND(AP279="Y",ISNUMBER(AO279)),AO279,0)</f>
        <v>0</v>
      </c>
      <c r="AT279" s="7" t="n">
        <f aca="false">IF(AS279&gt;0,AS279*AG279,0)</f>
        <v>0</v>
      </c>
      <c r="AU279" s="7" t="n">
        <f aca="false">IF(AS279&gt;0,AS279*AG279^2,0)</f>
        <v>0</v>
      </c>
      <c r="AV279" s="9" t="n">
        <f aca="false">IF(AS279&gt;0,AS279^2,0)</f>
        <v>0</v>
      </c>
      <c r="AW279" s="7" t="n">
        <f aca="false">IF(AS279&gt;0,AG279,0)</f>
        <v>0</v>
      </c>
      <c r="AX279" s="7" t="n">
        <f aca="false">IF(AS279&gt;0,AH279,1)</f>
        <v>1</v>
      </c>
    </row>
    <row r="280" customFormat="false" ht="15" hidden="false" customHeight="false" outlineLevel="0" collapsed="false">
      <c r="A280" s="5" t="s">
        <v>920</v>
      </c>
      <c r="B280" s="5" t="s">
        <v>912</v>
      </c>
      <c r="C280" s="5" t="s">
        <v>913</v>
      </c>
      <c r="D280" s="5" t="n">
        <v>2025</v>
      </c>
      <c r="E280" s="5" t="s">
        <v>221</v>
      </c>
      <c r="F280" s="5" t="s">
        <v>173</v>
      </c>
      <c r="G280" s="5" t="s">
        <v>395</v>
      </c>
      <c r="H280" s="5" t="s">
        <v>174</v>
      </c>
      <c r="I280" s="5" t="s">
        <v>477</v>
      </c>
      <c r="J280" s="5" t="s">
        <v>76</v>
      </c>
      <c r="K280" s="5" t="s">
        <v>163</v>
      </c>
      <c r="L280" s="5" t="s">
        <v>164</v>
      </c>
      <c r="M280" s="5" t="s">
        <v>914</v>
      </c>
      <c r="N280" s="5" t="n">
        <v>90</v>
      </c>
      <c r="O280" s="5" t="s">
        <v>190</v>
      </c>
      <c r="P280" s="11" t="s">
        <v>113</v>
      </c>
      <c r="Q280" s="11" t="s">
        <v>114</v>
      </c>
      <c r="R280" s="5" t="s">
        <v>115</v>
      </c>
      <c r="S280" s="11" t="s">
        <v>919</v>
      </c>
      <c r="T280" s="5" t="s">
        <v>654</v>
      </c>
      <c r="U280" s="11" t="s">
        <v>86</v>
      </c>
      <c r="V280" s="5" t="n">
        <v>42</v>
      </c>
      <c r="W280" s="5" t="n">
        <v>3.45</v>
      </c>
      <c r="X280" s="5" t="n">
        <v>0.53</v>
      </c>
      <c r="Y280" s="5" t="n">
        <v>42</v>
      </c>
      <c r="Z280" s="5" t="n">
        <v>3.12</v>
      </c>
      <c r="AA280" s="5" t="n">
        <v>0.49</v>
      </c>
      <c r="AB280" s="5" t="s">
        <v>99</v>
      </c>
      <c r="AC280" s="5"/>
      <c r="AD280" s="5" t="n">
        <v>1</v>
      </c>
      <c r="AE280" s="7" t="n">
        <f aca="false">IFERROR(IF(AB280="MSD",IF(COUNT(V280,W280,X280,Y280,Z280,AA280)&lt;6,"",(W280-Z280)/SQRT(((V280-1)*X280^2+(Y280-1)*AA280^2)/(V280+Y280-2))*AD280),IF(AB280="t",AC280*SQRT(1/V280+1/Y280)*AD280,IF(AB280="F",SQRT(AC280)*SQRT(1/V280+1/Y280)*AD280,IF(AB280="z",2*(AC280/SQRT(V280+Y280))/SQRT(1-(AC280/SQRT(V280+Y280))^2)*AD280,IF(AB280="t_paired",AC280/SQRT(V280)*AD280,""))))),"")</f>
        <v>0.646561850473351</v>
      </c>
      <c r="AF280" s="7" t="n">
        <f aca="false">IF(AE280="","",IF(AB280="t_paired",1-3/(4*(V280-1)-1),1-3/(4*(V280+Y280)-9)))</f>
        <v>0.990825688073395</v>
      </c>
      <c r="AG280" s="7" t="n">
        <f aca="false">IF(AE280="","",AE280*AF280)</f>
        <v>0.640630090377266</v>
      </c>
      <c r="AH280" s="7" t="n">
        <f aca="false">IF(AG280="","",IF(AB280="t_paired",1/V280+AG280^2/(2*V280),(V280+Y280)/(V280*Y280)+AG280^2/(2*(V280+Y280))))</f>
        <v>0.0500619459089094</v>
      </c>
      <c r="AI280" s="7" t="n">
        <f aca="false">IF(AH280="","",SQRT(AH280))</f>
        <v>0.223745270137515</v>
      </c>
      <c r="AJ280" s="7" t="n">
        <f aca="false">IF(AI280="","",AG280-1.96*AI280)</f>
        <v>0.202089360907737</v>
      </c>
      <c r="AK280" s="7" t="n">
        <f aca="false">IF(AI280="","",AG280+1.96*AI280)</f>
        <v>1.07917081984679</v>
      </c>
      <c r="AL280" s="7" t="n">
        <f aca="false">IF(AI280="","",AG280/AI280)</f>
        <v>2.86321176748689</v>
      </c>
      <c r="AM280" s="8" t="n">
        <f aca="false">IF(AL280="","",2*(1-NORMSDIST(ABS(AL280))))</f>
        <v>0.00419370173711631</v>
      </c>
      <c r="AN280" s="9" t="n">
        <f aca="false">IF(COUNT(V280)=0,"",IF(AB280="t_paired",V280,V280+N(Y280)))</f>
        <v>84</v>
      </c>
      <c r="AO280" s="7" t="n">
        <f aca="false">IF(AH280="","",1/AH280)</f>
        <v>19.9752522968156</v>
      </c>
      <c r="AP280" s="5" t="s">
        <v>88</v>
      </c>
      <c r="AQ280" s="5" t="s">
        <v>227</v>
      </c>
      <c r="AR280" s="5"/>
      <c r="AS280" s="7" t="n">
        <f aca="false">IF(AND(AP280="Y",ISNUMBER(AO280)),AO280,0)</f>
        <v>19.9752522968156</v>
      </c>
      <c r="AT280" s="7" t="n">
        <f aca="false">IF(AS280&gt;0,AS280*AG280,0)</f>
        <v>12.7967476842176</v>
      </c>
      <c r="AU280" s="7" t="n">
        <f aca="false">IF(AS280&gt;0,AS280*AG280^2,0)</f>
        <v>8.19798162547541</v>
      </c>
      <c r="AV280" s="9" t="n">
        <f aca="false">IF(AS280&gt;0,AS280^2,0)</f>
        <v>399.010704321436</v>
      </c>
      <c r="AW280" s="7" t="n">
        <f aca="false">IF(AS280&gt;0,AG280,0)</f>
        <v>0.640630090377266</v>
      </c>
      <c r="AX280" s="7" t="n">
        <f aca="false">IF(AS280&gt;0,AH280,1)</f>
        <v>0.0500619459089094</v>
      </c>
    </row>
    <row r="281" customFormat="false" ht="15" hidden="false" customHeight="false" outlineLevel="0" collapsed="false">
      <c r="A281" s="5" t="s">
        <v>921</v>
      </c>
      <c r="B281" s="5" t="s">
        <v>922</v>
      </c>
      <c r="C281" s="5" t="s">
        <v>923</v>
      </c>
      <c r="D281" s="5" t="n">
        <v>2025</v>
      </c>
      <c r="E281" s="5" t="s">
        <v>221</v>
      </c>
      <c r="F281" s="5" t="s">
        <v>199</v>
      </c>
      <c r="G281" s="5" t="s">
        <v>160</v>
      </c>
      <c r="H281" s="5" t="s">
        <v>162</v>
      </c>
      <c r="I281" s="5"/>
      <c r="J281" s="5" t="s">
        <v>162</v>
      </c>
      <c r="K281" s="5" t="s">
        <v>163</v>
      </c>
      <c r="L281" s="5" t="s">
        <v>164</v>
      </c>
      <c r="M281" s="5"/>
      <c r="N281" s="5"/>
      <c r="O281" s="5" t="s">
        <v>162</v>
      </c>
      <c r="P281" s="10" t="s">
        <v>82</v>
      </c>
      <c r="Q281" s="10" t="s">
        <v>83</v>
      </c>
      <c r="R281" s="5"/>
      <c r="S281" s="10" t="s">
        <v>924</v>
      </c>
      <c r="T281" s="5"/>
      <c r="U281" s="10" t="s">
        <v>98</v>
      </c>
      <c r="V281" s="5" t="n">
        <v>30</v>
      </c>
      <c r="W281" s="5" t="n">
        <v>3.7</v>
      </c>
      <c r="X281" s="5" t="n">
        <v>0.22</v>
      </c>
      <c r="Y281" s="5" t="n">
        <v>24</v>
      </c>
      <c r="Z281" s="5" t="n">
        <v>3.66</v>
      </c>
      <c r="AA281" s="5" t="n">
        <v>0.22</v>
      </c>
      <c r="AB281" s="5" t="s">
        <v>99</v>
      </c>
      <c r="AC281" s="5"/>
      <c r="AD281" s="5" t="n">
        <v>1</v>
      </c>
      <c r="AE281" s="7" t="n">
        <f aca="false">IFERROR(IF(AB281="MSD",IF(COUNT(V281,W281,X281,Y281,Z281,AA281)&lt;6,"",(W281-Z281)/SQRT(((V281-1)*X281^2+(Y281-1)*AA281^2)/(V281+Y281-2))*AD281),IF(AB281="t",AC281*SQRT(1/V281+1/Y281)*AD281,IF(AB281="F",SQRT(AC281)*SQRT(1/V281+1/Y281)*AD281,IF(AB281="z",2*(AC281/SQRT(V281+Y281))/SQRT(1-(AC281/SQRT(V281+Y281))^2)*AD281,IF(AB281="t_paired",AC281/SQRT(V281)*AD281,""))))),"")</f>
        <v>0.181818181818182</v>
      </c>
      <c r="AF281" s="7" t="n">
        <f aca="false">IF(AE281="","",IF(AB281="t_paired",1-3/(4*(V281-1)-1),1-3/(4*(V281+Y281)-9)))</f>
        <v>0.985507246376812</v>
      </c>
      <c r="AG281" s="7" t="n">
        <f aca="false">IF(AE281="","",AE281*AF281)</f>
        <v>0.179183135704875</v>
      </c>
      <c r="AH281" s="7" t="n">
        <f aca="false">IF(AG281="","",IF(AB281="t_paired",1/V281+AG281^2/(2*V281),(V281+Y281)/(V281*Y281)+AG281^2/(2*(V281+Y281))))</f>
        <v>0.075297283297417</v>
      </c>
      <c r="AI281" s="7" t="n">
        <f aca="false">IF(AH281="","",SQRT(AH281))</f>
        <v>0.274403504528308</v>
      </c>
      <c r="AJ281" s="7" t="n">
        <f aca="false">IF(AI281="","",AG281-1.96*AI281)</f>
        <v>-0.358647733170608</v>
      </c>
      <c r="AK281" s="7" t="n">
        <f aca="false">IF(AI281="","",AG281+1.96*AI281)</f>
        <v>0.717014004580358</v>
      </c>
      <c r="AL281" s="7" t="n">
        <f aca="false">IF(AI281="","",AG281/AI281)</f>
        <v>0.652991425940008</v>
      </c>
      <c r="AM281" s="8" t="n">
        <f aca="false">IF(AL281="","",2*(1-NORMSDIST(ABS(AL281))))</f>
        <v>0.513761806087101</v>
      </c>
      <c r="AN281" s="9" t="n">
        <f aca="false">IF(COUNT(V281)=0,"",IF(AB281="t_paired",V281,V281+N(Y281)))</f>
        <v>54</v>
      </c>
      <c r="AO281" s="7" t="n">
        <f aca="false">IF(AH281="","",1/AH281)</f>
        <v>13.2806916293394</v>
      </c>
      <c r="AP281" s="5" t="s">
        <v>100</v>
      </c>
      <c r="AQ281" s="5" t="s">
        <v>210</v>
      </c>
      <c r="AR281" s="5"/>
      <c r="AS281" s="9" t="n">
        <f aca="false">IF(AND(AP281="Y",ISNUMBER(AO281)),AO281,0)</f>
        <v>0</v>
      </c>
      <c r="AT281" s="7" t="n">
        <f aca="false">IF(AS281&gt;0,AS281*AG281,0)</f>
        <v>0</v>
      </c>
      <c r="AU281" s="7" t="n">
        <f aca="false">IF(AS281&gt;0,AS281*AG281^2,0)</f>
        <v>0</v>
      </c>
      <c r="AV281" s="9" t="n">
        <f aca="false">IF(AS281&gt;0,AS281^2,0)</f>
        <v>0</v>
      </c>
      <c r="AW281" s="7" t="n">
        <f aca="false">IF(AS281&gt;0,AG281,0)</f>
        <v>0</v>
      </c>
      <c r="AX281" s="7" t="n">
        <f aca="false">IF(AS281&gt;0,AH281,1)</f>
        <v>1</v>
      </c>
    </row>
    <row r="282" customFormat="false" ht="15" hidden="false" customHeight="false" outlineLevel="0" collapsed="false">
      <c r="A282" s="5" t="s">
        <v>925</v>
      </c>
      <c r="B282" s="5" t="s">
        <v>922</v>
      </c>
      <c r="C282" s="5" t="s">
        <v>923</v>
      </c>
      <c r="D282" s="5" t="n">
        <v>2025</v>
      </c>
      <c r="E282" s="5" t="s">
        <v>221</v>
      </c>
      <c r="F282" s="5" t="s">
        <v>199</v>
      </c>
      <c r="G282" s="5" t="s">
        <v>160</v>
      </c>
      <c r="H282" s="5" t="s">
        <v>162</v>
      </c>
      <c r="I282" s="5"/>
      <c r="J282" s="5" t="s">
        <v>162</v>
      </c>
      <c r="K282" s="5" t="s">
        <v>163</v>
      </c>
      <c r="L282" s="5" t="s">
        <v>164</v>
      </c>
      <c r="M282" s="5"/>
      <c r="N282" s="5"/>
      <c r="O282" s="5" t="s">
        <v>162</v>
      </c>
      <c r="P282" s="6" t="s">
        <v>82</v>
      </c>
      <c r="Q282" s="6" t="s">
        <v>83</v>
      </c>
      <c r="R282" s="5"/>
      <c r="S282" s="6" t="s">
        <v>924</v>
      </c>
      <c r="T282" s="5"/>
      <c r="U282" s="6" t="s">
        <v>86</v>
      </c>
      <c r="V282" s="5" t="n">
        <v>30</v>
      </c>
      <c r="W282" s="5" t="n">
        <v>4.2</v>
      </c>
      <c r="X282" s="5" t="n">
        <v>0.34</v>
      </c>
      <c r="Y282" s="5" t="n">
        <v>24</v>
      </c>
      <c r="Z282" s="5" t="n">
        <v>3.9</v>
      </c>
      <c r="AA282" s="5" t="n">
        <v>0.34</v>
      </c>
      <c r="AB282" s="5" t="s">
        <v>99</v>
      </c>
      <c r="AC282" s="5"/>
      <c r="AD282" s="5" t="n">
        <v>1</v>
      </c>
      <c r="AE282" s="7" t="n">
        <f aca="false">IFERROR(IF(AB282="MSD",IF(COUNT(V282,W282,X282,Y282,Z282,AA282)&lt;6,"",(W282-Z282)/SQRT(((V282-1)*X282^2+(Y282-1)*AA282^2)/(V282+Y282-2))*AD282),IF(AB282="t",AC282*SQRT(1/V282+1/Y282)*AD282,IF(AB282="F",SQRT(AC282)*SQRT(1/V282+1/Y282)*AD282,IF(AB282="z",2*(AC282/SQRT(V282+Y282))/SQRT(1-(AC282/SQRT(V282+Y282))^2)*AD282,IF(AB282="t_paired",AC282/SQRT(V282)*AD282,""))))),"")</f>
        <v>0.882352941176471</v>
      </c>
      <c r="AF282" s="7" t="n">
        <f aca="false">IF(AE282="","",IF(AB282="t_paired",1-3/(4*(V282-1)-1),1-3/(4*(V282+Y282)-9)))</f>
        <v>0.985507246376812</v>
      </c>
      <c r="AG282" s="7" t="n">
        <f aca="false">IF(AE282="","",AE282*AF282)</f>
        <v>0.869565217391305</v>
      </c>
      <c r="AH282" s="7" t="n">
        <f aca="false">IF(AG282="","",IF(AB282="t_paired",1/V282+AG282^2/(2*V282),(V282+Y282)/(V282*Y282)+AG282^2/(2*(V282+Y282))))</f>
        <v>0.082001330252748</v>
      </c>
      <c r="AI282" s="7" t="n">
        <f aca="false">IF(AH282="","",SQRT(AH282))</f>
        <v>0.286358743978158</v>
      </c>
      <c r="AJ282" s="7" t="n">
        <f aca="false">IF(AI282="","",AG282-1.96*AI282)</f>
        <v>0.308302079194116</v>
      </c>
      <c r="AK282" s="7" t="n">
        <f aca="false">IF(AI282="","",AG282+1.96*AI282)</f>
        <v>1.43082835558849</v>
      </c>
      <c r="AL282" s="7" t="n">
        <f aca="false">IF(AI282="","",AG282/AI282)</f>
        <v>3.03662882896858</v>
      </c>
      <c r="AM282" s="8" t="n">
        <f aca="false">IF(AL282="","",2*(1-NORMSDIST(ABS(AL282))))</f>
        <v>0.00239239850338202</v>
      </c>
      <c r="AN282" s="9" t="n">
        <f aca="false">IF(COUNT(V282)=0,"",IF(AB282="t_paired",V282,V282+N(Y282)))</f>
        <v>54</v>
      </c>
      <c r="AO282" s="7" t="n">
        <f aca="false">IF(AH282="","",1/AH282)</f>
        <v>12.1949241179107</v>
      </c>
      <c r="AP282" s="5" t="s">
        <v>88</v>
      </c>
      <c r="AQ282" s="5" t="s">
        <v>210</v>
      </c>
      <c r="AR282" s="5"/>
      <c r="AS282" s="7" t="n">
        <f aca="false">IF(AND(AP282="Y",ISNUMBER(AO282)),AO282,0)</f>
        <v>12.1949241179107</v>
      </c>
      <c r="AT282" s="7" t="n">
        <f aca="false">IF(AS282&gt;0,AS282*AG282,0)</f>
        <v>10.6042818416615</v>
      </c>
      <c r="AU282" s="7" t="n">
        <f aca="false">IF(AS282&gt;0,AS282*AG282^2,0)</f>
        <v>9.22111464492307</v>
      </c>
      <c r="AV282" s="9" t="n">
        <f aca="false">IF(AS282&gt;0,AS282^2,0)</f>
        <v>148.716174241601</v>
      </c>
      <c r="AW282" s="7" t="n">
        <f aca="false">IF(AS282&gt;0,AG282,0)</f>
        <v>0.869565217391305</v>
      </c>
      <c r="AX282" s="7" t="n">
        <f aca="false">IF(AS282&gt;0,AH282,1)</f>
        <v>0.082001330252748</v>
      </c>
    </row>
    <row r="283" customFormat="false" ht="15" hidden="false" customHeight="false" outlineLevel="0" collapsed="false">
      <c r="A283" s="5" t="s">
        <v>926</v>
      </c>
      <c r="B283" s="5" t="s">
        <v>922</v>
      </c>
      <c r="C283" s="5" t="s">
        <v>923</v>
      </c>
      <c r="D283" s="5" t="n">
        <v>2025</v>
      </c>
      <c r="E283" s="5" t="s">
        <v>221</v>
      </c>
      <c r="F283" s="5" t="s">
        <v>199</v>
      </c>
      <c r="G283" s="5" t="s">
        <v>160</v>
      </c>
      <c r="H283" s="5" t="s">
        <v>162</v>
      </c>
      <c r="I283" s="5"/>
      <c r="J283" s="5" t="s">
        <v>162</v>
      </c>
      <c r="K283" s="5" t="s">
        <v>163</v>
      </c>
      <c r="L283" s="5" t="s">
        <v>164</v>
      </c>
      <c r="M283" s="5"/>
      <c r="N283" s="5"/>
      <c r="O283" s="5" t="s">
        <v>162</v>
      </c>
      <c r="P283" s="10" t="s">
        <v>82</v>
      </c>
      <c r="Q283" s="10" t="s">
        <v>83</v>
      </c>
      <c r="R283" s="5"/>
      <c r="S283" s="10" t="s">
        <v>927</v>
      </c>
      <c r="T283" s="5"/>
      <c r="U283" s="10" t="s">
        <v>98</v>
      </c>
      <c r="V283" s="5" t="n">
        <v>30</v>
      </c>
      <c r="W283" s="5" t="n">
        <v>3.71</v>
      </c>
      <c r="X283" s="5" t="n">
        <v>0.35</v>
      </c>
      <c r="Y283" s="5" t="n">
        <v>24</v>
      </c>
      <c r="Z283" s="5" t="n">
        <v>3.65</v>
      </c>
      <c r="AA283" s="5" t="n">
        <v>0.31</v>
      </c>
      <c r="AB283" s="5" t="s">
        <v>99</v>
      </c>
      <c r="AC283" s="5"/>
      <c r="AD283" s="5" t="n">
        <v>1</v>
      </c>
      <c r="AE283" s="7" t="n">
        <f aca="false">IFERROR(IF(AB283="MSD",IF(COUNT(V283,W283,X283,Y283,Z283,AA283)&lt;6,"",(W283-Z283)/SQRT(((V283-1)*X283^2+(Y283-1)*AA283^2)/(V283+Y283-2))*AD283),IF(AB283="t",AC283*SQRT(1/V283+1/Y283)*AD283,IF(AB283="F",SQRT(AC283)*SQRT(1/V283+1/Y283)*AD283,IF(AB283="z",2*(AC283/SQRT(V283+Y283))/SQRT(1-(AC283/SQRT(V283+Y283))^2)*AD283,IF(AB283="t_paired",AC283/SQRT(V283)*AD283,""))))),"")</f>
        <v>0.180233762278431</v>
      </c>
      <c r="AF283" s="7" t="n">
        <f aca="false">IF(AE283="","",IF(AB283="t_paired",1-3/(4*(V283-1)-1),1-3/(4*(V283+Y283)-9)))</f>
        <v>0.985507246376812</v>
      </c>
      <c r="AG283" s="7" t="n">
        <f aca="false">IF(AE283="","",AE283*AF283)</f>
        <v>0.177621678767149</v>
      </c>
      <c r="AH283" s="7" t="n">
        <f aca="false">IF(AG283="","",IF(AB283="t_paired",1/V283+AG283^2/(2*V283),(V283+Y283)/(V283*Y283)+AG283^2/(2*(V283+Y283))))</f>
        <v>0.0752921246367413</v>
      </c>
      <c r="AI283" s="7" t="n">
        <f aca="false">IF(AH283="","",SQRT(AH283))</f>
        <v>0.274394104595455</v>
      </c>
      <c r="AJ283" s="7" t="n">
        <f aca="false">IF(AI283="","",AG283-1.96*AI283)</f>
        <v>-0.360190766239942</v>
      </c>
      <c r="AK283" s="7" t="n">
        <f aca="false">IF(AI283="","",AG283+1.96*AI283)</f>
        <v>0.71543412377424</v>
      </c>
      <c r="AL283" s="7" t="n">
        <f aca="false">IF(AI283="","",AG283/AI283)</f>
        <v>0.647323232505381</v>
      </c>
      <c r="AM283" s="8" t="n">
        <f aca="false">IF(AL283="","",2*(1-NORMSDIST(ABS(AL283))))</f>
        <v>0.51742276842574</v>
      </c>
      <c r="AN283" s="9" t="n">
        <f aca="false">IF(COUNT(V283)=0,"",IF(AB283="t_paired",V283,V283+N(Y283)))</f>
        <v>54</v>
      </c>
      <c r="AO283" s="7" t="n">
        <f aca="false">IF(AH283="","",1/AH283)</f>
        <v>13.2816015595875</v>
      </c>
      <c r="AP283" s="5" t="s">
        <v>100</v>
      </c>
      <c r="AQ283" s="5" t="s">
        <v>210</v>
      </c>
      <c r="AR283" s="5"/>
      <c r="AS283" s="9" t="n">
        <f aca="false">IF(AND(AP283="Y",ISNUMBER(AO283)),AO283,0)</f>
        <v>0</v>
      </c>
      <c r="AT283" s="7" t="n">
        <f aca="false">IF(AS283&gt;0,AS283*AG283,0)</f>
        <v>0</v>
      </c>
      <c r="AU283" s="7" t="n">
        <f aca="false">IF(AS283&gt;0,AS283*AG283^2,0)</f>
        <v>0</v>
      </c>
      <c r="AV283" s="9" t="n">
        <f aca="false">IF(AS283&gt;0,AS283^2,0)</f>
        <v>0</v>
      </c>
      <c r="AW283" s="7" t="n">
        <f aca="false">IF(AS283&gt;0,AG283,0)</f>
        <v>0</v>
      </c>
      <c r="AX283" s="7" t="n">
        <f aca="false">IF(AS283&gt;0,AH283,1)</f>
        <v>1</v>
      </c>
    </row>
    <row r="284" customFormat="false" ht="15" hidden="false" customHeight="false" outlineLevel="0" collapsed="false">
      <c r="A284" s="5" t="s">
        <v>928</v>
      </c>
      <c r="B284" s="5" t="s">
        <v>922</v>
      </c>
      <c r="C284" s="5" t="s">
        <v>923</v>
      </c>
      <c r="D284" s="5" t="n">
        <v>2025</v>
      </c>
      <c r="E284" s="5" t="s">
        <v>221</v>
      </c>
      <c r="F284" s="5" t="s">
        <v>199</v>
      </c>
      <c r="G284" s="5" t="s">
        <v>160</v>
      </c>
      <c r="H284" s="5" t="s">
        <v>162</v>
      </c>
      <c r="I284" s="5"/>
      <c r="J284" s="5" t="s">
        <v>162</v>
      </c>
      <c r="K284" s="5" t="s">
        <v>163</v>
      </c>
      <c r="L284" s="5" t="s">
        <v>164</v>
      </c>
      <c r="M284" s="5"/>
      <c r="N284" s="5"/>
      <c r="O284" s="5" t="s">
        <v>162</v>
      </c>
      <c r="P284" s="6" t="s">
        <v>82</v>
      </c>
      <c r="Q284" s="6" t="s">
        <v>83</v>
      </c>
      <c r="R284" s="5"/>
      <c r="S284" s="6" t="s">
        <v>927</v>
      </c>
      <c r="T284" s="5"/>
      <c r="U284" s="6" t="s">
        <v>86</v>
      </c>
      <c r="V284" s="5" t="n">
        <v>30</v>
      </c>
      <c r="W284" s="5" t="n">
        <v>4.2</v>
      </c>
      <c r="X284" s="5" t="n">
        <v>0.51</v>
      </c>
      <c r="Y284" s="5" t="n">
        <v>24</v>
      </c>
      <c r="Z284" s="5" t="n">
        <v>3.91</v>
      </c>
      <c r="AA284" s="5" t="n">
        <v>0.55</v>
      </c>
      <c r="AB284" s="5" t="s">
        <v>99</v>
      </c>
      <c r="AC284" s="5"/>
      <c r="AD284" s="5" t="n">
        <v>1</v>
      </c>
      <c r="AE284" s="7" t="n">
        <f aca="false">IFERROR(IF(AB284="MSD",IF(COUNT(V284,W284,X284,Y284,Z284,AA284)&lt;6,"",(W284-Z284)/SQRT(((V284-1)*X284^2+(Y284-1)*AA284^2)/(V284+Y284-2))*AD284),IF(AB284="t",AC284*SQRT(1/V284+1/Y284)*AD284,IF(AB284="F",SQRT(AC284)*SQRT(1/V284+1/Y284)*AD284,IF(AB284="z",2*(AC284/SQRT(V284+Y284))/SQRT(1-(AC284/SQRT(V284+Y284))^2)*AD284,IF(AB284="t_paired",AC284/SQRT(V284)*AD284,""))))),"")</f>
        <v>0.549173633953334</v>
      </c>
      <c r="AF284" s="7" t="n">
        <f aca="false">IF(AE284="","",IF(AB284="t_paired",1-3/(4*(V284-1)-1),1-3/(4*(V284+Y284)-9)))</f>
        <v>0.985507246376812</v>
      </c>
      <c r="AG284" s="7" t="n">
        <f aca="false">IF(AE284="","",AE284*AF284)</f>
        <v>0.541214595780098</v>
      </c>
      <c r="AH284" s="7" t="n">
        <f aca="false">IF(AG284="","",IF(AB284="t_paired",1/V284+AG284^2/(2*V284),(V284+Y284)/(V284*Y284)+AG284^2/(2*(V284+Y284))))</f>
        <v>0.0777121596174575</v>
      </c>
      <c r="AI284" s="7" t="n">
        <f aca="false">IF(AH284="","",SQRT(AH284))</f>
        <v>0.278769007634381</v>
      </c>
      <c r="AJ284" s="7" t="n">
        <f aca="false">IF(AI284="","",AG284-1.96*AI284)</f>
        <v>-0.00517265918328902</v>
      </c>
      <c r="AK284" s="7" t="n">
        <f aca="false">IF(AI284="","",AG284+1.96*AI284)</f>
        <v>1.08760185074348</v>
      </c>
      <c r="AL284" s="7" t="n">
        <f aca="false">IF(AI284="","",AG284/AI284)</f>
        <v>1.94144464039534</v>
      </c>
      <c r="AM284" s="8" t="n">
        <f aca="false">IF(AL284="","",2*(1-NORMSDIST(ABS(AL284))))</f>
        <v>0.0522043680999029</v>
      </c>
      <c r="AN284" s="9" t="n">
        <f aca="false">IF(COUNT(V284)=0,"",IF(AB284="t_paired",V284,V284+N(Y284)))</f>
        <v>54</v>
      </c>
      <c r="AO284" s="7" t="n">
        <f aca="false">IF(AH284="","",1/AH284)</f>
        <v>12.8679990997877</v>
      </c>
      <c r="AP284" s="5" t="s">
        <v>88</v>
      </c>
      <c r="AQ284" s="5" t="s">
        <v>210</v>
      </c>
      <c r="AR284" s="5"/>
      <c r="AS284" s="7" t="n">
        <f aca="false">IF(AND(AP284="Y",ISNUMBER(AO284)),AO284,0)</f>
        <v>12.8679990997877</v>
      </c>
      <c r="AT284" s="7" t="n">
        <f aca="false">IF(AS284&gt;0,AS284*AG284,0)</f>
        <v>6.96434893129025</v>
      </c>
      <c r="AU284" s="7" t="n">
        <f aca="false">IF(AS284&gt;0,AS284*AG284^2,0)</f>
        <v>3.76920729171981</v>
      </c>
      <c r="AV284" s="9" t="n">
        <f aca="false">IF(AS284&gt;0,AS284^2,0)</f>
        <v>165.585400832137</v>
      </c>
      <c r="AW284" s="7" t="n">
        <f aca="false">IF(AS284&gt;0,AG284,0)</f>
        <v>0.541214595780098</v>
      </c>
      <c r="AX284" s="7" t="n">
        <f aca="false">IF(AS284&gt;0,AH284,1)</f>
        <v>0.0777121596174575</v>
      </c>
    </row>
    <row r="285" customFormat="false" ht="15" hidden="false" customHeight="false" outlineLevel="0" collapsed="false">
      <c r="A285" s="5" t="s">
        <v>929</v>
      </c>
      <c r="B285" s="5" t="s">
        <v>922</v>
      </c>
      <c r="C285" s="5" t="s">
        <v>923</v>
      </c>
      <c r="D285" s="5" t="n">
        <v>2025</v>
      </c>
      <c r="E285" s="5" t="s">
        <v>221</v>
      </c>
      <c r="F285" s="5" t="s">
        <v>199</v>
      </c>
      <c r="G285" s="5" t="s">
        <v>160</v>
      </c>
      <c r="H285" s="5" t="s">
        <v>162</v>
      </c>
      <c r="I285" s="5"/>
      <c r="J285" s="5" t="s">
        <v>162</v>
      </c>
      <c r="K285" s="5" t="s">
        <v>163</v>
      </c>
      <c r="L285" s="5" t="s">
        <v>164</v>
      </c>
      <c r="M285" s="5"/>
      <c r="N285" s="5"/>
      <c r="O285" s="5" t="s">
        <v>162</v>
      </c>
      <c r="P285" s="10" t="s">
        <v>113</v>
      </c>
      <c r="Q285" s="10" t="s">
        <v>430</v>
      </c>
      <c r="R285" s="5"/>
      <c r="S285" s="10" t="s">
        <v>930</v>
      </c>
      <c r="T285" s="5"/>
      <c r="U285" s="10" t="s">
        <v>98</v>
      </c>
      <c r="V285" s="5" t="n">
        <v>30</v>
      </c>
      <c r="W285" s="5" t="n">
        <v>3.68</v>
      </c>
      <c r="X285" s="5" t="n">
        <v>0.39</v>
      </c>
      <c r="Y285" s="5" t="n">
        <v>24</v>
      </c>
      <c r="Z285" s="5" t="n">
        <v>3.68</v>
      </c>
      <c r="AA285" s="5" t="n">
        <v>0.38</v>
      </c>
      <c r="AB285" s="5" t="s">
        <v>99</v>
      </c>
      <c r="AC285" s="5"/>
      <c r="AD285" s="5" t="n">
        <v>1</v>
      </c>
      <c r="AE285" s="7" t="n">
        <f aca="false">IFERROR(IF(AB285="MSD",IF(COUNT(V285,W285,X285,Y285,Z285,AA285)&lt;6,"",(W285-Z285)/SQRT(((V285-1)*X285^2+(Y285-1)*AA285^2)/(V285+Y285-2))*AD285),IF(AB285="t",AC285*SQRT(1/V285+1/Y285)*AD285,IF(AB285="F",SQRT(AC285)*SQRT(1/V285+1/Y285)*AD285,IF(AB285="z",2*(AC285/SQRT(V285+Y285))/SQRT(1-(AC285/SQRT(V285+Y285))^2)*AD285,IF(AB285="t_paired",AC285/SQRT(V285)*AD285,""))))),"")</f>
        <v>0</v>
      </c>
      <c r="AF285" s="7" t="n">
        <f aca="false">IF(AE285="","",IF(AB285="t_paired",1-3/(4*(V285-1)-1),1-3/(4*(V285+Y285)-9)))</f>
        <v>0.985507246376812</v>
      </c>
      <c r="AG285" s="7" t="n">
        <f aca="false">IF(AE285="","",AE285*AF285)</f>
        <v>0</v>
      </c>
      <c r="AH285" s="7" t="n">
        <f aca="false">IF(AG285="","",IF(AB285="t_paired",1/V285+AG285^2/(2*V285),(V285+Y285)/(V285*Y285)+AG285^2/(2*(V285+Y285))))</f>
        <v>0.075</v>
      </c>
      <c r="AI285" s="7" t="n">
        <f aca="false">IF(AH285="","",SQRT(AH285))</f>
        <v>0.273861278752583</v>
      </c>
      <c r="AJ285" s="7" t="n">
        <f aca="false">IF(AI285="","",AG285-1.96*AI285)</f>
        <v>-0.536768106355063</v>
      </c>
      <c r="AK285" s="7" t="n">
        <f aca="false">IF(AI285="","",AG285+1.96*AI285)</f>
        <v>0.536768106355063</v>
      </c>
      <c r="AL285" s="7" t="n">
        <f aca="false">IF(AI285="","",AG285/AI285)</f>
        <v>0</v>
      </c>
      <c r="AM285" s="8" t="n">
        <f aca="false">IF(AL285="","",2*(1-NORMSDIST(ABS(AL285))))</f>
        <v>1</v>
      </c>
      <c r="AN285" s="9" t="n">
        <f aca="false">IF(COUNT(V285)=0,"",IF(AB285="t_paired",V285,V285+N(Y285)))</f>
        <v>54</v>
      </c>
      <c r="AO285" s="7" t="n">
        <f aca="false">IF(AH285="","",1/AH285)</f>
        <v>13.3333333333333</v>
      </c>
      <c r="AP285" s="5" t="s">
        <v>100</v>
      </c>
      <c r="AQ285" s="5" t="s">
        <v>210</v>
      </c>
      <c r="AR285" s="5"/>
      <c r="AS285" s="9" t="n">
        <f aca="false">IF(AND(AP285="Y",ISNUMBER(AO285)),AO285,0)</f>
        <v>0</v>
      </c>
      <c r="AT285" s="7" t="n">
        <f aca="false">IF(AS285&gt;0,AS285*AG285,0)</f>
        <v>0</v>
      </c>
      <c r="AU285" s="7" t="n">
        <f aca="false">IF(AS285&gt;0,AS285*AG285^2,0)</f>
        <v>0</v>
      </c>
      <c r="AV285" s="9" t="n">
        <f aca="false">IF(AS285&gt;0,AS285^2,0)</f>
        <v>0</v>
      </c>
      <c r="AW285" s="7" t="n">
        <f aca="false">IF(AS285&gt;0,AG285,0)</f>
        <v>0</v>
      </c>
      <c r="AX285" s="7" t="n">
        <f aca="false">IF(AS285&gt;0,AH285,1)</f>
        <v>1</v>
      </c>
    </row>
    <row r="286" customFormat="false" ht="15" hidden="false" customHeight="false" outlineLevel="0" collapsed="false">
      <c r="A286" s="5" t="s">
        <v>931</v>
      </c>
      <c r="B286" s="5" t="s">
        <v>922</v>
      </c>
      <c r="C286" s="5" t="s">
        <v>923</v>
      </c>
      <c r="D286" s="5" t="n">
        <v>2025</v>
      </c>
      <c r="E286" s="5" t="s">
        <v>221</v>
      </c>
      <c r="F286" s="5" t="s">
        <v>199</v>
      </c>
      <c r="G286" s="5" t="s">
        <v>160</v>
      </c>
      <c r="H286" s="5" t="s">
        <v>162</v>
      </c>
      <c r="I286" s="5"/>
      <c r="J286" s="5" t="s">
        <v>162</v>
      </c>
      <c r="K286" s="5" t="s">
        <v>163</v>
      </c>
      <c r="L286" s="5" t="s">
        <v>164</v>
      </c>
      <c r="M286" s="5"/>
      <c r="N286" s="5"/>
      <c r="O286" s="5" t="s">
        <v>162</v>
      </c>
      <c r="P286" s="11" t="s">
        <v>113</v>
      </c>
      <c r="Q286" s="11" t="s">
        <v>430</v>
      </c>
      <c r="R286" s="5"/>
      <c r="S286" s="11" t="s">
        <v>930</v>
      </c>
      <c r="T286" s="5"/>
      <c r="U286" s="11" t="s">
        <v>86</v>
      </c>
      <c r="V286" s="5" t="n">
        <v>30</v>
      </c>
      <c r="W286" s="5" t="n">
        <v>4.21</v>
      </c>
      <c r="X286" s="5" t="n">
        <v>0.51</v>
      </c>
      <c r="Y286" s="5" t="n">
        <v>24</v>
      </c>
      <c r="Z286" s="5" t="n">
        <v>3.95</v>
      </c>
      <c r="AA286" s="5" t="n">
        <v>0.43</v>
      </c>
      <c r="AB286" s="5" t="s">
        <v>99</v>
      </c>
      <c r="AC286" s="5"/>
      <c r="AD286" s="5" t="n">
        <v>1</v>
      </c>
      <c r="AE286" s="7" t="n">
        <f aca="false">IFERROR(IF(AB286="MSD",IF(COUNT(V286,W286,X286,Y286,Z286,AA286)&lt;6,"",(W286-Z286)/SQRT(((V286-1)*X286^2+(Y286-1)*AA286^2)/(V286+Y286-2))*AD286),IF(AB286="t",AC286*SQRT(1/V286+1/Y286)*AD286,IF(AB286="F",SQRT(AC286)*SQRT(1/V286+1/Y286)*AD286,IF(AB286="z",2*(AC286/SQRT(V286+Y286))/SQRT(1-(AC286/SQRT(V286+Y286))^2)*AD286,IF(AB286="t_paired",AC286/SQRT(V286)*AD286,""))))),"")</f>
        <v>0.545902397177423</v>
      </c>
      <c r="AF286" s="7" t="n">
        <f aca="false">IF(AE286="","",IF(AB286="t_paired",1-3/(4*(V286-1)-1),1-3/(4*(V286+Y286)-9)))</f>
        <v>0.985507246376812</v>
      </c>
      <c r="AG286" s="7" t="n">
        <f aca="false">IF(AE286="","",AE286*AF286)</f>
        <v>0.537990768232822</v>
      </c>
      <c r="AH286" s="7" t="n">
        <f aca="false">IF(AG286="","",IF(AB286="t_paired",1/V286+AG286^2/(2*V286),(V286+Y286)/(V286*Y286)+AG286^2/(2*(V286+Y286))))</f>
        <v>0.0776799450620717</v>
      </c>
      <c r="AI286" s="7" t="n">
        <f aca="false">IF(AH286="","",SQRT(AH286))</f>
        <v>0.278711221629255</v>
      </c>
      <c r="AJ286" s="7" t="n">
        <f aca="false">IF(AI286="","",AG286-1.96*AI286)</f>
        <v>-0.00828322616051735</v>
      </c>
      <c r="AK286" s="7" t="n">
        <f aca="false">IF(AI286="","",AG286+1.96*AI286)</f>
        <v>1.08426476262616</v>
      </c>
      <c r="AL286" s="7" t="n">
        <f aca="false">IF(AI286="","",AG286/AI286)</f>
        <v>1.93028025598648</v>
      </c>
      <c r="AM286" s="8" t="n">
        <f aca="false">IF(AL286="","",2*(1-NORMSDIST(ABS(AL286))))</f>
        <v>0.0535721220684071</v>
      </c>
      <c r="AN286" s="9" t="n">
        <f aca="false">IF(COUNT(V286)=0,"",IF(AB286="t_paired",V286,V286+N(Y286)))</f>
        <v>54</v>
      </c>
      <c r="AO286" s="7" t="n">
        <f aca="false">IF(AH286="","",1/AH286)</f>
        <v>12.8733355720184</v>
      </c>
      <c r="AP286" s="5" t="s">
        <v>88</v>
      </c>
      <c r="AQ286" s="5" t="s">
        <v>210</v>
      </c>
      <c r="AR286" s="5"/>
      <c r="AS286" s="7" t="n">
        <f aca="false">IF(AND(AP286="Y",ISNUMBER(AO286)),AO286,0)</f>
        <v>12.8733355720184</v>
      </c>
      <c r="AT286" s="7" t="n">
        <f aca="false">IF(AS286&gt;0,AS286*AG286,0)</f>
        <v>6.92573569410908</v>
      </c>
      <c r="AU286" s="7" t="n">
        <f aca="false">IF(AS286&gt;0,AS286*AG286^2,0)</f>
        <v>3.72598186665123</v>
      </c>
      <c r="AV286" s="9" t="n">
        <f aca="false">IF(AS286&gt;0,AS286^2,0)</f>
        <v>165.722768749794</v>
      </c>
      <c r="AW286" s="7" t="n">
        <f aca="false">IF(AS286&gt;0,AG286,0)</f>
        <v>0.537990768232822</v>
      </c>
      <c r="AX286" s="7" t="n">
        <f aca="false">IF(AS286&gt;0,AH286,1)</f>
        <v>0.0776799450620717</v>
      </c>
    </row>
    <row r="287" customFormat="false" ht="15" hidden="false" customHeight="false" outlineLevel="0" collapsed="false">
      <c r="A287" s="5" t="s">
        <v>932</v>
      </c>
      <c r="B287" s="5" t="s">
        <v>922</v>
      </c>
      <c r="C287" s="5" t="s">
        <v>923</v>
      </c>
      <c r="D287" s="5" t="n">
        <v>2025</v>
      </c>
      <c r="E287" s="5" t="s">
        <v>221</v>
      </c>
      <c r="F287" s="5" t="s">
        <v>199</v>
      </c>
      <c r="G287" s="5" t="s">
        <v>160</v>
      </c>
      <c r="H287" s="5" t="s">
        <v>162</v>
      </c>
      <c r="I287" s="5"/>
      <c r="J287" s="5" t="s">
        <v>162</v>
      </c>
      <c r="K287" s="5" t="s">
        <v>163</v>
      </c>
      <c r="L287" s="5" t="s">
        <v>164</v>
      </c>
      <c r="M287" s="5"/>
      <c r="N287" s="5"/>
      <c r="O287" s="5" t="s">
        <v>162</v>
      </c>
      <c r="P287" s="10" t="s">
        <v>113</v>
      </c>
      <c r="Q287" s="10" t="s">
        <v>315</v>
      </c>
      <c r="R287" s="5"/>
      <c r="S287" s="10" t="s">
        <v>933</v>
      </c>
      <c r="T287" s="5"/>
      <c r="U287" s="10" t="s">
        <v>98</v>
      </c>
      <c r="V287" s="5" t="n">
        <v>30</v>
      </c>
      <c r="W287" s="5" t="n">
        <v>3.73</v>
      </c>
      <c r="X287" s="5" t="n">
        <v>0.5</v>
      </c>
      <c r="Y287" s="5" t="n">
        <v>24</v>
      </c>
      <c r="Z287" s="5" t="n">
        <v>3.68</v>
      </c>
      <c r="AA287" s="5" t="n">
        <v>0.35</v>
      </c>
      <c r="AB287" s="5" t="s">
        <v>99</v>
      </c>
      <c r="AC287" s="5"/>
      <c r="AD287" s="5" t="n">
        <v>1</v>
      </c>
      <c r="AE287" s="7" t="n">
        <f aca="false">IFERROR(IF(AB287="MSD",IF(COUNT(V287,W287,X287,Y287,Z287,AA287)&lt;6,"",(W287-Z287)/SQRT(((V287-1)*X287^2+(Y287-1)*AA287^2)/(V287+Y287-2))*AD287),IF(AB287="t",AC287*SQRT(1/V287+1/Y287)*AD287,IF(AB287="F",SQRT(AC287)*SQRT(1/V287+1/Y287)*AD287,IF(AB287="z",2*(AC287/SQRT(V287+Y287))/SQRT(1-(AC287/SQRT(V287+Y287))^2)*AD287,IF(AB287="t_paired",AC287/SQRT(V287)*AD287,""))))),"")</f>
        <v>0.113634670506834</v>
      </c>
      <c r="AF287" s="7" t="n">
        <f aca="false">IF(AE287="","",IF(AB287="t_paired",1-3/(4*(V287-1)-1),1-3/(4*(V287+Y287)-9)))</f>
        <v>0.985507246376812</v>
      </c>
      <c r="AG287" s="7" t="n">
        <f aca="false">IF(AE287="","",AE287*AF287)</f>
        <v>0.111987791224127</v>
      </c>
      <c r="AH287" s="7" t="n">
        <f aca="false">IF(AG287="","",IF(AB287="t_paired",1/V287+AG287^2/(2*V287),(V287+Y287)/(V287*Y287)+AG287^2/(2*(V287+Y287))))</f>
        <v>0.0751161228276228</v>
      </c>
      <c r="AI287" s="7" t="n">
        <f aca="false">IF(AH287="","",SQRT(AH287))</f>
        <v>0.274073207059032</v>
      </c>
      <c r="AJ287" s="7" t="n">
        <f aca="false">IF(AI287="","",AG287-1.96*AI287)</f>
        <v>-0.425195694611575</v>
      </c>
      <c r="AK287" s="7" t="n">
        <f aca="false">IF(AI287="","",AG287+1.96*AI287)</f>
        <v>0.649171277059829</v>
      </c>
      <c r="AL287" s="7" t="n">
        <f aca="false">IF(AI287="","",AG287/AI287)</f>
        <v>0.408605395710957</v>
      </c>
      <c r="AM287" s="8" t="n">
        <f aca="false">IF(AL287="","",2*(1-NORMSDIST(ABS(AL287))))</f>
        <v>0.682829270305967</v>
      </c>
      <c r="AN287" s="9" t="n">
        <f aca="false">IF(COUNT(V287)=0,"",IF(AB287="t_paired",V287,V287+N(Y287)))</f>
        <v>54</v>
      </c>
      <c r="AO287" s="7" t="n">
        <f aca="false">IF(AH287="","",1/AH287)</f>
        <v>13.3127211889625</v>
      </c>
      <c r="AP287" s="5" t="s">
        <v>100</v>
      </c>
      <c r="AQ287" s="5" t="s">
        <v>210</v>
      </c>
      <c r="AR287" s="5"/>
      <c r="AS287" s="9" t="n">
        <f aca="false">IF(AND(AP287="Y",ISNUMBER(AO287)),AO287,0)</f>
        <v>0</v>
      </c>
      <c r="AT287" s="7" t="n">
        <f aca="false">IF(AS287&gt;0,AS287*AG287,0)</f>
        <v>0</v>
      </c>
      <c r="AU287" s="7" t="n">
        <f aca="false">IF(AS287&gt;0,AS287*AG287^2,0)</f>
        <v>0</v>
      </c>
      <c r="AV287" s="9" t="n">
        <f aca="false">IF(AS287&gt;0,AS287^2,0)</f>
        <v>0</v>
      </c>
      <c r="AW287" s="7" t="n">
        <f aca="false">IF(AS287&gt;0,AG287,0)</f>
        <v>0</v>
      </c>
      <c r="AX287" s="7" t="n">
        <f aca="false">IF(AS287&gt;0,AH287,1)</f>
        <v>1</v>
      </c>
    </row>
    <row r="288" customFormat="false" ht="15" hidden="false" customHeight="false" outlineLevel="0" collapsed="false">
      <c r="A288" s="5" t="s">
        <v>934</v>
      </c>
      <c r="B288" s="5" t="s">
        <v>922</v>
      </c>
      <c r="C288" s="5" t="s">
        <v>923</v>
      </c>
      <c r="D288" s="5" t="n">
        <v>2025</v>
      </c>
      <c r="E288" s="5" t="s">
        <v>221</v>
      </c>
      <c r="F288" s="5" t="s">
        <v>199</v>
      </c>
      <c r="G288" s="5" t="s">
        <v>160</v>
      </c>
      <c r="H288" s="5" t="s">
        <v>162</v>
      </c>
      <c r="I288" s="5"/>
      <c r="J288" s="5" t="s">
        <v>162</v>
      </c>
      <c r="K288" s="5" t="s">
        <v>163</v>
      </c>
      <c r="L288" s="5" t="s">
        <v>164</v>
      </c>
      <c r="M288" s="5"/>
      <c r="N288" s="5"/>
      <c r="O288" s="5" t="s">
        <v>162</v>
      </c>
      <c r="P288" s="11" t="s">
        <v>113</v>
      </c>
      <c r="Q288" s="11" t="s">
        <v>315</v>
      </c>
      <c r="R288" s="5"/>
      <c r="S288" s="11" t="s">
        <v>933</v>
      </c>
      <c r="T288" s="5"/>
      <c r="U288" s="11" t="s">
        <v>86</v>
      </c>
      <c r="V288" s="5" t="n">
        <v>30</v>
      </c>
      <c r="W288" s="5" t="n">
        <v>4.22</v>
      </c>
      <c r="X288" s="5" t="n">
        <v>0.4</v>
      </c>
      <c r="Y288" s="5" t="n">
        <v>24</v>
      </c>
      <c r="Z288" s="5" t="n">
        <v>3.93</v>
      </c>
      <c r="AA288" s="5" t="n">
        <v>0.53</v>
      </c>
      <c r="AB288" s="5" t="s">
        <v>99</v>
      </c>
      <c r="AC288" s="5"/>
      <c r="AD288" s="5" t="n">
        <v>1</v>
      </c>
      <c r="AE288" s="7" t="n">
        <f aca="false">IFERROR(IF(AB288="MSD",IF(COUNT(V288,W288,X288,Y288,Z288,AA288)&lt;6,"",(W288-Z288)/SQRT(((V288-1)*X288^2+(Y288-1)*AA288^2)/(V288+Y288-2))*AD288),IF(AB288="t",AC288*SQRT(1/V288+1/Y288)*AD288,IF(AB288="F",SQRT(AC288)*SQRT(1/V288+1/Y288)*AD288,IF(AB288="z",2*(AC288/SQRT(V288+Y288))/SQRT(1-(AC288/SQRT(V288+Y288))^2)*AD288,IF(AB288="t_paired",AC288/SQRT(V288)*AD288,""))))),"")</f>
        <v>0.62766004957951</v>
      </c>
      <c r="AF288" s="7" t="n">
        <f aca="false">IF(AE288="","",IF(AB288="t_paired",1-3/(4*(V288-1)-1),1-3/(4*(V288+Y288)-9)))</f>
        <v>0.985507246376812</v>
      </c>
      <c r="AG288" s="7" t="n">
        <f aca="false">IF(AE288="","",AE288*AF288)</f>
        <v>0.618563527121836</v>
      </c>
      <c r="AH288" s="7" t="n">
        <f aca="false">IF(AG288="","",IF(AB288="t_paired",1/V288+AG288^2/(2*V288),(V288+Y288)/(V288*Y288)+AG288^2/(2*(V288+Y288))))</f>
        <v>0.0785427855285686</v>
      </c>
      <c r="AI288" s="7" t="n">
        <f aca="false">IF(AH288="","",SQRT(AH288))</f>
        <v>0.280254858171216</v>
      </c>
      <c r="AJ288" s="7" t="n">
        <f aca="false">IF(AI288="","",AG288-1.96*AI288)</f>
        <v>0.0692640051062522</v>
      </c>
      <c r="AK288" s="7" t="n">
        <f aca="false">IF(AI288="","",AG288+1.96*AI288)</f>
        <v>1.16786304913742</v>
      </c>
      <c r="AL288" s="7" t="n">
        <f aca="false">IF(AI288="","",AG288/AI288)</f>
        <v>2.20714649215443</v>
      </c>
      <c r="AM288" s="8" t="n">
        <f aca="false">IF(AL288="","",2*(1-NORMSDIST(ABS(AL288))))</f>
        <v>0.027303826581951</v>
      </c>
      <c r="AN288" s="9" t="n">
        <f aca="false">IF(COUNT(V288)=0,"",IF(AB288="t_paired",V288,V288+N(Y288)))</f>
        <v>54</v>
      </c>
      <c r="AO288" s="7" t="n">
        <f aca="false">IF(AH288="","",1/AH288)</f>
        <v>12.7319141187865</v>
      </c>
      <c r="AP288" s="5" t="s">
        <v>88</v>
      </c>
      <c r="AQ288" s="5" t="s">
        <v>210</v>
      </c>
      <c r="AR288" s="5"/>
      <c r="AS288" s="7" t="n">
        <f aca="false">IF(AND(AP288="Y",ISNUMBER(AO288)),AO288,0)</f>
        <v>12.7319141187865</v>
      </c>
      <c r="AT288" s="7" t="n">
        <f aca="false">IF(AS288&gt;0,AS288*AG288,0)</f>
        <v>7.87549770432886</v>
      </c>
      <c r="AU288" s="7" t="n">
        <f aca="false">IF(AS288&gt;0,AS288*AG288^2,0)</f>
        <v>4.87149563782959</v>
      </c>
      <c r="AV288" s="9" t="n">
        <f aca="false">IF(AS288&gt;0,AS288^2,0)</f>
        <v>162.101637128154</v>
      </c>
      <c r="AW288" s="7" t="n">
        <f aca="false">IF(AS288&gt;0,AG288,0)</f>
        <v>0.618563527121836</v>
      </c>
      <c r="AX288" s="7" t="n">
        <f aca="false">IF(AS288&gt;0,AH288,1)</f>
        <v>0.0785427855285686</v>
      </c>
    </row>
    <row r="289" customFormat="false" ht="15" hidden="false" customHeight="false" outlineLevel="0" collapsed="false">
      <c r="A289" s="5" t="s">
        <v>935</v>
      </c>
      <c r="B289" s="5" t="s">
        <v>922</v>
      </c>
      <c r="C289" s="5" t="s">
        <v>923</v>
      </c>
      <c r="D289" s="5" t="n">
        <v>2025</v>
      </c>
      <c r="E289" s="5" t="s">
        <v>221</v>
      </c>
      <c r="F289" s="5" t="s">
        <v>199</v>
      </c>
      <c r="G289" s="5" t="s">
        <v>160</v>
      </c>
      <c r="H289" s="5" t="s">
        <v>162</v>
      </c>
      <c r="I289" s="5"/>
      <c r="J289" s="5" t="s">
        <v>162</v>
      </c>
      <c r="K289" s="5" t="s">
        <v>163</v>
      </c>
      <c r="L289" s="5" t="s">
        <v>164</v>
      </c>
      <c r="M289" s="5"/>
      <c r="N289" s="5"/>
      <c r="O289" s="5" t="s">
        <v>162</v>
      </c>
      <c r="P289" s="10" t="s">
        <v>113</v>
      </c>
      <c r="Q289" s="10" t="s">
        <v>315</v>
      </c>
      <c r="R289" s="5"/>
      <c r="S289" s="10" t="s">
        <v>936</v>
      </c>
      <c r="T289" s="5"/>
      <c r="U289" s="10" t="s">
        <v>98</v>
      </c>
      <c r="V289" s="5" t="n">
        <v>30</v>
      </c>
      <c r="W289" s="5" t="n">
        <v>3.69</v>
      </c>
      <c r="X289" s="5" t="n">
        <v>0.5</v>
      </c>
      <c r="Y289" s="5" t="n">
        <v>24</v>
      </c>
      <c r="Z289" s="5" t="n">
        <v>3.66</v>
      </c>
      <c r="AA289" s="5" t="n">
        <v>0.44</v>
      </c>
      <c r="AB289" s="5" t="s">
        <v>99</v>
      </c>
      <c r="AC289" s="5"/>
      <c r="AD289" s="5" t="n">
        <v>1</v>
      </c>
      <c r="AE289" s="7" t="n">
        <f aca="false">IFERROR(IF(AB289="MSD",IF(COUNT(V289,W289,X289,Y289,Z289,AA289)&lt;6,"",(W289-Z289)/SQRT(((V289-1)*X289^2+(Y289-1)*AA289^2)/(V289+Y289-2))*AD289),IF(AB289="t",AC289*SQRT(1/V289+1/Y289)*AD289,IF(AB289="F",SQRT(AC289)*SQRT(1/V289+1/Y289)*AD289,IF(AB289="z",2*(AC289/SQRT(V289+Y289))/SQRT(1-(AC289/SQRT(V289+Y289))^2)*AD289,IF(AB289="t_paired",AC289/SQRT(V289)*AD289,""))))),"")</f>
        <v>0.0632379867174543</v>
      </c>
      <c r="AF289" s="7" t="n">
        <f aca="false">IF(AE289="","",IF(AB289="t_paired",1-3/(4*(V289-1)-1),1-3/(4*(V289+Y289)-9)))</f>
        <v>0.985507246376812</v>
      </c>
      <c r="AG289" s="7" t="n">
        <f aca="false">IF(AE289="","",AE289*AF289)</f>
        <v>0.0623214941563317</v>
      </c>
      <c r="AH289" s="7" t="n">
        <f aca="false">IF(AG289="","",IF(AB289="t_paired",1/V289+AG289^2/(2*V289),(V289+Y289)/(V289*Y289)+AG289^2/(2*(V289+Y289))))</f>
        <v>0.0750359626725359</v>
      </c>
      <c r="AI289" s="7" t="n">
        <f aca="false">IF(AH289="","",SQRT(AH289))</f>
        <v>0.273926929440199</v>
      </c>
      <c r="AJ289" s="7" t="n">
        <f aca="false">IF(AI289="","",AG289-1.96*AI289)</f>
        <v>-0.474575287546459</v>
      </c>
      <c r="AK289" s="7" t="n">
        <f aca="false">IF(AI289="","",AG289+1.96*AI289)</f>
        <v>0.599218275859122</v>
      </c>
      <c r="AL289" s="7" t="n">
        <f aca="false">IF(AI289="","",AG289/AI289)</f>
        <v>0.227511381534093</v>
      </c>
      <c r="AM289" s="8" t="n">
        <f aca="false">IF(AL289="","",2*(1-NORMSDIST(ABS(AL289))))</f>
        <v>0.820026120084624</v>
      </c>
      <c r="AN289" s="9" t="n">
        <f aca="false">IF(COUNT(V289)=0,"",IF(AB289="t_paired",V289,V289+N(Y289)))</f>
        <v>54</v>
      </c>
      <c r="AO289" s="7" t="n">
        <f aca="false">IF(AH289="","",1/AH289)</f>
        <v>13.3269430334904</v>
      </c>
      <c r="AP289" s="5" t="s">
        <v>100</v>
      </c>
      <c r="AQ289" s="5" t="s">
        <v>210</v>
      </c>
      <c r="AR289" s="5"/>
      <c r="AS289" s="9" t="n">
        <f aca="false">IF(AND(AP289="Y",ISNUMBER(AO289)),AO289,0)</f>
        <v>0</v>
      </c>
      <c r="AT289" s="7" t="n">
        <f aca="false">IF(AS289&gt;0,AS289*AG289,0)</f>
        <v>0</v>
      </c>
      <c r="AU289" s="7" t="n">
        <f aca="false">IF(AS289&gt;0,AS289*AG289^2,0)</f>
        <v>0</v>
      </c>
      <c r="AV289" s="9" t="n">
        <f aca="false">IF(AS289&gt;0,AS289^2,0)</f>
        <v>0</v>
      </c>
      <c r="AW289" s="7" t="n">
        <f aca="false">IF(AS289&gt;0,AG289,0)</f>
        <v>0</v>
      </c>
      <c r="AX289" s="7" t="n">
        <f aca="false">IF(AS289&gt;0,AH289,1)</f>
        <v>1</v>
      </c>
    </row>
    <row r="290" customFormat="false" ht="15" hidden="false" customHeight="false" outlineLevel="0" collapsed="false">
      <c r="A290" s="5" t="s">
        <v>937</v>
      </c>
      <c r="B290" s="5" t="s">
        <v>922</v>
      </c>
      <c r="C290" s="5" t="s">
        <v>923</v>
      </c>
      <c r="D290" s="5" t="n">
        <v>2025</v>
      </c>
      <c r="E290" s="5" t="s">
        <v>221</v>
      </c>
      <c r="F290" s="5" t="s">
        <v>199</v>
      </c>
      <c r="G290" s="5" t="s">
        <v>160</v>
      </c>
      <c r="H290" s="5" t="s">
        <v>162</v>
      </c>
      <c r="I290" s="5"/>
      <c r="J290" s="5" t="s">
        <v>162</v>
      </c>
      <c r="K290" s="5" t="s">
        <v>163</v>
      </c>
      <c r="L290" s="5" t="s">
        <v>164</v>
      </c>
      <c r="M290" s="5"/>
      <c r="N290" s="5"/>
      <c r="O290" s="5" t="s">
        <v>162</v>
      </c>
      <c r="P290" s="11" t="s">
        <v>113</v>
      </c>
      <c r="Q290" s="11" t="s">
        <v>315</v>
      </c>
      <c r="R290" s="5"/>
      <c r="S290" s="11" t="s">
        <v>936</v>
      </c>
      <c r="T290" s="5"/>
      <c r="U290" s="11" t="s">
        <v>86</v>
      </c>
      <c r="V290" s="5" t="n">
        <v>30</v>
      </c>
      <c r="W290" s="5" t="n">
        <v>4.18</v>
      </c>
      <c r="X290" s="5" t="n">
        <v>0.52</v>
      </c>
      <c r="Y290" s="5" t="n">
        <v>24</v>
      </c>
      <c r="Z290" s="5" t="n">
        <v>3.89</v>
      </c>
      <c r="AA290" s="5" t="n">
        <v>0.45</v>
      </c>
      <c r="AB290" s="5" t="s">
        <v>99</v>
      </c>
      <c r="AC290" s="5"/>
      <c r="AD290" s="5" t="n">
        <v>1</v>
      </c>
      <c r="AE290" s="7" t="n">
        <f aca="false">IFERROR(IF(AB290="MSD",IF(COUNT(V290,W290,X290,Y290,Z290,AA290)&lt;6,"",(W290-Z290)/SQRT(((V290-1)*X290^2+(Y290-1)*AA290^2)/(V290+Y290-2))*AD290),IF(AB290="t",AC290*SQRT(1/V290+1/Y290)*AD290,IF(AB290="F",SQRT(AC290)*SQRT(1/V290+1/Y290)*AD290,IF(AB290="z",2*(AC290/SQRT(V290+Y290))/SQRT(1-(AC290/SQRT(V290+Y290))^2)*AD290,IF(AB290="t_paired",AC290/SQRT(V290)*AD290,""))))),"")</f>
        <v>0.591507558232169</v>
      </c>
      <c r="AF290" s="7" t="n">
        <f aca="false">IF(AE290="","",IF(AB290="t_paired",1-3/(4*(V290-1)-1),1-3/(4*(V290+Y290)-9)))</f>
        <v>0.985507246376812</v>
      </c>
      <c r="AG290" s="7" t="n">
        <f aca="false">IF(AE290="","",AE290*AF290)</f>
        <v>0.582934984924457</v>
      </c>
      <c r="AH290" s="7" t="n">
        <f aca="false">IF(AG290="","",IF(AB290="t_paired",1/V290+AG290^2/(2*V290),(V290+Y290)/(V290*Y290)+AG290^2/(2*(V290+Y290))))</f>
        <v>0.0781464184874896</v>
      </c>
      <c r="AI290" s="7" t="n">
        <f aca="false">IF(AH290="","",SQRT(AH290))</f>
        <v>0.279546809116988</v>
      </c>
      <c r="AJ290" s="7" t="n">
        <f aca="false">IF(AI290="","",AG290-1.96*AI290)</f>
        <v>0.0350232390551606</v>
      </c>
      <c r="AK290" s="7" t="n">
        <f aca="false">IF(AI290="","",AG290+1.96*AI290)</f>
        <v>1.13084673079375</v>
      </c>
      <c r="AL290" s="7" t="n">
        <f aca="false">IF(AI290="","",AG290/AI290)</f>
        <v>2.08528577652447</v>
      </c>
      <c r="AM290" s="8" t="n">
        <f aca="false">IF(AL290="","",2*(1-NORMSDIST(ABS(AL290))))</f>
        <v>0.0370433677392938</v>
      </c>
      <c r="AN290" s="9" t="n">
        <f aca="false">IF(COUNT(V290)=0,"",IF(AB290="t_paired",V290,V290+N(Y290)))</f>
        <v>54</v>
      </c>
      <c r="AO290" s="7" t="n">
        <f aca="false">IF(AH290="","",1/AH290)</f>
        <v>12.7964917568179</v>
      </c>
      <c r="AP290" s="5" t="s">
        <v>88</v>
      </c>
      <c r="AQ290" s="5" t="s">
        <v>210</v>
      </c>
      <c r="AR290" s="5"/>
      <c r="AS290" s="7" t="n">
        <f aca="false">IF(AND(AP290="Y",ISNUMBER(AO290)),AO290,0)</f>
        <v>12.7964917568179</v>
      </c>
      <c r="AT290" s="7" t="n">
        <f aca="false">IF(AS290&gt;0,AS290*AG290,0)</f>
        <v>7.45952272934656</v>
      </c>
      <c r="AU290" s="7" t="n">
        <f aca="false">IF(AS290&gt;0,AS290*AG290^2,0)</f>
        <v>4.34841676977528</v>
      </c>
      <c r="AV290" s="9" t="n">
        <f aca="false">IF(AS290&gt;0,AS290^2,0)</f>
        <v>163.750201282308</v>
      </c>
      <c r="AW290" s="7" t="n">
        <f aca="false">IF(AS290&gt;0,AG290,0)</f>
        <v>0.582934984924457</v>
      </c>
      <c r="AX290" s="7" t="n">
        <f aca="false">IF(AS290&gt;0,AH290,1)</f>
        <v>0.0781464184874896</v>
      </c>
    </row>
    <row r="291" customFormat="false" ht="15" hidden="false" customHeight="false" outlineLevel="0" collapsed="false">
      <c r="A291" s="5" t="s">
        <v>938</v>
      </c>
      <c r="B291" s="5" t="s">
        <v>922</v>
      </c>
      <c r="C291" s="5" t="s">
        <v>923</v>
      </c>
      <c r="D291" s="5" t="n">
        <v>2025</v>
      </c>
      <c r="E291" s="5" t="s">
        <v>221</v>
      </c>
      <c r="F291" s="5" t="s">
        <v>199</v>
      </c>
      <c r="G291" s="5" t="s">
        <v>160</v>
      </c>
      <c r="H291" s="5" t="s">
        <v>162</v>
      </c>
      <c r="I291" s="5"/>
      <c r="J291" s="5" t="s">
        <v>162</v>
      </c>
      <c r="K291" s="5" t="s">
        <v>163</v>
      </c>
      <c r="L291" s="5" t="s">
        <v>164</v>
      </c>
      <c r="M291" s="5"/>
      <c r="N291" s="5"/>
      <c r="O291" s="5" t="s">
        <v>162</v>
      </c>
      <c r="P291" s="10" t="s">
        <v>113</v>
      </c>
      <c r="Q291" s="10" t="s">
        <v>315</v>
      </c>
      <c r="R291" s="5"/>
      <c r="S291" s="10" t="s">
        <v>939</v>
      </c>
      <c r="T291" s="5"/>
      <c r="U291" s="10" t="s">
        <v>98</v>
      </c>
      <c r="V291" s="5" t="n">
        <v>30</v>
      </c>
      <c r="W291" s="5" t="n">
        <v>3.67</v>
      </c>
      <c r="X291" s="5" t="n">
        <v>0.5</v>
      </c>
      <c r="Y291" s="5" t="n">
        <v>24</v>
      </c>
      <c r="Z291" s="5" t="n">
        <v>3.62</v>
      </c>
      <c r="AA291" s="5" t="n">
        <v>0.44</v>
      </c>
      <c r="AB291" s="5" t="s">
        <v>99</v>
      </c>
      <c r="AC291" s="5"/>
      <c r="AD291" s="5" t="n">
        <v>1</v>
      </c>
      <c r="AE291" s="7" t="n">
        <f aca="false">IFERROR(IF(AB291="MSD",IF(COUNT(V291,W291,X291,Y291,Z291,AA291)&lt;6,"",(W291-Z291)/SQRT(((V291-1)*X291^2+(Y291-1)*AA291^2)/(V291+Y291-2))*AD291),IF(AB291="t",AC291*SQRT(1/V291+1/Y291)*AD291,IF(AB291="F",SQRT(AC291)*SQRT(1/V291+1/Y291)*AD291,IF(AB291="z",2*(AC291/SQRT(V291+Y291))/SQRT(1-(AC291/SQRT(V291+Y291))^2)*AD291,IF(AB291="t_paired",AC291/SQRT(V291)*AD291,""))))),"")</f>
        <v>0.105396644529091</v>
      </c>
      <c r="AF291" s="7" t="n">
        <f aca="false">IF(AE291="","",IF(AB291="t_paired",1-3/(4*(V291-1)-1),1-3/(4*(V291+Y291)-9)))</f>
        <v>0.985507246376812</v>
      </c>
      <c r="AG291" s="7" t="n">
        <f aca="false">IF(AE291="","",AE291*AF291)</f>
        <v>0.10386915692722</v>
      </c>
      <c r="AH291" s="7" t="n">
        <f aca="false">IF(AG291="","",IF(AB291="t_paired",1/V291+AG291^2/(2*V291),(V291+Y291)/(V291*Y291)+AG291^2/(2*(V291+Y291))))</f>
        <v>0.0750998963125997</v>
      </c>
      <c r="AI291" s="7" t="n">
        <f aca="false">IF(AH291="","",SQRT(AH291))</f>
        <v>0.274043602940481</v>
      </c>
      <c r="AJ291" s="7" t="n">
        <f aca="false">IF(AI291="","",AG291-1.96*AI291)</f>
        <v>-0.433256304836122</v>
      </c>
      <c r="AK291" s="7" t="n">
        <f aca="false">IF(AI291="","",AG291+1.96*AI291)</f>
        <v>0.640994618690562</v>
      </c>
      <c r="AL291" s="7" t="n">
        <f aca="false">IF(AI291="","",AG291/AI291)</f>
        <v>0.379024198385609</v>
      </c>
      <c r="AM291" s="8" t="n">
        <f aca="false">IF(AL291="","",2*(1-NORMSDIST(ABS(AL291))))</f>
        <v>0.704669894457878</v>
      </c>
      <c r="AN291" s="9" t="n">
        <f aca="false">IF(COUNT(V291)=0,"",IF(AB291="t_paired",V291,V291+N(Y291)))</f>
        <v>54</v>
      </c>
      <c r="AO291" s="7" t="n">
        <f aca="false">IF(AH291="","",1/AH291)</f>
        <v>13.31559761198</v>
      </c>
      <c r="AP291" s="5" t="s">
        <v>100</v>
      </c>
      <c r="AQ291" s="5" t="s">
        <v>210</v>
      </c>
      <c r="AR291" s="5"/>
      <c r="AS291" s="9" t="n">
        <f aca="false">IF(AND(AP291="Y",ISNUMBER(AO291)),AO291,0)</f>
        <v>0</v>
      </c>
      <c r="AT291" s="7" t="n">
        <f aca="false">IF(AS291&gt;0,AS291*AG291,0)</f>
        <v>0</v>
      </c>
      <c r="AU291" s="7" t="n">
        <f aca="false">IF(AS291&gt;0,AS291*AG291^2,0)</f>
        <v>0</v>
      </c>
      <c r="AV291" s="9" t="n">
        <f aca="false">IF(AS291&gt;0,AS291^2,0)</f>
        <v>0</v>
      </c>
      <c r="AW291" s="7" t="n">
        <f aca="false">IF(AS291&gt;0,AG291,0)</f>
        <v>0</v>
      </c>
      <c r="AX291" s="7" t="n">
        <f aca="false">IF(AS291&gt;0,AH291,1)</f>
        <v>1</v>
      </c>
    </row>
    <row r="292" customFormat="false" ht="15" hidden="false" customHeight="false" outlineLevel="0" collapsed="false">
      <c r="A292" s="5" t="s">
        <v>940</v>
      </c>
      <c r="B292" s="5" t="s">
        <v>922</v>
      </c>
      <c r="C292" s="5" t="s">
        <v>923</v>
      </c>
      <c r="D292" s="5" t="n">
        <v>2025</v>
      </c>
      <c r="E292" s="5" t="s">
        <v>221</v>
      </c>
      <c r="F292" s="5" t="s">
        <v>199</v>
      </c>
      <c r="G292" s="5" t="s">
        <v>160</v>
      </c>
      <c r="H292" s="5" t="s">
        <v>162</v>
      </c>
      <c r="I292" s="5"/>
      <c r="J292" s="5" t="s">
        <v>162</v>
      </c>
      <c r="K292" s="5" t="s">
        <v>163</v>
      </c>
      <c r="L292" s="5" t="s">
        <v>164</v>
      </c>
      <c r="M292" s="5"/>
      <c r="N292" s="5"/>
      <c r="O292" s="5" t="s">
        <v>162</v>
      </c>
      <c r="P292" s="11" t="s">
        <v>113</v>
      </c>
      <c r="Q292" s="11" t="s">
        <v>315</v>
      </c>
      <c r="R292" s="5"/>
      <c r="S292" s="11" t="s">
        <v>939</v>
      </c>
      <c r="T292" s="5"/>
      <c r="U292" s="11" t="s">
        <v>86</v>
      </c>
      <c r="V292" s="5" t="n">
        <v>30</v>
      </c>
      <c r="W292" s="5" t="n">
        <v>4.17</v>
      </c>
      <c r="X292" s="5" t="n">
        <v>0.52</v>
      </c>
      <c r="Y292" s="5" t="n">
        <v>24</v>
      </c>
      <c r="Z292" s="5" t="n">
        <v>3.83</v>
      </c>
      <c r="AA292" s="5" t="n">
        <v>0.44</v>
      </c>
      <c r="AB292" s="5" t="s">
        <v>99</v>
      </c>
      <c r="AC292" s="5"/>
      <c r="AD292" s="5" t="n">
        <v>1</v>
      </c>
      <c r="AE292" s="7" t="n">
        <f aca="false">IFERROR(IF(AB292="MSD",IF(COUNT(V292,W292,X292,Y292,Z292,AA292)&lt;6,"",(W292-Z292)/SQRT(((V292-1)*X292^2+(Y292-1)*AA292^2)/(V292+Y292-2))*AD292),IF(AB292="t",AC292*SQRT(1/V292+1/Y292)*AD292,IF(AB292="F",SQRT(AC292)*SQRT(1/V292+1/Y292)*AD292,IF(AB292="z",2*(AC292/SQRT(V292+Y292))/SQRT(1-(AC292/SQRT(V292+Y292))^2)*AD292,IF(AB292="t_paired",AC292/SQRT(V292)*AD292,""))))),"")</f>
        <v>0.699241055071386</v>
      </c>
      <c r="AF292" s="7" t="n">
        <f aca="false">IF(AE292="","",IF(AB292="t_paired",1-3/(4*(V292-1)-1),1-3/(4*(V292+Y292)-9)))</f>
        <v>0.985507246376812</v>
      </c>
      <c r="AG292" s="7" t="n">
        <f aca="false">IF(AE292="","",AE292*AF292)</f>
        <v>0.689107126737018</v>
      </c>
      <c r="AH292" s="7" t="n">
        <f aca="false">IF(AG292="","",IF(AB292="t_paired",1/V292+AG292^2/(2*V292),(V292+Y292)/(V292*Y292)+AG292^2/(2*(V292+Y292))))</f>
        <v>0.0793969317788866</v>
      </c>
      <c r="AI292" s="7" t="n">
        <f aca="false">IF(AH292="","",SQRT(AH292))</f>
        <v>0.281774611664867</v>
      </c>
      <c r="AJ292" s="7" t="n">
        <f aca="false">IF(AI292="","",AG292-1.96*AI292)</f>
        <v>0.136828887873879</v>
      </c>
      <c r="AK292" s="7" t="n">
        <f aca="false">IF(AI292="","",AG292+1.96*AI292)</f>
        <v>1.24138536560016</v>
      </c>
      <c r="AL292" s="7" t="n">
        <f aca="false">IF(AI292="","",AG292/AI292)</f>
        <v>2.44559693531445</v>
      </c>
      <c r="AM292" s="8" t="n">
        <f aca="false">IF(AL292="","",2*(1-NORMSDIST(ABS(AL292))))</f>
        <v>0.0144612568445408</v>
      </c>
      <c r="AN292" s="9" t="n">
        <f aca="false">IF(COUNT(V292)=0,"",IF(AB292="t_paired",V292,V292+N(Y292)))</f>
        <v>54</v>
      </c>
      <c r="AO292" s="7" t="n">
        <f aca="false">IF(AH292="","",1/AH292)</f>
        <v>12.5949451395038</v>
      </c>
      <c r="AP292" s="5" t="s">
        <v>88</v>
      </c>
      <c r="AQ292" s="5" t="s">
        <v>210</v>
      </c>
      <c r="AR292" s="5"/>
      <c r="AS292" s="7" t="n">
        <f aca="false">IF(AND(AP292="Y",ISNUMBER(AO292)),AO292,0)</f>
        <v>12.5949451395038</v>
      </c>
      <c r="AT292" s="7" t="n">
        <f aca="false">IF(AS292&gt;0,AS292*AG292,0)</f>
        <v>8.67926645649382</v>
      </c>
      <c r="AU292" s="7" t="n">
        <f aca="false">IF(AS292&gt;0,AS292*AG292^2,0)</f>
        <v>5.98094437001943</v>
      </c>
      <c r="AV292" s="9" t="n">
        <f aca="false">IF(AS292&gt;0,AS292^2,0)</f>
        <v>158.63264306711</v>
      </c>
      <c r="AW292" s="7" t="n">
        <f aca="false">IF(AS292&gt;0,AG292,0)</f>
        <v>0.689107126737018</v>
      </c>
      <c r="AX292" s="7" t="n">
        <f aca="false">IF(AS292&gt;0,AH292,1)</f>
        <v>0.0793969317788866</v>
      </c>
    </row>
    <row r="293" customFormat="false" ht="15" hidden="false" customHeight="false" outlineLevel="0" collapsed="false">
      <c r="A293" s="5" t="s">
        <v>941</v>
      </c>
      <c r="B293" s="5" t="s">
        <v>942</v>
      </c>
      <c r="C293" s="5" t="s">
        <v>943</v>
      </c>
      <c r="D293" s="5" t="n">
        <v>2025</v>
      </c>
      <c r="E293" s="5" t="s">
        <v>158</v>
      </c>
      <c r="F293" s="5" t="s">
        <v>944</v>
      </c>
      <c r="G293" s="5" t="s">
        <v>945</v>
      </c>
      <c r="H293" s="5" t="s">
        <v>131</v>
      </c>
      <c r="I293" s="5" t="s">
        <v>946</v>
      </c>
      <c r="J293" s="5" t="s">
        <v>189</v>
      </c>
      <c r="K293" s="5" t="s">
        <v>947</v>
      </c>
      <c r="L293" s="5" t="s">
        <v>948</v>
      </c>
      <c r="M293" s="5" t="s">
        <v>949</v>
      </c>
      <c r="N293" s="5" t="s">
        <v>950</v>
      </c>
      <c r="O293" s="5" t="s">
        <v>190</v>
      </c>
      <c r="P293" s="10" t="s">
        <v>82</v>
      </c>
      <c r="Q293" s="10" t="s">
        <v>103</v>
      </c>
      <c r="R293" s="5"/>
      <c r="S293" s="10" t="s">
        <v>951</v>
      </c>
      <c r="T293" s="5" t="s">
        <v>952</v>
      </c>
      <c r="U293" s="10" t="s">
        <v>98</v>
      </c>
      <c r="V293" s="5" t="n">
        <v>107</v>
      </c>
      <c r="W293" s="5" t="n">
        <v>0.32</v>
      </c>
      <c r="X293" s="5" t="n">
        <v>0.14</v>
      </c>
      <c r="Y293" s="5" t="n">
        <v>105</v>
      </c>
      <c r="Z293" s="5" t="n">
        <v>0.35</v>
      </c>
      <c r="AA293" s="5" t="n">
        <v>0.16</v>
      </c>
      <c r="AB293" s="5" t="s">
        <v>99</v>
      </c>
      <c r="AC293" s="5"/>
      <c r="AD293" s="5" t="n">
        <v>1</v>
      </c>
      <c r="AE293" s="7" t="n">
        <f aca="false">IFERROR(IF(AB293="MSD",IF(COUNT(V293,W293,X293,Y293,Z293,AA293)&lt;6,"",(W293-Z293)/SQRT(((V293-1)*X293^2+(Y293-1)*AA293^2)/(V293+Y293-2))*AD293),IF(AB293="t",AC293*SQRT(1/V293+1/Y293)*AD293,IF(AB293="F",SQRT(AC293)*SQRT(1/V293+1/Y293)*AD293,IF(AB293="z",2*(AC293/SQRT(V293+Y293))/SQRT(1-(AC293/SQRT(V293+Y293))^2)*AD293,IF(AB293="t_paired",AC293/SQRT(V293)*AD293,""))))),"")</f>
        <v>-0.199683293546353</v>
      </c>
      <c r="AF293" s="7" t="n">
        <f aca="false">IF(AE293="","",IF(AB293="t_paired",1-3/(4*(V293-1)-1),1-3/(4*(V293+Y293)-9)))</f>
        <v>0.99642431466031</v>
      </c>
      <c r="AG293" s="7" t="n">
        <f aca="false">IF(AE293="","",AE293*AF293)</f>
        <v>-0.198969288921038</v>
      </c>
      <c r="AH293" s="7" t="n">
        <f aca="false">IF(AG293="","",IF(AB293="t_paired",1/V293+AG293^2/(2*V293),(V293+Y293)/(V293*Y293)+AG293^2/(2*(V293+Y293))))</f>
        <v>0.0189629736756106</v>
      </c>
      <c r="AI293" s="7" t="n">
        <f aca="false">IF(AH293="","",SQRT(AH293))</f>
        <v>0.1377061134286</v>
      </c>
      <c r="AJ293" s="7" t="n">
        <f aca="false">IF(AI293="","",AG293-1.96*AI293)</f>
        <v>-0.468873271241095</v>
      </c>
      <c r="AK293" s="7" t="n">
        <f aca="false">IF(AI293="","",AG293+1.96*AI293)</f>
        <v>0.0709346933990188</v>
      </c>
      <c r="AL293" s="7" t="n">
        <f aca="false">IF(AI293="","",AG293/AI293)</f>
        <v>-1.4448834838709</v>
      </c>
      <c r="AM293" s="8" t="n">
        <f aca="false">IF(AL293="","",2*(1-NORMSDIST(ABS(AL293))))</f>
        <v>0.148490616224938</v>
      </c>
      <c r="AN293" s="9" t="n">
        <f aca="false">IF(COUNT(V293)=0,"",IF(AB293="t_paired",V293,V293+N(Y293)))</f>
        <v>212</v>
      </c>
      <c r="AO293" s="7" t="n">
        <f aca="false">IF(AH293="","",1/AH293)</f>
        <v>52.7343452090618</v>
      </c>
      <c r="AP293" s="5" t="s">
        <v>100</v>
      </c>
      <c r="AQ293" s="5" t="s">
        <v>953</v>
      </c>
      <c r="AR293" s="5" t="s">
        <v>834</v>
      </c>
      <c r="AS293" s="9" t="n">
        <f aca="false">IF(AND(AP293="Y",ISNUMBER(AO293)),AO293,0)</f>
        <v>0</v>
      </c>
      <c r="AT293" s="7" t="n">
        <f aca="false">IF(AS293&gt;0,AS293*AG293,0)</f>
        <v>0</v>
      </c>
      <c r="AU293" s="7" t="n">
        <f aca="false">IF(AS293&gt;0,AS293*AG293^2,0)</f>
        <v>0</v>
      </c>
      <c r="AV293" s="9" t="n">
        <f aca="false">IF(AS293&gt;0,AS293^2,0)</f>
        <v>0</v>
      </c>
      <c r="AW293" s="7" t="n">
        <f aca="false">IF(AS293&gt;0,AG293,0)</f>
        <v>0</v>
      </c>
      <c r="AX293" s="7" t="n">
        <f aca="false">IF(AS293&gt;0,AH293,1)</f>
        <v>1</v>
      </c>
    </row>
    <row r="294" customFormat="false" ht="15" hidden="false" customHeight="false" outlineLevel="0" collapsed="false">
      <c r="A294" s="5" t="s">
        <v>954</v>
      </c>
      <c r="B294" s="5" t="s">
        <v>942</v>
      </c>
      <c r="C294" s="5" t="s">
        <v>943</v>
      </c>
      <c r="D294" s="5" t="n">
        <v>2025</v>
      </c>
      <c r="E294" s="5" t="s">
        <v>158</v>
      </c>
      <c r="F294" s="5" t="s">
        <v>944</v>
      </c>
      <c r="G294" s="5" t="s">
        <v>945</v>
      </c>
      <c r="H294" s="5" t="s">
        <v>131</v>
      </c>
      <c r="I294" s="5" t="s">
        <v>946</v>
      </c>
      <c r="J294" s="5" t="s">
        <v>189</v>
      </c>
      <c r="K294" s="5" t="s">
        <v>947</v>
      </c>
      <c r="L294" s="5" t="s">
        <v>948</v>
      </c>
      <c r="M294" s="5" t="s">
        <v>949</v>
      </c>
      <c r="N294" s="5" t="s">
        <v>950</v>
      </c>
      <c r="O294" s="5" t="s">
        <v>190</v>
      </c>
      <c r="P294" s="6" t="s">
        <v>82</v>
      </c>
      <c r="Q294" s="6" t="s">
        <v>103</v>
      </c>
      <c r="R294" s="5"/>
      <c r="S294" s="6" t="s">
        <v>951</v>
      </c>
      <c r="T294" s="5" t="s">
        <v>952</v>
      </c>
      <c r="U294" s="6" t="s">
        <v>86</v>
      </c>
      <c r="V294" s="5" t="n">
        <v>107</v>
      </c>
      <c r="W294" s="5" t="n">
        <v>0.43</v>
      </c>
      <c r="X294" s="5" t="n">
        <v>0.2</v>
      </c>
      <c r="Y294" s="5" t="n">
        <v>105</v>
      </c>
      <c r="Z294" s="5" t="n">
        <v>0.39</v>
      </c>
      <c r="AA294" s="5" t="n">
        <v>0.19</v>
      </c>
      <c r="AB294" s="5" t="s">
        <v>99</v>
      </c>
      <c r="AC294" s="5"/>
      <c r="AD294" s="5" t="n">
        <v>1</v>
      </c>
      <c r="AE294" s="7" t="n">
        <f aca="false">IFERROR(IF(AB294="MSD",IF(COUNT(V294,W294,X294,Y294,Z294,AA294)&lt;6,"",(W294-Z294)/SQRT(((V294-1)*X294^2+(Y294-1)*AA294^2)/(V294+Y294-2))*AD294),IF(AB294="t",AC294*SQRT(1/V294+1/Y294)*AD294,IF(AB294="F",SQRT(AC294)*SQRT(1/V294+1/Y294)*AD294,IF(AB294="z",2*(AC294/SQRT(V294+Y294))/SQRT(1-(AC294/SQRT(V294+Y294))^2)*AD294,IF(AB294="t_paired",AC294/SQRT(V294)*AD294,""))))),"")</f>
        <v>0.205010781654078</v>
      </c>
      <c r="AF294" s="7" t="n">
        <f aca="false">IF(AE294="","",IF(AB294="t_paired",1-3/(4*(V294-1)-1),1-3/(4*(V294+Y294)-9)))</f>
        <v>0.99642431466031</v>
      </c>
      <c r="AG294" s="7" t="n">
        <f aca="false">IF(AE294="","",AE294*AF294)</f>
        <v>0.204277727607639</v>
      </c>
      <c r="AH294" s="7" t="n">
        <f aca="false">IF(AG294="","",IF(AB294="t_paired",1/V294+AG294^2/(2*V294),(V294+Y294)/(V294*Y294)+AG294^2/(2*(V294+Y294))))</f>
        <v>0.0189680222889662</v>
      </c>
      <c r="AI294" s="7" t="n">
        <f aca="false">IF(AH294="","",SQRT(AH294))</f>
        <v>0.13772444332422</v>
      </c>
      <c r="AJ294" s="7" t="n">
        <f aca="false">IF(AI294="","",AG294-1.96*AI294)</f>
        <v>-0.0656621813078317</v>
      </c>
      <c r="AK294" s="7" t="n">
        <f aca="false">IF(AI294="","",AG294+1.96*AI294)</f>
        <v>0.47421763652311</v>
      </c>
      <c r="AL294" s="7" t="n">
        <f aca="false">IF(AI294="","",AG294/AI294)</f>
        <v>1.48323509376433</v>
      </c>
      <c r="AM294" s="8" t="n">
        <f aca="false">IF(AL294="","",2*(1-NORMSDIST(ABS(AL294))))</f>
        <v>0.138011960269936</v>
      </c>
      <c r="AN294" s="9" t="n">
        <f aca="false">IF(COUNT(V294)=0,"",IF(AB294="t_paired",V294,V294+N(Y294)))</f>
        <v>212</v>
      </c>
      <c r="AO294" s="7" t="n">
        <f aca="false">IF(AH294="","",1/AH294)</f>
        <v>52.7203092006963</v>
      </c>
      <c r="AP294" s="5" t="s">
        <v>88</v>
      </c>
      <c r="AQ294" s="5" t="s">
        <v>953</v>
      </c>
      <c r="AR294" s="5" t="s">
        <v>834</v>
      </c>
      <c r="AS294" s="7" t="n">
        <f aca="false">IF(AND(AP294="Y",ISNUMBER(AO294)),AO294,0)</f>
        <v>52.7203092006963</v>
      </c>
      <c r="AT294" s="7" t="n">
        <f aca="false">IF(AS294&gt;0,AS294*AG294,0)</f>
        <v>10.7695849622904</v>
      </c>
      <c r="AU294" s="7" t="n">
        <f aca="false">IF(AS294&gt;0,AS294*AG294^2,0)</f>
        <v>2.19998634337408</v>
      </c>
      <c r="AV294" s="9" t="n">
        <f aca="false">IF(AS294&gt;0,AS294^2,0)</f>
        <v>2779.43100221703</v>
      </c>
      <c r="AW294" s="7" t="n">
        <f aca="false">IF(AS294&gt;0,AG294,0)</f>
        <v>0.204277727607639</v>
      </c>
      <c r="AX294" s="7" t="n">
        <f aca="false">IF(AS294&gt;0,AH294,1)</f>
        <v>0.0189680222889662</v>
      </c>
    </row>
    <row r="295" customFormat="false" ht="15" hidden="false" customHeight="false" outlineLevel="0" collapsed="false">
      <c r="A295" s="5" t="s">
        <v>955</v>
      </c>
      <c r="B295" s="5" t="s">
        <v>956</v>
      </c>
      <c r="C295" s="5" t="s">
        <v>957</v>
      </c>
      <c r="D295" s="5" t="n">
        <v>2025</v>
      </c>
      <c r="E295" s="5" t="s">
        <v>221</v>
      </c>
      <c r="F295" s="5" t="s">
        <v>173</v>
      </c>
      <c r="G295" s="5" t="s">
        <v>253</v>
      </c>
      <c r="H295" s="5" t="s">
        <v>174</v>
      </c>
      <c r="I295" s="5" t="s">
        <v>396</v>
      </c>
      <c r="J295" s="5" t="s">
        <v>76</v>
      </c>
      <c r="K295" s="5" t="s">
        <v>163</v>
      </c>
      <c r="L295" s="5" t="s">
        <v>164</v>
      </c>
      <c r="M295" s="5"/>
      <c r="N295" s="5"/>
      <c r="O295" s="5" t="s">
        <v>81</v>
      </c>
      <c r="P295" s="6" t="s">
        <v>82</v>
      </c>
      <c r="Q295" s="6" t="s">
        <v>191</v>
      </c>
      <c r="R295" s="5"/>
      <c r="S295" s="6" t="s">
        <v>958</v>
      </c>
      <c r="T295" s="5"/>
      <c r="U295" s="6" t="s">
        <v>86</v>
      </c>
      <c r="V295" s="5" t="n">
        <v>19</v>
      </c>
      <c r="W295" s="5" t="n">
        <v>14.316</v>
      </c>
      <c r="X295" s="5" t="n">
        <v>3.4</v>
      </c>
      <c r="Y295" s="5" t="n">
        <v>21</v>
      </c>
      <c r="Z295" s="5" t="n">
        <v>11.333</v>
      </c>
      <c r="AA295" s="5" t="n">
        <v>2.556</v>
      </c>
      <c r="AB295" s="5" t="s">
        <v>99</v>
      </c>
      <c r="AC295" s="5"/>
      <c r="AD295" s="5" t="n">
        <v>1</v>
      </c>
      <c r="AE295" s="7" t="n">
        <f aca="false">IFERROR(IF(AB295="MSD",IF(COUNT(V295,W295,X295,Y295,Z295,AA295)&lt;6,"",(W295-Z295)/SQRT(((V295-1)*X295^2+(Y295-1)*AA295^2)/(V295+Y295-2))*AD295),IF(AB295="t",AC295*SQRT(1/V295+1/Y295)*AD295,IF(AB295="F",SQRT(AC295)*SQRT(1/V295+1/Y295)*AD295,IF(AB295="z",2*(AC295/SQRT(V295+Y295))/SQRT(1-(AC295/SQRT(V295+Y295))^2)*AD295,IF(AB295="t_paired",AC295/SQRT(V295)*AD295,""))))),"")</f>
        <v>0.99910254775314</v>
      </c>
      <c r="AF295" s="7" t="n">
        <f aca="false">IF(AE295="","",IF(AB295="t_paired",1-3/(4*(V295-1)-1),1-3/(4*(V295+Y295)-9)))</f>
        <v>0.980132450331126</v>
      </c>
      <c r="AG295" s="7" t="n">
        <f aca="false">IF(AE295="","",AE295*AF295)</f>
        <v>0.979252828261356</v>
      </c>
      <c r="AH295" s="7" t="n">
        <f aca="false">IF(AG295="","",IF(AB295="t_paired",1/V295+AG295^2/(2*V295),(V295+Y295)/(V295*Y295)+AG295^2/(2*(V295+Y295))))</f>
        <v>0.112237327837139</v>
      </c>
      <c r="AI295" s="7" t="n">
        <f aca="false">IF(AH295="","",SQRT(AH295))</f>
        <v>0.335018399251652</v>
      </c>
      <c r="AJ295" s="7" t="n">
        <f aca="false">IF(AI295="","",AG295-1.96*AI295)</f>
        <v>0.322616765728118</v>
      </c>
      <c r="AK295" s="7" t="n">
        <f aca="false">IF(AI295="","",AG295+1.96*AI295)</f>
        <v>1.63588889079459</v>
      </c>
      <c r="AL295" s="7" t="n">
        <f aca="false">IF(AI295="","",AG295/AI295)</f>
        <v>2.92298223156926</v>
      </c>
      <c r="AM295" s="8" t="n">
        <f aca="false">IF(AL295="","",2*(1-NORMSDIST(ABS(AL295))))</f>
        <v>0.00346696300206451</v>
      </c>
      <c r="AN295" s="9" t="n">
        <f aca="false">IF(COUNT(V295)=0,"",IF(AB295="t_paired",V295,V295+N(Y295)))</f>
        <v>40</v>
      </c>
      <c r="AO295" s="7" t="n">
        <f aca="false">IF(AH295="","",1/AH295)</f>
        <v>8.90969180459319</v>
      </c>
      <c r="AP295" s="5" t="s">
        <v>88</v>
      </c>
      <c r="AQ295" s="5" t="s">
        <v>210</v>
      </c>
      <c r="AR295" s="5"/>
      <c r="AS295" s="7" t="n">
        <f aca="false">IF(AND(AP295="Y",ISNUMBER(AO295)),AO295,0)</f>
        <v>8.90969180459319</v>
      </c>
      <c r="AT295" s="7" t="n">
        <f aca="false">IF(AS295&gt;0,AS295*AG295,0)</f>
        <v>8.72484089858491</v>
      </c>
      <c r="AU295" s="7" t="n">
        <f aca="false">IF(AS295&gt;0,AS295*AG295^2,0)</f>
        <v>8.54382512606963</v>
      </c>
      <c r="AV295" s="9" t="n">
        <f aca="false">IF(AS295&gt;0,AS295^2,0)</f>
        <v>79.3826080528351</v>
      </c>
      <c r="AW295" s="7" t="n">
        <f aca="false">IF(AS295&gt;0,AG295,0)</f>
        <v>0.979252828261356</v>
      </c>
      <c r="AX295" s="7" t="n">
        <f aca="false">IF(AS295&gt;0,AH295,1)</f>
        <v>0.112237327837139</v>
      </c>
    </row>
    <row r="296" customFormat="false" ht="15" hidden="false" customHeight="false" outlineLevel="0" collapsed="false">
      <c r="A296" s="5" t="s">
        <v>959</v>
      </c>
      <c r="B296" s="5" t="s">
        <v>956</v>
      </c>
      <c r="C296" s="5" t="s">
        <v>957</v>
      </c>
      <c r="D296" s="5" t="n">
        <v>2025</v>
      </c>
      <c r="E296" s="5" t="s">
        <v>221</v>
      </c>
      <c r="F296" s="5" t="s">
        <v>173</v>
      </c>
      <c r="G296" s="5" t="s">
        <v>253</v>
      </c>
      <c r="H296" s="5" t="s">
        <v>174</v>
      </c>
      <c r="I296" s="5" t="s">
        <v>396</v>
      </c>
      <c r="J296" s="5" t="s">
        <v>76</v>
      </c>
      <c r="K296" s="5" t="s">
        <v>163</v>
      </c>
      <c r="L296" s="5" t="s">
        <v>164</v>
      </c>
      <c r="M296" s="5"/>
      <c r="N296" s="5"/>
      <c r="O296" s="5" t="s">
        <v>81</v>
      </c>
      <c r="P296" s="11" t="s">
        <v>113</v>
      </c>
      <c r="Q296" s="11" t="s">
        <v>114</v>
      </c>
      <c r="R296" s="5" t="s">
        <v>125</v>
      </c>
      <c r="S296" s="11" t="s">
        <v>235</v>
      </c>
      <c r="T296" s="5"/>
      <c r="U296" s="11" t="s">
        <v>86</v>
      </c>
      <c r="V296" s="5" t="n">
        <v>19</v>
      </c>
      <c r="W296" s="5" t="n">
        <v>4.597</v>
      </c>
      <c r="X296" s="5" t="n">
        <v>0.413</v>
      </c>
      <c r="Y296" s="5" t="n">
        <v>21</v>
      </c>
      <c r="Z296" s="5" t="n">
        <v>4.214</v>
      </c>
      <c r="AA296" s="5" t="n">
        <v>0.703</v>
      </c>
      <c r="AB296" s="5" t="s">
        <v>99</v>
      </c>
      <c r="AC296" s="5"/>
      <c r="AD296" s="5" t="n">
        <v>1</v>
      </c>
      <c r="AE296" s="7" t="n">
        <f aca="false">IFERROR(IF(AB296="MSD",IF(COUNT(V296,W296,X296,Y296,Z296,AA296)&lt;6,"",(W296-Z296)/SQRT(((V296-1)*X296^2+(Y296-1)*AA296^2)/(V296+Y296-2))*AD296),IF(AB296="t",AC296*SQRT(1/V296+1/Y296)*AD296,IF(AB296="F",SQRT(AC296)*SQRT(1/V296+1/Y296)*AD296,IF(AB296="z",2*(AC296/SQRT(V296+Y296))/SQRT(1-(AC296/SQRT(V296+Y296))^2)*AD296,IF(AB296="t_paired",AC296/SQRT(V296)*AD296,""))))),"")</f>
        <v>0.655966335979996</v>
      </c>
      <c r="AF296" s="7" t="n">
        <f aca="false">IF(AE296="","",IF(AB296="t_paired",1-3/(4*(V296-1)-1),1-3/(4*(V296+Y296)-9)))</f>
        <v>0.980132450331126</v>
      </c>
      <c r="AG296" s="7" t="n">
        <f aca="false">IF(AE296="","",AE296*AF296)</f>
        <v>0.642933892218804</v>
      </c>
      <c r="AH296" s="7" t="n">
        <f aca="false">IF(AG296="","",IF(AB296="t_paired",1/V296+AG296^2/(2*V296),(V296+Y296)/(V296*Y296)+AG296^2/(2*(V296+Y296))))</f>
        <v>0.105417676438461</v>
      </c>
      <c r="AI296" s="7" t="n">
        <f aca="false">IF(AH296="","",SQRT(AH296))</f>
        <v>0.324680884005297</v>
      </c>
      <c r="AJ296" s="7" t="n">
        <f aca="false">IF(AI296="","",AG296-1.96*AI296)</f>
        <v>0.00655935956842157</v>
      </c>
      <c r="AK296" s="7" t="n">
        <f aca="false">IF(AI296="","",AG296+1.96*AI296)</f>
        <v>1.27930842486919</v>
      </c>
      <c r="AL296" s="7" t="n">
        <f aca="false">IF(AI296="","",AG296/AI296)</f>
        <v>1.98020248154897</v>
      </c>
      <c r="AM296" s="8" t="n">
        <f aca="false">IF(AL296="","",2*(1-NORMSDIST(ABS(AL296))))</f>
        <v>0.0476807811441766</v>
      </c>
      <c r="AN296" s="9" t="n">
        <f aca="false">IF(COUNT(V296)=0,"",IF(AB296="t_paired",V296,V296+N(Y296)))</f>
        <v>40</v>
      </c>
      <c r="AO296" s="7" t="n">
        <f aca="false">IF(AH296="","",1/AH296)</f>
        <v>9.48607514209214</v>
      </c>
      <c r="AP296" s="5" t="s">
        <v>88</v>
      </c>
      <c r="AQ296" s="5" t="s">
        <v>227</v>
      </c>
      <c r="AR296" s="5"/>
      <c r="AS296" s="7" t="n">
        <f aca="false">IF(AND(AP296="Y",ISNUMBER(AO296)),AO296,0)</f>
        <v>9.48607514209214</v>
      </c>
      <c r="AT296" s="7" t="n">
        <f aca="false">IF(AS296&gt;0,AS296*AG296,0)</f>
        <v>6.09891921298535</v>
      </c>
      <c r="AU296" s="7" t="n">
        <f aca="false">IF(AS296&gt;0,AS296*AG296^2,0)</f>
        <v>3.92120186793271</v>
      </c>
      <c r="AV296" s="9" t="n">
        <f aca="false">IF(AS296&gt;0,AS296^2,0)</f>
        <v>89.9856216014184</v>
      </c>
      <c r="AW296" s="7" t="n">
        <f aca="false">IF(AS296&gt;0,AG296,0)</f>
        <v>0.642933892218804</v>
      </c>
      <c r="AX296" s="7" t="n">
        <f aca="false">IF(AS296&gt;0,AH296,1)</f>
        <v>0.105417676438461</v>
      </c>
    </row>
    <row r="297" customFormat="false" ht="15" hidden="false" customHeight="false" outlineLevel="0" collapsed="false">
      <c r="A297" s="5" t="s">
        <v>960</v>
      </c>
      <c r="B297" s="5" t="s">
        <v>961</v>
      </c>
      <c r="C297" s="5" t="s">
        <v>962</v>
      </c>
      <c r="D297" s="5" t="n">
        <v>2023</v>
      </c>
      <c r="E297" s="5" t="s">
        <v>221</v>
      </c>
      <c r="F297" s="5" t="s">
        <v>173</v>
      </c>
      <c r="G297" s="5" t="s">
        <v>187</v>
      </c>
      <c r="H297" s="5" t="s">
        <v>74</v>
      </c>
      <c r="I297" s="5" t="s">
        <v>207</v>
      </c>
      <c r="J297" s="5" t="s">
        <v>189</v>
      </c>
      <c r="K297" s="5" t="s">
        <v>163</v>
      </c>
      <c r="L297" s="5" t="s">
        <v>164</v>
      </c>
      <c r="M297" s="5" t="n">
        <v>1</v>
      </c>
      <c r="N297" s="5" t="n">
        <v>45</v>
      </c>
      <c r="O297" s="5" t="s">
        <v>190</v>
      </c>
      <c r="P297" s="6" t="s">
        <v>82</v>
      </c>
      <c r="Q297" s="6" t="s">
        <v>450</v>
      </c>
      <c r="R297" s="5"/>
      <c r="S297" s="6" t="s">
        <v>963</v>
      </c>
      <c r="T297" s="5"/>
      <c r="U297" s="6" t="s">
        <v>86</v>
      </c>
      <c r="V297" s="5" t="n">
        <v>19</v>
      </c>
      <c r="W297" s="5" t="n">
        <v>6.11</v>
      </c>
      <c r="X297" s="5" t="n">
        <v>0.14</v>
      </c>
      <c r="Y297" s="5" t="n">
        <v>16</v>
      </c>
      <c r="Z297" s="5" t="n">
        <v>5.01</v>
      </c>
      <c r="AA297" s="5" t="n">
        <v>0.26</v>
      </c>
      <c r="AB297" s="5" t="s">
        <v>99</v>
      </c>
      <c r="AC297" s="5"/>
      <c r="AD297" s="5" t="n">
        <v>-1</v>
      </c>
      <c r="AE297" s="7" t="n">
        <f aca="false">IFERROR(IF(AB297="MSD",IF(COUNT(V297,W297,X297,Y297,Z297,AA297)&lt;6,"",(W297-Z297)/SQRT(((V297-1)*X297^2+(Y297-1)*AA297^2)/(V297+Y297-2))*AD297),IF(AB297="t",AC297*SQRT(1/V297+1/Y297)*AD297,IF(AB297="F",SQRT(AC297)*SQRT(1/V297+1/Y297)*AD297,IF(AB297="z",2*(AC297/SQRT(V297+Y297))/SQRT(1-(AC297/SQRT(V297+Y297))^2)*AD297,IF(AB297="t_paired",AC297/SQRT(V297)*AD297,""))))),"")</f>
        <v>-5.40501831658635</v>
      </c>
      <c r="AF297" s="7" t="n">
        <f aca="false">IF(AE297="","",IF(AB297="t_paired",1-3/(4*(V297-1)-1),1-3/(4*(V297+Y297)-9)))</f>
        <v>0.977099236641221</v>
      </c>
      <c r="AG297" s="7" t="n">
        <f aca="false">IF(AE297="","",AE297*AF297)</f>
        <v>-5.28123927116834</v>
      </c>
      <c r="AH297" s="7" t="n">
        <f aca="false">IF(AG297="","",IF(AB297="t_paired",1/V297+AG297^2/(2*V297),(V297+Y297)/(V297*Y297)+AG297^2/(2*(V297+Y297))))</f>
        <v>0.513581410937807</v>
      </c>
      <c r="AI297" s="7" t="n">
        <f aca="false">IF(AH297="","",SQRT(AH297))</f>
        <v>0.716645945315961</v>
      </c>
      <c r="AJ297" s="7" t="n">
        <f aca="false">IF(AI297="","",AG297-1.96*AI297)</f>
        <v>-6.68586532398762</v>
      </c>
      <c r="AK297" s="7" t="n">
        <f aca="false">IF(AI297="","",AG297+1.96*AI297)</f>
        <v>-3.87661321834906</v>
      </c>
      <c r="AL297" s="7" t="n">
        <f aca="false">IF(AI297="","",AG297/AI297)</f>
        <v>-7.36938415083044</v>
      </c>
      <c r="AM297" s="8" t="n">
        <f aca="false">IF(AL297="","",2*(1-NORMSDIST(ABS(AL297))))</f>
        <v>1.71418435002124E-013</v>
      </c>
      <c r="AN297" s="9" t="n">
        <f aca="false">IF(COUNT(V297)=0,"",IF(AB297="t_paired",V297,V297+N(Y297)))</f>
        <v>35</v>
      </c>
      <c r="AO297" s="7" t="n">
        <f aca="false">IF(AH297="","",1/AH297)</f>
        <v>1.94711097150885</v>
      </c>
      <c r="AP297" s="5" t="s">
        <v>88</v>
      </c>
      <c r="AQ297" s="5" t="s">
        <v>210</v>
      </c>
      <c r="AR297" s="5" t="s">
        <v>452</v>
      </c>
      <c r="AS297" s="7" t="n">
        <f aca="false">IF(AND(AP297="Y",ISNUMBER(AO297)),AO297,0)</f>
        <v>1.94711097150885</v>
      </c>
      <c r="AT297" s="7" t="n">
        <f aca="false">IF(AS297&gt;0,AS297*AG297,0)</f>
        <v>-10.2831589280553</v>
      </c>
      <c r="AU297" s="7" t="n">
        <f aca="false">IF(AS297&gt;0,AS297*AG297^2,0)</f>
        <v>54.3078227625109</v>
      </c>
      <c r="AV297" s="9" t="n">
        <f aca="false">IF(AS297&gt;0,AS297^2,0)</f>
        <v>3.79124113537014</v>
      </c>
      <c r="AW297" s="7" t="n">
        <f aca="false">IF(AS297&gt;0,AG297,0)</f>
        <v>-5.28123927116834</v>
      </c>
      <c r="AX297" s="7" t="n">
        <f aca="false">IF(AS297&gt;0,AH297,1)</f>
        <v>0.513581410937807</v>
      </c>
    </row>
    <row r="298" customFormat="false" ht="15" hidden="false" customHeight="false" outlineLevel="0" collapsed="false">
      <c r="A298" s="5" t="s">
        <v>964</v>
      </c>
      <c r="B298" s="5" t="s">
        <v>961</v>
      </c>
      <c r="C298" s="5" t="s">
        <v>962</v>
      </c>
      <c r="D298" s="5" t="n">
        <v>2023</v>
      </c>
      <c r="E298" s="5" t="s">
        <v>221</v>
      </c>
      <c r="F298" s="5" t="s">
        <v>173</v>
      </c>
      <c r="G298" s="5" t="s">
        <v>187</v>
      </c>
      <c r="H298" s="5" t="s">
        <v>74</v>
      </c>
      <c r="I298" s="5" t="s">
        <v>207</v>
      </c>
      <c r="J298" s="5" t="s">
        <v>189</v>
      </c>
      <c r="K298" s="5" t="s">
        <v>163</v>
      </c>
      <c r="L298" s="5" t="s">
        <v>164</v>
      </c>
      <c r="M298" s="5" t="n">
        <v>1</v>
      </c>
      <c r="N298" s="5" t="n">
        <v>45</v>
      </c>
      <c r="O298" s="5" t="s">
        <v>190</v>
      </c>
      <c r="P298" s="6" t="s">
        <v>82</v>
      </c>
      <c r="Q298" s="6" t="s">
        <v>450</v>
      </c>
      <c r="R298" s="5"/>
      <c r="S298" s="6" t="s">
        <v>965</v>
      </c>
      <c r="T298" s="5"/>
      <c r="U298" s="6" t="s">
        <v>86</v>
      </c>
      <c r="V298" s="5" t="n">
        <v>18</v>
      </c>
      <c r="W298" s="5" t="n">
        <v>6.15</v>
      </c>
      <c r="X298" s="5" t="n">
        <v>0.12</v>
      </c>
      <c r="Y298" s="5" t="n">
        <v>16</v>
      </c>
      <c r="Z298" s="5" t="n">
        <v>5.01</v>
      </c>
      <c r="AA298" s="5" t="n">
        <v>0.26</v>
      </c>
      <c r="AB298" s="5" t="s">
        <v>99</v>
      </c>
      <c r="AC298" s="5"/>
      <c r="AD298" s="5" t="n">
        <v>-1</v>
      </c>
      <c r="AE298" s="7" t="n">
        <f aca="false">IFERROR(IF(AB298="MSD",IF(COUNT(V298,W298,X298,Y298,Z298,AA298)&lt;6,"",(W298-Z298)/SQRT(((V298-1)*X298^2+(Y298-1)*AA298^2)/(V298+Y298-2))*AD298),IF(AB298="t",AC298*SQRT(1/V298+1/Y298)*AD298,IF(AB298="F",SQRT(AC298)*SQRT(1/V298+1/Y298)*AD298,IF(AB298="z",2*(AC298/SQRT(V298+Y298))/SQRT(1-(AC298/SQRT(V298+Y298))^2)*AD298,IF(AB298="t_paired",AC298/SQRT(V298)*AD298,""))))),"")</f>
        <v>-5.74779768824672</v>
      </c>
      <c r="AF298" s="7" t="n">
        <f aca="false">IF(AE298="","",IF(AB298="t_paired",1-3/(4*(V298-1)-1),1-3/(4*(V298+Y298)-9)))</f>
        <v>0.976377952755906</v>
      </c>
      <c r="AG298" s="7" t="n">
        <f aca="false">IF(AE298="","",AE298*AF298)</f>
        <v>-5.61202293970546</v>
      </c>
      <c r="AH298" s="7" t="n">
        <f aca="false">IF(AG298="","",IF(AB298="t_paired",1/V298+AG298^2/(2*V298),(V298+Y298)/(V298*Y298)+AG298^2/(2*(V298+Y298))))</f>
        <v>0.581214400787619</v>
      </c>
      <c r="AI298" s="7" t="n">
        <f aca="false">IF(AH298="","",SQRT(AH298))</f>
        <v>0.762374186858146</v>
      </c>
      <c r="AJ298" s="7" t="n">
        <f aca="false">IF(AI298="","",AG298-1.96*AI298)</f>
        <v>-7.10627634594743</v>
      </c>
      <c r="AK298" s="7" t="n">
        <f aca="false">IF(AI298="","",AG298+1.96*AI298)</f>
        <v>-4.11776953346349</v>
      </c>
      <c r="AL298" s="7" t="n">
        <f aca="false">IF(AI298="","",AG298/AI298)</f>
        <v>-7.36124469643105</v>
      </c>
      <c r="AM298" s="8" t="n">
        <f aca="false">IF(AL298="","",2*(1-NORMSDIST(ABS(AL298))))</f>
        <v>1.82298620643451E-013</v>
      </c>
      <c r="AN298" s="9" t="n">
        <f aca="false">IF(COUNT(V298)=0,"",IF(AB298="t_paired",V298,V298+N(Y298)))</f>
        <v>34</v>
      </c>
      <c r="AO298" s="7" t="n">
        <f aca="false">IF(AH298="","",1/AH298)</f>
        <v>1.72053548336874</v>
      </c>
      <c r="AP298" s="5" t="s">
        <v>88</v>
      </c>
      <c r="AQ298" s="5" t="s">
        <v>210</v>
      </c>
      <c r="AR298" s="5" t="s">
        <v>452</v>
      </c>
      <c r="AS298" s="7" t="n">
        <f aca="false">IF(AND(AP298="Y",ISNUMBER(AO298)),AO298,0)</f>
        <v>1.72053548336874</v>
      </c>
      <c r="AT298" s="7" t="n">
        <f aca="false">IF(AS298&gt;0,AS298*AG298,0)</f>
        <v>-9.65568460124261</v>
      </c>
      <c r="AU298" s="7" t="n">
        <f aca="false">IF(AS298&gt;0,AS298*AG298^2,0)</f>
        <v>54.1879234807343</v>
      </c>
      <c r="AV298" s="9" t="n">
        <f aca="false">IF(AS298&gt;0,AS298^2,0)</f>
        <v>2.96024234953091</v>
      </c>
      <c r="AW298" s="7" t="n">
        <f aca="false">IF(AS298&gt;0,AG298,0)</f>
        <v>-5.61202293970546</v>
      </c>
      <c r="AX298" s="7" t="n">
        <f aca="false">IF(AS298&gt;0,AH298,1)</f>
        <v>0.581214400787619</v>
      </c>
    </row>
    <row r="299" customFormat="false" ht="15" hidden="false" customHeight="false" outlineLevel="0" collapsed="false">
      <c r="A299" s="5" t="s">
        <v>966</v>
      </c>
      <c r="B299" s="5" t="s">
        <v>961</v>
      </c>
      <c r="C299" s="5" t="s">
        <v>962</v>
      </c>
      <c r="D299" s="5" t="n">
        <v>2023</v>
      </c>
      <c r="E299" s="5" t="s">
        <v>221</v>
      </c>
      <c r="F299" s="5" t="s">
        <v>173</v>
      </c>
      <c r="G299" s="5" t="s">
        <v>187</v>
      </c>
      <c r="H299" s="5" t="s">
        <v>74</v>
      </c>
      <c r="I299" s="5" t="s">
        <v>207</v>
      </c>
      <c r="J299" s="5" t="s">
        <v>189</v>
      </c>
      <c r="K299" s="5" t="s">
        <v>163</v>
      </c>
      <c r="L299" s="5" t="s">
        <v>164</v>
      </c>
      <c r="M299" s="5" t="n">
        <v>1</v>
      </c>
      <c r="N299" s="5" t="n">
        <v>45</v>
      </c>
      <c r="O299" s="5" t="s">
        <v>190</v>
      </c>
      <c r="P299" s="6" t="s">
        <v>82</v>
      </c>
      <c r="Q299" s="6" t="s">
        <v>83</v>
      </c>
      <c r="R299" s="5"/>
      <c r="S299" s="6" t="s">
        <v>967</v>
      </c>
      <c r="T299" s="5"/>
      <c r="U299" s="6" t="s">
        <v>86</v>
      </c>
      <c r="V299" s="5" t="n">
        <v>19</v>
      </c>
      <c r="W299" s="5" t="n">
        <v>4.19</v>
      </c>
      <c r="X299" s="5" t="n">
        <v>0.45</v>
      </c>
      <c r="Y299" s="5" t="n">
        <v>16</v>
      </c>
      <c r="Z299" s="5" t="n">
        <v>3.91</v>
      </c>
      <c r="AA299" s="5" t="n">
        <v>0.5</v>
      </c>
      <c r="AB299" s="5" t="s">
        <v>99</v>
      </c>
      <c r="AC299" s="5"/>
      <c r="AD299" s="5" t="n">
        <v>1</v>
      </c>
      <c r="AE299" s="7" t="n">
        <f aca="false">IFERROR(IF(AB299="MSD",IF(COUNT(V299,W299,X299,Y299,Z299,AA299)&lt;6,"",(W299-Z299)/SQRT(((V299-1)*X299^2+(Y299-1)*AA299^2)/(V299+Y299-2))*AD299),IF(AB299="t",AC299*SQRT(1/V299+1/Y299)*AD299,IF(AB299="F",SQRT(AC299)*SQRT(1/V299+1/Y299)*AD299,IF(AB299="z",2*(AC299/SQRT(V299+Y299))/SQRT(1-(AC299/SQRT(V299+Y299))^2)*AD299,IF(AB299="t_paired",AC299/SQRT(V299)*AD299,""))))),"")</f>
        <v>0.591487964518625</v>
      </c>
      <c r="AF299" s="7" t="n">
        <f aca="false">IF(AE299="","",IF(AB299="t_paired",1-3/(4*(V299-1)-1),1-3/(4*(V299+Y299)-9)))</f>
        <v>0.977099236641221</v>
      </c>
      <c r="AG299" s="7" t="n">
        <f aca="false">IF(AE299="","",AE299*AF299)</f>
        <v>0.577942438613618</v>
      </c>
      <c r="AH299" s="7" t="n">
        <f aca="false">IF(AG299="","",IF(AB299="t_paired",1/V299+AG299^2/(2*V299),(V299+Y299)/(V299*Y299)+AG299^2/(2*(V299+Y299))))</f>
        <v>0.119903256980949</v>
      </c>
      <c r="AI299" s="7" t="n">
        <f aca="false">IF(AH299="","",SQRT(AH299))</f>
        <v>0.346270496838742</v>
      </c>
      <c r="AJ299" s="7" t="n">
        <f aca="false">IF(AI299="","",AG299-1.96*AI299)</f>
        <v>-0.100747735190316</v>
      </c>
      <c r="AK299" s="7" t="n">
        <f aca="false">IF(AI299="","",AG299+1.96*AI299)</f>
        <v>1.25663261241755</v>
      </c>
      <c r="AL299" s="7" t="n">
        <f aca="false">IF(AI299="","",AG299/AI299)</f>
        <v>1.66904903504605</v>
      </c>
      <c r="AM299" s="8" t="n">
        <f aca="false">IF(AL299="","",2*(1-NORMSDIST(ABS(AL299))))</f>
        <v>0.0951076623691092</v>
      </c>
      <c r="AN299" s="9" t="n">
        <f aca="false">IF(COUNT(V299)=0,"",IF(AB299="t_paired",V299,V299+N(Y299)))</f>
        <v>35</v>
      </c>
      <c r="AO299" s="7" t="n">
        <f aca="false">IF(AH299="","",1/AH299)</f>
        <v>8.34005701912572</v>
      </c>
      <c r="AP299" s="5" t="s">
        <v>88</v>
      </c>
      <c r="AQ299" s="5" t="s">
        <v>210</v>
      </c>
      <c r="AR299" s="5"/>
      <c r="AS299" s="7" t="n">
        <f aca="false">IF(AND(AP299="Y",ISNUMBER(AO299)),AO299,0)</f>
        <v>8.34005701912572</v>
      </c>
      <c r="AT299" s="7" t="n">
        <f aca="false">IF(AS299&gt;0,AS299*AG299,0)</f>
        <v>4.82007289181014</v>
      </c>
      <c r="AU299" s="7" t="n">
        <f aca="false">IF(AS299&gt;0,AS299*AG299^2,0)</f>
        <v>2.78572468138815</v>
      </c>
      <c r="AV299" s="9" t="n">
        <f aca="false">IF(AS299&gt;0,AS299^2,0)</f>
        <v>69.5565510822681</v>
      </c>
      <c r="AW299" s="7" t="n">
        <f aca="false">IF(AS299&gt;0,AG299,0)</f>
        <v>0.577942438613618</v>
      </c>
      <c r="AX299" s="7" t="n">
        <f aca="false">IF(AS299&gt;0,AH299,1)</f>
        <v>0.119903256980949</v>
      </c>
    </row>
    <row r="300" customFormat="false" ht="15" hidden="false" customHeight="false" outlineLevel="0" collapsed="false">
      <c r="A300" s="5" t="s">
        <v>968</v>
      </c>
      <c r="B300" s="5" t="s">
        <v>961</v>
      </c>
      <c r="C300" s="5" t="s">
        <v>962</v>
      </c>
      <c r="D300" s="5" t="n">
        <v>2023</v>
      </c>
      <c r="E300" s="5" t="s">
        <v>221</v>
      </c>
      <c r="F300" s="5" t="s">
        <v>173</v>
      </c>
      <c r="G300" s="5" t="s">
        <v>187</v>
      </c>
      <c r="H300" s="5" t="s">
        <v>74</v>
      </c>
      <c r="I300" s="5" t="s">
        <v>207</v>
      </c>
      <c r="J300" s="5" t="s">
        <v>189</v>
      </c>
      <c r="K300" s="5" t="s">
        <v>163</v>
      </c>
      <c r="L300" s="5" t="s">
        <v>164</v>
      </c>
      <c r="M300" s="5" t="n">
        <v>1</v>
      </c>
      <c r="N300" s="5" t="n">
        <v>45</v>
      </c>
      <c r="O300" s="5" t="s">
        <v>190</v>
      </c>
      <c r="P300" s="6" t="s">
        <v>82</v>
      </c>
      <c r="Q300" s="6" t="s">
        <v>83</v>
      </c>
      <c r="R300" s="5"/>
      <c r="S300" s="6" t="s">
        <v>969</v>
      </c>
      <c r="T300" s="5"/>
      <c r="U300" s="6" t="s">
        <v>86</v>
      </c>
      <c r="V300" s="5" t="n">
        <v>18</v>
      </c>
      <c r="W300" s="5" t="n">
        <v>4.31</v>
      </c>
      <c r="X300" s="5" t="n">
        <v>0.32</v>
      </c>
      <c r="Y300" s="5" t="n">
        <v>16</v>
      </c>
      <c r="Z300" s="5" t="n">
        <v>3.91</v>
      </c>
      <c r="AA300" s="5" t="n">
        <v>0.5</v>
      </c>
      <c r="AB300" s="5" t="s">
        <v>99</v>
      </c>
      <c r="AC300" s="5"/>
      <c r="AD300" s="5" t="n">
        <v>1</v>
      </c>
      <c r="AE300" s="7" t="n">
        <f aca="false">IFERROR(IF(AB300="MSD",IF(COUNT(V300,W300,X300,Y300,Z300,AA300)&lt;6,"",(W300-Z300)/SQRT(((V300-1)*X300^2+(Y300-1)*AA300^2)/(V300+Y300-2))*AD300),IF(AB300="t",AC300*SQRT(1/V300+1/Y300)*AD300,IF(AB300="F",SQRT(AC300)*SQRT(1/V300+1/Y300)*AD300,IF(AB300="z",2*(AC300/SQRT(V300+Y300))/SQRT(1-(AC300/SQRT(V300+Y300))^2)*AD300,IF(AB300="t_paired",AC300/SQRT(V300)*AD300,""))))),"")</f>
        <v>0.96564427042113</v>
      </c>
      <c r="AF300" s="7" t="n">
        <f aca="false">IF(AE300="","",IF(AB300="t_paired",1-3/(4*(V300-1)-1),1-3/(4*(V300+Y300)-9)))</f>
        <v>0.976377952755906</v>
      </c>
      <c r="AG300" s="7" t="n">
        <f aca="false">IF(AE300="","",AE300*AF300)</f>
        <v>0.942833775844253</v>
      </c>
      <c r="AH300" s="7" t="n">
        <f aca="false">IF(AG300="","",IF(AB300="t_paired",1/V300+AG300^2/(2*V300),(V300+Y300)/(V300*Y300)+AG300^2/(2*(V300+Y300))))</f>
        <v>0.131128136862508</v>
      </c>
      <c r="AI300" s="7" t="n">
        <f aca="false">IF(AH300="","",SQRT(AH300))</f>
        <v>0.362116192488692</v>
      </c>
      <c r="AJ300" s="7" t="n">
        <f aca="false">IF(AI300="","",AG300-1.96*AI300)</f>
        <v>0.233086038566417</v>
      </c>
      <c r="AK300" s="7" t="n">
        <f aca="false">IF(AI300="","",AG300+1.96*AI300)</f>
        <v>1.65258151312209</v>
      </c>
      <c r="AL300" s="7" t="n">
        <f aca="false">IF(AI300="","",AG300/AI300)</f>
        <v>2.60367748087845</v>
      </c>
      <c r="AM300" s="8" t="n">
        <f aca="false">IF(AL300="","",2*(1-NORMSDIST(ABS(AL300))))</f>
        <v>0.00922295013823105</v>
      </c>
      <c r="AN300" s="9" t="n">
        <f aca="false">IF(COUNT(V300)=0,"",IF(AB300="t_paired",V300,V300+N(Y300)))</f>
        <v>34</v>
      </c>
      <c r="AO300" s="7" t="n">
        <f aca="false">IF(AH300="","",1/AH300)</f>
        <v>7.62612833467264</v>
      </c>
      <c r="AP300" s="5" t="s">
        <v>88</v>
      </c>
      <c r="AQ300" s="5" t="s">
        <v>210</v>
      </c>
      <c r="AR300" s="5"/>
      <c r="AS300" s="7" t="n">
        <f aca="false">IF(AND(AP300="Y",ISNUMBER(AO300)),AO300,0)</f>
        <v>7.62612833467264</v>
      </c>
      <c r="AT300" s="7" t="n">
        <f aca="false">IF(AS300&gt;0,AS300*AG300,0)</f>
        <v>7.19017137285225</v>
      </c>
      <c r="AU300" s="7" t="n">
        <f aca="false">IF(AS300&gt;0,AS300*AG300^2,0)</f>
        <v>6.77913642443354</v>
      </c>
      <c r="AV300" s="9" t="n">
        <f aca="false">IF(AS300&gt;0,AS300^2,0)</f>
        <v>58.1578333768969</v>
      </c>
      <c r="AW300" s="7" t="n">
        <f aca="false">IF(AS300&gt;0,AG300,0)</f>
        <v>0.942833775844253</v>
      </c>
      <c r="AX300" s="7" t="n">
        <f aca="false">IF(AS300&gt;0,AH300,1)</f>
        <v>0.131128136862508</v>
      </c>
    </row>
    <row r="301" customFormat="false" ht="15" hidden="false" customHeight="false" outlineLevel="0" collapsed="false">
      <c r="A301" s="5" t="s">
        <v>970</v>
      </c>
      <c r="B301" s="5" t="s">
        <v>961</v>
      </c>
      <c r="C301" s="5" t="s">
        <v>962</v>
      </c>
      <c r="D301" s="5" t="n">
        <v>2023</v>
      </c>
      <c r="E301" s="5" t="s">
        <v>221</v>
      </c>
      <c r="F301" s="5" t="s">
        <v>173</v>
      </c>
      <c r="G301" s="5" t="s">
        <v>187</v>
      </c>
      <c r="H301" s="5" t="s">
        <v>74</v>
      </c>
      <c r="I301" s="5" t="s">
        <v>207</v>
      </c>
      <c r="J301" s="5" t="s">
        <v>189</v>
      </c>
      <c r="K301" s="5" t="s">
        <v>163</v>
      </c>
      <c r="L301" s="5" t="s">
        <v>164</v>
      </c>
      <c r="M301" s="5" t="n">
        <v>1</v>
      </c>
      <c r="N301" s="5" t="n">
        <v>45</v>
      </c>
      <c r="O301" s="5" t="s">
        <v>190</v>
      </c>
      <c r="P301" s="6" t="s">
        <v>82</v>
      </c>
      <c r="Q301" s="6" t="s">
        <v>103</v>
      </c>
      <c r="R301" s="5"/>
      <c r="S301" s="6" t="s">
        <v>971</v>
      </c>
      <c r="T301" s="5"/>
      <c r="U301" s="6" t="s">
        <v>86</v>
      </c>
      <c r="V301" s="5" t="n">
        <v>19</v>
      </c>
      <c r="W301" s="5" t="n">
        <v>74.63</v>
      </c>
      <c r="X301" s="5" t="n">
        <v>13.88</v>
      </c>
      <c r="Y301" s="5" t="n">
        <v>16</v>
      </c>
      <c r="Z301" s="5" t="n">
        <v>68.5</v>
      </c>
      <c r="AA301" s="5" t="n">
        <v>15.12</v>
      </c>
      <c r="AB301" s="5" t="s">
        <v>99</v>
      </c>
      <c r="AC301" s="5"/>
      <c r="AD301" s="5" t="n">
        <v>1</v>
      </c>
      <c r="AE301" s="7" t="n">
        <f aca="false">IFERROR(IF(AB301="MSD",IF(COUNT(V301,W301,X301,Y301,Z301,AA301)&lt;6,"",(W301-Z301)/SQRT(((V301-1)*X301^2+(Y301-1)*AA301^2)/(V301+Y301-2))*AD301),IF(AB301="t",AC301*SQRT(1/V301+1/Y301)*AD301,IF(AB301="F",SQRT(AC301)*SQRT(1/V301+1/Y301)*AD301,IF(AB301="z",2*(AC301/SQRT(V301+Y301))/SQRT(1-(AC301/SQRT(V301+Y301))^2)*AD301,IF(AB301="t_paired",AC301/SQRT(V301)*AD301,""))))),"")</f>
        <v>0.424021113899686</v>
      </c>
      <c r="AF301" s="7" t="n">
        <f aca="false">IF(AE301="","",IF(AB301="t_paired",1-3/(4*(V301-1)-1),1-3/(4*(V301+Y301)-9)))</f>
        <v>0.977099236641221</v>
      </c>
      <c r="AG301" s="7" t="n">
        <f aca="false">IF(AE301="","",AE301*AF301)</f>
        <v>0.414310706711144</v>
      </c>
      <c r="AH301" s="7" t="n">
        <f aca="false">IF(AG301="","",IF(AB301="t_paired",1/V301+AG301^2/(2*V301),(V301+Y301)/(V301*Y301)+AG301^2/(2*(V301+Y301))))</f>
        <v>0.117583769828733</v>
      </c>
      <c r="AI301" s="7" t="n">
        <f aca="false">IF(AH301="","",SQRT(AH301))</f>
        <v>0.342904899102845</v>
      </c>
      <c r="AJ301" s="7" t="n">
        <f aca="false">IF(AI301="","",AG301-1.96*AI301)</f>
        <v>-0.257782895530433</v>
      </c>
      <c r="AK301" s="7" t="n">
        <f aca="false">IF(AI301="","",AG301+1.96*AI301)</f>
        <v>1.08640430895272</v>
      </c>
      <c r="AL301" s="7" t="n">
        <f aca="false">IF(AI301="","",AG301/AI301)</f>
        <v>1.2082379335936</v>
      </c>
      <c r="AM301" s="8" t="n">
        <f aca="false">IF(AL301="","",2*(1-NORMSDIST(ABS(AL301))))</f>
        <v>0.226955754516623</v>
      </c>
      <c r="AN301" s="9" t="n">
        <f aca="false">IF(COUNT(V301)=0,"",IF(AB301="t_paired",V301,V301+N(Y301)))</f>
        <v>35</v>
      </c>
      <c r="AO301" s="7" t="n">
        <f aca="false">IF(AH301="","",1/AH301)</f>
        <v>8.50457509107386</v>
      </c>
      <c r="AP301" s="5" t="s">
        <v>88</v>
      </c>
      <c r="AQ301" s="5" t="s">
        <v>210</v>
      </c>
      <c r="AR301" s="5"/>
      <c r="AS301" s="7" t="n">
        <f aca="false">IF(AND(AP301="Y",ISNUMBER(AO301)),AO301,0)</f>
        <v>8.50457509107386</v>
      </c>
      <c r="AT301" s="7" t="n">
        <f aca="false">IF(AS301&gt;0,AS301*AG301,0)</f>
        <v>3.5235365162608</v>
      </c>
      <c r="AU301" s="7" t="n">
        <f aca="false">IF(AS301&gt;0,AS301*AG301^2,0)</f>
        <v>1.45983890417453</v>
      </c>
      <c r="AV301" s="9" t="n">
        <f aca="false">IF(AS301&gt;0,AS301^2,0)</f>
        <v>72.3277974797139</v>
      </c>
      <c r="AW301" s="7" t="n">
        <f aca="false">IF(AS301&gt;0,AG301,0)</f>
        <v>0.414310706711144</v>
      </c>
      <c r="AX301" s="7" t="n">
        <f aca="false">IF(AS301&gt;0,AH301,1)</f>
        <v>0.117583769828733</v>
      </c>
    </row>
    <row r="302" customFormat="false" ht="15" hidden="false" customHeight="false" outlineLevel="0" collapsed="false">
      <c r="A302" s="5" t="s">
        <v>972</v>
      </c>
      <c r="B302" s="5" t="s">
        <v>961</v>
      </c>
      <c r="C302" s="5" t="s">
        <v>962</v>
      </c>
      <c r="D302" s="5" t="n">
        <v>2023</v>
      </c>
      <c r="E302" s="5" t="s">
        <v>221</v>
      </c>
      <c r="F302" s="5" t="s">
        <v>173</v>
      </c>
      <c r="G302" s="5" t="s">
        <v>187</v>
      </c>
      <c r="H302" s="5" t="s">
        <v>74</v>
      </c>
      <c r="I302" s="5" t="s">
        <v>207</v>
      </c>
      <c r="J302" s="5" t="s">
        <v>189</v>
      </c>
      <c r="K302" s="5" t="s">
        <v>163</v>
      </c>
      <c r="L302" s="5" t="s">
        <v>164</v>
      </c>
      <c r="M302" s="5" t="n">
        <v>1</v>
      </c>
      <c r="N302" s="5" t="n">
        <v>45</v>
      </c>
      <c r="O302" s="5" t="s">
        <v>190</v>
      </c>
      <c r="P302" s="6" t="s">
        <v>82</v>
      </c>
      <c r="Q302" s="6" t="s">
        <v>103</v>
      </c>
      <c r="R302" s="5"/>
      <c r="S302" s="6" t="s">
        <v>973</v>
      </c>
      <c r="T302" s="5" t="s">
        <v>213</v>
      </c>
      <c r="U302" s="6" t="s">
        <v>86</v>
      </c>
      <c r="V302" s="5" t="n">
        <v>18</v>
      </c>
      <c r="W302" s="5" t="n">
        <v>86.06</v>
      </c>
      <c r="X302" s="5" t="n">
        <v>8.21</v>
      </c>
      <c r="Y302" s="5" t="n">
        <v>16</v>
      </c>
      <c r="Z302" s="5" t="n">
        <v>68.5</v>
      </c>
      <c r="AA302" s="5" t="n">
        <v>15.12</v>
      </c>
      <c r="AB302" s="5" t="s">
        <v>99</v>
      </c>
      <c r="AC302" s="5"/>
      <c r="AD302" s="5" t="n">
        <v>1</v>
      </c>
      <c r="AE302" s="7" t="n">
        <f aca="false">IFERROR(IF(AB302="MSD",IF(COUNT(V302,W302,X302,Y302,Z302,AA302)&lt;6,"",(W302-Z302)/SQRT(((V302-1)*X302^2+(Y302-1)*AA302^2)/(V302+Y302-2))*AD302),IF(AB302="t",AC302*SQRT(1/V302+1/Y302)*AD302,IF(AB302="F",SQRT(AC302)*SQRT(1/V302+1/Y302)*AD302,IF(AB302="z",2*(AC302/SQRT(V302+Y302))/SQRT(1-(AC302/SQRT(V302+Y302))^2)*AD302,IF(AB302="t_paired",AC302/SQRT(V302)*AD302,""))))),"")</f>
        <v>1.46858769125113</v>
      </c>
      <c r="AF302" s="7" t="n">
        <f aca="false">IF(AE302="","",IF(AB302="t_paired",1-3/(4*(V302-1)-1),1-3/(4*(V302+Y302)-9)))</f>
        <v>0.976377952755906</v>
      </c>
      <c r="AG302" s="7" t="n">
        <f aca="false">IF(AE302="","",AE302*AF302)</f>
        <v>1.4338966434263</v>
      </c>
      <c r="AH302" s="7" t="n">
        <f aca="false">IF(AG302="","",IF(AB302="t_paired",1/V302+AG302^2/(2*V302),(V302+Y302)/(V302*Y302)+AG302^2/(2*(V302+Y302))))</f>
        <v>0.148291725908926</v>
      </c>
      <c r="AI302" s="7" t="n">
        <f aca="false">IF(AH302="","",SQRT(AH302))</f>
        <v>0.385086647274255</v>
      </c>
      <c r="AJ302" s="7" t="n">
        <f aca="false">IF(AI302="","",AG302-1.96*AI302)</f>
        <v>0.679126814768762</v>
      </c>
      <c r="AK302" s="7" t="n">
        <f aca="false">IF(AI302="","",AG302+1.96*AI302)</f>
        <v>2.18866647208384</v>
      </c>
      <c r="AL302" s="7" t="n">
        <f aca="false">IF(AI302="","",AG302/AI302)</f>
        <v>3.72356884762378</v>
      </c>
      <c r="AM302" s="8" t="n">
        <f aca="false">IF(AL302="","",2*(1-NORMSDIST(ABS(AL302))))</f>
        <v>0.000196426263376681</v>
      </c>
      <c r="AN302" s="9" t="n">
        <f aca="false">IF(COUNT(V302)=0,"",IF(AB302="t_paired",V302,V302+N(Y302)))</f>
        <v>34</v>
      </c>
      <c r="AO302" s="7" t="n">
        <f aca="false">IF(AH302="","",1/AH302)</f>
        <v>6.74346457208376</v>
      </c>
      <c r="AP302" s="5" t="s">
        <v>88</v>
      </c>
      <c r="AQ302" s="5" t="s">
        <v>178</v>
      </c>
      <c r="AR302" s="5" t="s">
        <v>974</v>
      </c>
      <c r="AS302" s="7" t="n">
        <f aca="false">IF(AND(AP302="Y",ISNUMBER(AO302)),AO302,0)</f>
        <v>6.74346457208376</v>
      </c>
      <c r="AT302" s="7" t="n">
        <f aca="false">IF(AS302&gt;0,AS302*AG302,0)</f>
        <v>9.66943121497508</v>
      </c>
      <c r="AU302" s="7" t="n">
        <f aca="false">IF(AS302&gt;0,AS302*AG302^2,0)</f>
        <v>13.8649649629943</v>
      </c>
      <c r="AV302" s="9" t="n">
        <f aca="false">IF(AS302&gt;0,AS302^2,0)</f>
        <v>45.4743144349488</v>
      </c>
      <c r="AW302" s="7" t="n">
        <f aca="false">IF(AS302&gt;0,AG302,0)</f>
        <v>1.4338966434263</v>
      </c>
      <c r="AX302" s="7" t="n">
        <f aca="false">IF(AS302&gt;0,AH302,1)</f>
        <v>0.148291725908926</v>
      </c>
    </row>
    <row r="303" customFormat="false" ht="15" hidden="false" customHeight="false" outlineLevel="0" collapsed="false">
      <c r="A303" s="5" t="s">
        <v>975</v>
      </c>
      <c r="B303" s="5" t="s">
        <v>961</v>
      </c>
      <c r="C303" s="5" t="s">
        <v>962</v>
      </c>
      <c r="D303" s="5" t="n">
        <v>2023</v>
      </c>
      <c r="E303" s="5" t="s">
        <v>221</v>
      </c>
      <c r="F303" s="5" t="s">
        <v>173</v>
      </c>
      <c r="G303" s="5" t="s">
        <v>187</v>
      </c>
      <c r="H303" s="5" t="s">
        <v>74</v>
      </c>
      <c r="I303" s="5" t="s">
        <v>207</v>
      </c>
      <c r="J303" s="5" t="s">
        <v>189</v>
      </c>
      <c r="K303" s="5" t="s">
        <v>163</v>
      </c>
      <c r="L303" s="5" t="s">
        <v>164</v>
      </c>
      <c r="M303" s="5" t="n">
        <v>1</v>
      </c>
      <c r="N303" s="5" t="n">
        <v>45</v>
      </c>
      <c r="O303" s="5" t="s">
        <v>190</v>
      </c>
      <c r="P303" s="11" t="s">
        <v>113</v>
      </c>
      <c r="Q303" s="11" t="s">
        <v>114</v>
      </c>
      <c r="R303" s="5" t="s">
        <v>125</v>
      </c>
      <c r="S303" s="11" t="s">
        <v>235</v>
      </c>
      <c r="T303" s="5" t="s">
        <v>654</v>
      </c>
      <c r="U303" s="11" t="s">
        <v>86</v>
      </c>
      <c r="V303" s="5" t="n">
        <v>18</v>
      </c>
      <c r="W303" s="5" t="n">
        <v>3.96</v>
      </c>
      <c r="X303" s="5" t="n">
        <v>0.44</v>
      </c>
      <c r="Y303" s="5" t="n">
        <v>16</v>
      </c>
      <c r="Z303" s="5" t="n">
        <v>3.67</v>
      </c>
      <c r="AA303" s="5" t="n">
        <v>0.54</v>
      </c>
      <c r="AB303" s="5" t="s">
        <v>99</v>
      </c>
      <c r="AC303" s="5"/>
      <c r="AD303" s="5" t="n">
        <v>1</v>
      </c>
      <c r="AE303" s="7" t="n">
        <f aca="false">IFERROR(IF(AB303="MSD",IF(COUNT(V303,W303,X303,Y303,Z303,AA303)&lt;6,"",(W303-Z303)/SQRT(((V303-1)*X303^2+(Y303-1)*AA303^2)/(V303+Y303-2))*AD303),IF(AB303="t",AC303*SQRT(1/V303+1/Y303)*AD303,IF(AB303="F",SQRT(AC303)*SQRT(1/V303+1/Y303)*AD303,IF(AB303="z",2*(AC303/SQRT(V303+Y303))/SQRT(1-(AC303/SQRT(V303+Y303))^2)*AD303,IF(AB303="t_paired",AC303/SQRT(V303)*AD303,""))))),"")</f>
        <v>0.592531225018767</v>
      </c>
      <c r="AF303" s="7" t="n">
        <f aca="false">IF(AE303="","",IF(AB303="t_paired",1-3/(4*(V303-1)-1),1-3/(4*(V303+Y303)-9)))</f>
        <v>0.976377952755906</v>
      </c>
      <c r="AG303" s="7" t="n">
        <f aca="false">IF(AE303="","",AE303*AF303)</f>
        <v>0.578534424427773</v>
      </c>
      <c r="AH303" s="7" t="n">
        <f aca="false">IF(AG303="","",IF(AB303="t_paired",1/V303+AG303^2/(2*V303),(V303+Y303)/(V303*Y303)+AG303^2/(2*(V303+Y303))))</f>
        <v>0.122977644970967</v>
      </c>
      <c r="AI303" s="7" t="n">
        <f aca="false">IF(AH303="","",SQRT(AH303))</f>
        <v>0.350681686107169</v>
      </c>
      <c r="AJ303" s="7" t="n">
        <f aca="false">IF(AI303="","",AG303-1.96*AI303)</f>
        <v>-0.108801680342279</v>
      </c>
      <c r="AK303" s="7" t="n">
        <f aca="false">IF(AI303="","",AG303+1.96*AI303)</f>
        <v>1.26587052919782</v>
      </c>
      <c r="AL303" s="7" t="n">
        <f aca="false">IF(AI303="","",AG303/AI303)</f>
        <v>1.64974233713183</v>
      </c>
      <c r="AM303" s="8" t="n">
        <f aca="false">IF(AL303="","",2*(1-NORMSDIST(ABS(AL303))))</f>
        <v>0.0989956470183364</v>
      </c>
      <c r="AN303" s="9" t="n">
        <f aca="false">IF(COUNT(V303)=0,"",IF(AB303="t_paired",V303,V303+N(Y303)))</f>
        <v>34</v>
      </c>
      <c r="AO303" s="7" t="n">
        <f aca="false">IF(AH303="","",1/AH303)</f>
        <v>8.1315591970889</v>
      </c>
      <c r="AP303" s="5" t="s">
        <v>88</v>
      </c>
      <c r="AQ303" s="5" t="s">
        <v>227</v>
      </c>
      <c r="AR303" s="5"/>
      <c r="AS303" s="7" t="n">
        <f aca="false">IF(AND(AP303="Y",ISNUMBER(AO303)),AO303,0)</f>
        <v>8.1315591970889</v>
      </c>
      <c r="AT303" s="7" t="n">
        <f aca="false">IF(AS303&gt;0,AS303*AG303,0)</f>
        <v>4.70438691978819</v>
      </c>
      <c r="AU303" s="7" t="n">
        <f aca="false">IF(AS303&gt;0,AS303*AG303^2,0)</f>
        <v>2.7216497789252</v>
      </c>
      <c r="AV303" s="9" t="n">
        <f aca="false">IF(AS303&gt;0,AS303^2,0)</f>
        <v>66.1222549757611</v>
      </c>
      <c r="AW303" s="7" t="n">
        <f aca="false">IF(AS303&gt;0,AG303,0)</f>
        <v>0.578534424427773</v>
      </c>
      <c r="AX303" s="7" t="n">
        <f aca="false">IF(AS303&gt;0,AH303,1)</f>
        <v>0.122977644970967</v>
      </c>
    </row>
    <row r="304" customFormat="false" ht="15" hidden="false" customHeight="false" outlineLevel="0" collapsed="false">
      <c r="A304" s="5" t="s">
        <v>976</v>
      </c>
      <c r="B304" s="5" t="s">
        <v>977</v>
      </c>
      <c r="C304" s="5" t="s">
        <v>978</v>
      </c>
      <c r="D304" s="5" t="n">
        <v>2025</v>
      </c>
      <c r="E304" s="5" t="s">
        <v>221</v>
      </c>
      <c r="F304" s="5" t="s">
        <v>260</v>
      </c>
      <c r="G304" s="5" t="s">
        <v>160</v>
      </c>
      <c r="H304" s="5" t="s">
        <v>131</v>
      </c>
      <c r="I304" s="5" t="s">
        <v>705</v>
      </c>
      <c r="J304" s="5" t="s">
        <v>162</v>
      </c>
      <c r="K304" s="5" t="s">
        <v>163</v>
      </c>
      <c r="L304" s="5" t="s">
        <v>164</v>
      </c>
      <c r="M304" s="5" t="s">
        <v>979</v>
      </c>
      <c r="N304" s="5"/>
      <c r="O304" s="5" t="s">
        <v>261</v>
      </c>
      <c r="P304" s="10" t="s">
        <v>82</v>
      </c>
      <c r="Q304" s="10" t="s">
        <v>191</v>
      </c>
      <c r="R304" s="5"/>
      <c r="S304" s="10" t="s">
        <v>212</v>
      </c>
      <c r="T304" s="5" t="s">
        <v>634</v>
      </c>
      <c r="U304" s="10" t="s">
        <v>98</v>
      </c>
      <c r="V304" s="5" t="n">
        <v>76</v>
      </c>
      <c r="W304" s="5" t="n">
        <v>80.31</v>
      </c>
      <c r="X304" s="5" t="n">
        <v>25.5</v>
      </c>
      <c r="Y304" s="5" t="n">
        <v>77</v>
      </c>
      <c r="Z304" s="5" t="n">
        <v>79.5</v>
      </c>
      <c r="AA304" s="5" t="n">
        <v>24.64</v>
      </c>
      <c r="AB304" s="5" t="s">
        <v>99</v>
      </c>
      <c r="AC304" s="5"/>
      <c r="AD304" s="5" t="n">
        <v>1</v>
      </c>
      <c r="AE304" s="7" t="n">
        <f aca="false">IFERROR(IF(AB304="MSD",IF(COUNT(V304,W304,X304,Y304,Z304,AA304)&lt;6,"",(W304-Z304)/SQRT(((V304-1)*X304^2+(Y304-1)*AA304^2)/(V304+Y304-2))*AD304),IF(AB304="t",AC304*SQRT(1/V304+1/Y304)*AD304,IF(AB304="F",SQRT(AC304)*SQRT(1/V304+1/Y304)*AD304,IF(AB304="z",2*(AC304/SQRT(V304+Y304))/SQRT(1-(AC304/SQRT(V304+Y304))^2)*AD304,IF(AB304="t_paired",AC304/SQRT(V304)*AD304,""))))),"")</f>
        <v>0.0323084508018255</v>
      </c>
      <c r="AF304" s="7" t="n">
        <f aca="false">IF(AE304="","",IF(AB304="t_paired",1-3/(4*(V304-1)-1),1-3/(4*(V304+Y304)-9)))</f>
        <v>0.995024875621891</v>
      </c>
      <c r="AG304" s="7" t="n">
        <f aca="false">IF(AE304="","",AE304*AF304)</f>
        <v>0.0321477122406224</v>
      </c>
      <c r="AH304" s="7" t="n">
        <f aca="false">IF(AG304="","",IF(AB304="t_paired",1/V304+AG304^2/(2*V304),(V304+Y304)/(V304*Y304)+AG304^2/(2*(V304+Y304))))</f>
        <v>0.0261482850944509</v>
      </c>
      <c r="AI304" s="7" t="n">
        <f aca="false">IF(AH304="","",SQRT(AH304))</f>
        <v>0.161704313778114</v>
      </c>
      <c r="AJ304" s="7" t="n">
        <f aca="false">IF(AI304="","",AG304-1.96*AI304)</f>
        <v>-0.284792742764482</v>
      </c>
      <c r="AK304" s="7" t="n">
        <f aca="false">IF(AI304="","",AG304+1.96*AI304)</f>
        <v>0.349088167245727</v>
      </c>
      <c r="AL304" s="7" t="n">
        <f aca="false">IF(AI304="","",AG304/AI304)</f>
        <v>0.198805532700473</v>
      </c>
      <c r="AM304" s="8" t="n">
        <f aca="false">IF(AL304="","",2*(1-NORMSDIST(ABS(AL304))))</f>
        <v>0.842414867914046</v>
      </c>
      <c r="AN304" s="9" t="n">
        <f aca="false">IF(COUNT(V304)=0,"",IF(AB304="t_paired",V304,V304+N(Y304)))</f>
        <v>153</v>
      </c>
      <c r="AO304" s="7" t="n">
        <f aca="false">IF(AH304="","",1/AH304)</f>
        <v>38.2434257691422</v>
      </c>
      <c r="AP304" s="5" t="s">
        <v>100</v>
      </c>
      <c r="AQ304" s="5" t="s">
        <v>167</v>
      </c>
      <c r="AR304" s="5"/>
      <c r="AS304" s="9" t="n">
        <f aca="false">IF(AND(AP304="Y",ISNUMBER(AO304)),AO304,0)</f>
        <v>0</v>
      </c>
      <c r="AT304" s="7" t="n">
        <f aca="false">IF(AS304&gt;0,AS304*AG304,0)</f>
        <v>0</v>
      </c>
      <c r="AU304" s="7" t="n">
        <f aca="false">IF(AS304&gt;0,AS304*AG304^2,0)</f>
        <v>0</v>
      </c>
      <c r="AV304" s="9" t="n">
        <f aca="false">IF(AS304&gt;0,AS304^2,0)</f>
        <v>0</v>
      </c>
      <c r="AW304" s="7" t="n">
        <f aca="false">IF(AS304&gt;0,AG304,0)</f>
        <v>0</v>
      </c>
      <c r="AX304" s="7" t="n">
        <f aca="false">IF(AS304&gt;0,AH304,1)</f>
        <v>1</v>
      </c>
    </row>
    <row r="305" customFormat="false" ht="15" hidden="false" customHeight="false" outlineLevel="0" collapsed="false">
      <c r="A305" s="5" t="s">
        <v>980</v>
      </c>
      <c r="B305" s="5" t="s">
        <v>977</v>
      </c>
      <c r="C305" s="5" t="s">
        <v>978</v>
      </c>
      <c r="D305" s="5" t="n">
        <v>2025</v>
      </c>
      <c r="E305" s="5" t="s">
        <v>221</v>
      </c>
      <c r="F305" s="5" t="s">
        <v>260</v>
      </c>
      <c r="G305" s="5" t="s">
        <v>160</v>
      </c>
      <c r="H305" s="5" t="s">
        <v>131</v>
      </c>
      <c r="I305" s="5" t="s">
        <v>705</v>
      </c>
      <c r="J305" s="5" t="s">
        <v>162</v>
      </c>
      <c r="K305" s="5" t="s">
        <v>163</v>
      </c>
      <c r="L305" s="5" t="s">
        <v>164</v>
      </c>
      <c r="M305" s="5" t="s">
        <v>979</v>
      </c>
      <c r="N305" s="5"/>
      <c r="O305" s="5" t="s">
        <v>261</v>
      </c>
      <c r="P305" s="6" t="s">
        <v>82</v>
      </c>
      <c r="Q305" s="6" t="s">
        <v>191</v>
      </c>
      <c r="R305" s="5"/>
      <c r="S305" s="6" t="s">
        <v>212</v>
      </c>
      <c r="T305" s="5" t="s">
        <v>634</v>
      </c>
      <c r="U305" s="6" t="s">
        <v>86</v>
      </c>
      <c r="V305" s="5" t="n">
        <v>76</v>
      </c>
      <c r="W305" s="5" t="n">
        <v>42.42</v>
      </c>
      <c r="X305" s="5" t="n">
        <v>27.76</v>
      </c>
      <c r="Y305" s="5" t="n">
        <v>77</v>
      </c>
      <c r="Z305" s="5" t="n">
        <v>50.52</v>
      </c>
      <c r="AA305" s="5" t="n">
        <v>28.46</v>
      </c>
      <c r="AB305" s="5" t="s">
        <v>99</v>
      </c>
      <c r="AC305" s="5"/>
      <c r="AD305" s="5" t="n">
        <v>1</v>
      </c>
      <c r="AE305" s="7" t="n">
        <f aca="false">IFERROR(IF(AB305="MSD",IF(COUNT(V305,W305,X305,Y305,Z305,AA305)&lt;6,"",(W305-Z305)/SQRT(((V305-1)*X305^2+(Y305-1)*AA305^2)/(V305+Y305-2))*AD305),IF(AB305="t",AC305*SQRT(1/V305+1/Y305)*AD305,IF(AB305="F",SQRT(AC305)*SQRT(1/V305+1/Y305)*AD305,IF(AB305="z",2*(AC305/SQRT(V305+Y305))/SQRT(1-(AC305/SQRT(V305+Y305))^2)*AD305,IF(AB305="t_paired",AC305/SQRT(V305)*AD305,""))))),"")</f>
        <v>-0.288107596421739</v>
      </c>
      <c r="AF305" s="7" t="n">
        <f aca="false">IF(AE305="","",IF(AB305="t_paired",1-3/(4*(V305-1)-1),1-3/(4*(V305+Y305)-9)))</f>
        <v>0.995024875621891</v>
      </c>
      <c r="AG305" s="7" t="n">
        <f aca="false">IF(AE305="","",AE305*AF305)</f>
        <v>-0.286674225295262</v>
      </c>
      <c r="AH305" s="7" t="n">
        <f aca="false">IF(AG305="","",IF(AB305="t_paired",1/V305+AG305^2/(2*V305),(V305+Y305)/(V305*Y305)+AG305^2/(2*(V305+Y305))))</f>
        <v>0.0264134767155173</v>
      </c>
      <c r="AI305" s="7" t="n">
        <f aca="false">IF(AH305="","",SQRT(AH305))</f>
        <v>0.162522234526594</v>
      </c>
      <c r="AJ305" s="7" t="n">
        <f aca="false">IF(AI305="","",AG305-1.96*AI305)</f>
        <v>-0.605217804967387</v>
      </c>
      <c r="AK305" s="7" t="n">
        <f aca="false">IF(AI305="","",AG305+1.96*AI305)</f>
        <v>0.0318693543768625</v>
      </c>
      <c r="AL305" s="7" t="n">
        <f aca="false">IF(AI305="","",AG305/AI305)</f>
        <v>-1.76390772702767</v>
      </c>
      <c r="AM305" s="8" t="n">
        <f aca="false">IF(AL305="","",2*(1-NORMSDIST(ABS(AL305))))</f>
        <v>0.077747515712344</v>
      </c>
      <c r="AN305" s="9" t="n">
        <f aca="false">IF(COUNT(V305)=0,"",IF(AB305="t_paired",V305,V305+N(Y305)))</f>
        <v>153</v>
      </c>
      <c r="AO305" s="7" t="n">
        <f aca="false">IF(AH305="","",1/AH305)</f>
        <v>37.8594613185671</v>
      </c>
      <c r="AP305" s="5" t="s">
        <v>88</v>
      </c>
      <c r="AQ305" s="5" t="s">
        <v>167</v>
      </c>
      <c r="AR305" s="5"/>
      <c r="AS305" s="7" t="n">
        <f aca="false">IF(AND(AP305="Y",ISNUMBER(AO305)),AO305,0)</f>
        <v>37.8594613185671</v>
      </c>
      <c r="AT305" s="7" t="n">
        <f aca="false">IF(AS305&gt;0,AS305*AG305,0)</f>
        <v>-10.8533317435962</v>
      </c>
      <c r="AU305" s="7" t="n">
        <f aca="false">IF(AS305&gt;0,AS305*AG305^2,0)</f>
        <v>3.11137046946791</v>
      </c>
      <c r="AV305" s="9" t="n">
        <f aca="false">IF(AS305&gt;0,AS305^2,0)</f>
        <v>1433.33881133208</v>
      </c>
      <c r="AW305" s="7" t="n">
        <f aca="false">IF(AS305&gt;0,AG305,0)</f>
        <v>-0.286674225295262</v>
      </c>
      <c r="AX305" s="7" t="n">
        <f aca="false">IF(AS305&gt;0,AH305,1)</f>
        <v>0.0264134767155173</v>
      </c>
    </row>
    <row r="306" customFormat="false" ht="15" hidden="false" customHeight="false" outlineLevel="0" collapsed="false">
      <c r="A306" s="5" t="s">
        <v>981</v>
      </c>
      <c r="B306" s="5" t="s">
        <v>982</v>
      </c>
      <c r="C306" s="5" t="s">
        <v>983</v>
      </c>
      <c r="D306" s="5" t="n">
        <v>2025</v>
      </c>
      <c r="E306" s="5" t="s">
        <v>221</v>
      </c>
      <c r="F306" s="5" t="s">
        <v>199</v>
      </c>
      <c r="G306" s="5" t="s">
        <v>160</v>
      </c>
      <c r="H306" s="5" t="s">
        <v>161</v>
      </c>
      <c r="I306" s="5" t="s">
        <v>161</v>
      </c>
      <c r="J306" s="5" t="s">
        <v>162</v>
      </c>
      <c r="K306" s="5" t="s">
        <v>163</v>
      </c>
      <c r="L306" s="5" t="s">
        <v>164</v>
      </c>
      <c r="M306" s="5" t="s">
        <v>984</v>
      </c>
      <c r="N306" s="5" t="n">
        <v>40</v>
      </c>
      <c r="O306" s="5" t="s">
        <v>261</v>
      </c>
      <c r="P306" s="6" t="s">
        <v>82</v>
      </c>
      <c r="Q306" s="6" t="s">
        <v>83</v>
      </c>
      <c r="R306" s="5"/>
      <c r="S306" s="6" t="s">
        <v>353</v>
      </c>
      <c r="T306" s="5" t="s">
        <v>217</v>
      </c>
      <c r="U306" s="6" t="s">
        <v>86</v>
      </c>
      <c r="V306" s="5" t="n">
        <v>36</v>
      </c>
      <c r="W306" s="5" t="n">
        <v>75.3</v>
      </c>
      <c r="X306" s="5" t="n">
        <v>6.92</v>
      </c>
      <c r="Y306" s="5" t="n">
        <v>39</v>
      </c>
      <c r="Z306" s="5" t="n">
        <v>74.3</v>
      </c>
      <c r="AA306" s="5" t="n">
        <v>6.01</v>
      </c>
      <c r="AB306" s="5" t="s">
        <v>99</v>
      </c>
      <c r="AC306" s="5"/>
      <c r="AD306" s="5" t="n">
        <v>1</v>
      </c>
      <c r="AE306" s="7" t="n">
        <f aca="false">IFERROR(IF(AB306="MSD",IF(COUNT(V306,W306,X306,Y306,Z306,AA306)&lt;6,"",(W306-Z306)/SQRT(((V306-1)*X306^2+(Y306-1)*AA306^2)/(V306+Y306-2))*AD306),IF(AB306="t",AC306*SQRT(1/V306+1/Y306)*AD306,IF(AB306="F",SQRT(AC306)*SQRT(1/V306+1/Y306)*AD306,IF(AB306="z",2*(AC306/SQRT(V306+Y306))/SQRT(1-(AC306/SQRT(V306+Y306))^2)*AD306,IF(AB306="t_paired",AC306/SQRT(V306)*AD306,""))))),"")</f>
        <v>0.15474337916292</v>
      </c>
      <c r="AF306" s="7" t="n">
        <f aca="false">IF(AE306="","",IF(AB306="t_paired",1-3/(4*(V306-1)-1),1-3/(4*(V306+Y306)-9)))</f>
        <v>0.989690721649485</v>
      </c>
      <c r="AG306" s="7" t="n">
        <f aca="false">IF(AE306="","",AE306*AF306)</f>
        <v>0.153148086594231</v>
      </c>
      <c r="AH306" s="7" t="n">
        <f aca="false">IF(AG306="","",IF(AB306="t_paired",1/V306+AG306^2/(2*V306),(V306+Y306)/(V306*Y306)+AG306^2/(2*(V306+Y306))))</f>
        <v>0.0535751656616532</v>
      </c>
      <c r="AI306" s="7" t="n">
        <f aca="false">IF(AH306="","",SQRT(AH306))</f>
        <v>0.231463097839922</v>
      </c>
      <c r="AJ306" s="7" t="n">
        <f aca="false">IF(AI306="","",AG306-1.96*AI306)</f>
        <v>-0.300519585172016</v>
      </c>
      <c r="AK306" s="7" t="n">
        <f aca="false">IF(AI306="","",AG306+1.96*AI306)</f>
        <v>0.606815758360477</v>
      </c>
      <c r="AL306" s="7" t="n">
        <f aca="false">IF(AI306="","",AG306/AI306)</f>
        <v>0.661652280745619</v>
      </c>
      <c r="AM306" s="8" t="n">
        <f aca="false">IF(AL306="","",2*(1-NORMSDIST(ABS(AL306))))</f>
        <v>0.508194093583862</v>
      </c>
      <c r="AN306" s="9" t="n">
        <f aca="false">IF(COUNT(V306)=0,"",IF(AB306="t_paired",V306,V306+N(Y306)))</f>
        <v>75</v>
      </c>
      <c r="AO306" s="7" t="n">
        <f aca="false">IF(AH306="","",1/AH306)</f>
        <v>18.6653645891711</v>
      </c>
      <c r="AP306" s="5" t="s">
        <v>88</v>
      </c>
      <c r="AQ306" s="5" t="s">
        <v>167</v>
      </c>
      <c r="AR306" s="5"/>
      <c r="AS306" s="7" t="n">
        <f aca="false">IF(AND(AP306="Y",ISNUMBER(AO306)),AO306,0)</f>
        <v>18.6653645891711</v>
      </c>
      <c r="AT306" s="7" t="n">
        <f aca="false">IF(AS306&gt;0,AS306*AG306,0)</f>
        <v>2.85856487241527</v>
      </c>
      <c r="AU306" s="7" t="n">
        <f aca="false">IF(AS306&gt;0,AS306*AG306^2,0)</f>
        <v>0.437783740615879</v>
      </c>
      <c r="AV306" s="9" t="n">
        <f aca="false">IF(AS306&gt;0,AS306^2,0)</f>
        <v>348.395835246684</v>
      </c>
      <c r="AW306" s="7" t="n">
        <f aca="false">IF(AS306&gt;0,AG306,0)</f>
        <v>0.153148086594231</v>
      </c>
      <c r="AX306" s="7" t="n">
        <f aca="false">IF(AS306&gt;0,AH306,1)</f>
        <v>0.0535751656616532</v>
      </c>
    </row>
    <row r="307" customFormat="false" ht="15" hidden="false" customHeight="false" outlineLevel="0" collapsed="false">
      <c r="A307" s="5" t="s">
        <v>985</v>
      </c>
      <c r="B307" s="5" t="s">
        <v>982</v>
      </c>
      <c r="C307" s="5" t="s">
        <v>983</v>
      </c>
      <c r="D307" s="5" t="n">
        <v>2025</v>
      </c>
      <c r="E307" s="5" t="s">
        <v>221</v>
      </c>
      <c r="F307" s="5" t="s">
        <v>199</v>
      </c>
      <c r="G307" s="5" t="s">
        <v>160</v>
      </c>
      <c r="H307" s="5" t="s">
        <v>161</v>
      </c>
      <c r="I307" s="5" t="s">
        <v>161</v>
      </c>
      <c r="J307" s="5" t="s">
        <v>162</v>
      </c>
      <c r="K307" s="5" t="s">
        <v>163</v>
      </c>
      <c r="L307" s="5" t="s">
        <v>164</v>
      </c>
      <c r="M307" s="5" t="s">
        <v>984</v>
      </c>
      <c r="N307" s="5" t="n">
        <v>40</v>
      </c>
      <c r="O307" s="5" t="s">
        <v>261</v>
      </c>
      <c r="P307" s="6" t="s">
        <v>82</v>
      </c>
      <c r="Q307" s="6" t="s">
        <v>191</v>
      </c>
      <c r="R307" s="5"/>
      <c r="S307" s="6" t="s">
        <v>986</v>
      </c>
      <c r="T307" s="5" t="s">
        <v>217</v>
      </c>
      <c r="U307" s="6" t="s">
        <v>86</v>
      </c>
      <c r="V307" s="5" t="n">
        <v>36</v>
      </c>
      <c r="W307" s="5" t="n">
        <v>59.91</v>
      </c>
      <c r="X307" s="5" t="n">
        <v>7.97</v>
      </c>
      <c r="Y307" s="5" t="n">
        <v>39</v>
      </c>
      <c r="Z307" s="5" t="n">
        <v>58.64</v>
      </c>
      <c r="AA307" s="5" t="n">
        <v>7.604</v>
      </c>
      <c r="AB307" s="5" t="s">
        <v>99</v>
      </c>
      <c r="AC307" s="5"/>
      <c r="AD307" s="5" t="n">
        <v>1</v>
      </c>
      <c r="AE307" s="7" t="n">
        <f aca="false">IFERROR(IF(AB307="MSD",IF(COUNT(V307,W307,X307,Y307,Z307,AA307)&lt;6,"",(W307-Z307)/SQRT(((V307-1)*X307^2+(Y307-1)*AA307^2)/(V307+Y307-2))*AD307),IF(AB307="t",AC307*SQRT(1/V307+1/Y307)*AD307,IF(AB307="F",SQRT(AC307)*SQRT(1/V307+1/Y307)*AD307,IF(AB307="z",2*(AC307/SQRT(V307+Y307))/SQRT(1-(AC307/SQRT(V307+Y307))^2)*AD307,IF(AB307="t_paired",AC307/SQRT(V307)*AD307,""))))),"")</f>
        <v>0.16320492499703</v>
      </c>
      <c r="AF307" s="7" t="n">
        <f aca="false">IF(AE307="","",IF(AB307="t_paired",1-3/(4*(V307-1)-1),1-3/(4*(V307+Y307)-9)))</f>
        <v>0.989690721649485</v>
      </c>
      <c r="AG307" s="7" t="n">
        <f aca="false">IF(AE307="","",AE307*AF307)</f>
        <v>0.161522399997061</v>
      </c>
      <c r="AH307" s="7" t="n">
        <f aca="false">IF(AG307="","",IF(AB307="t_paired",1/V307+AG307^2/(2*V307),(V307+Y307)/(V307*Y307)+AG307^2/(2*(V307+Y307))))</f>
        <v>0.0535927333234755</v>
      </c>
      <c r="AI307" s="7" t="n">
        <f aca="false">IF(AH307="","",SQRT(AH307))</f>
        <v>0.231501043892842</v>
      </c>
      <c r="AJ307" s="7" t="n">
        <f aca="false">IF(AI307="","",AG307-1.96*AI307)</f>
        <v>-0.292219646032909</v>
      </c>
      <c r="AK307" s="7" t="n">
        <f aca="false">IF(AI307="","",AG307+1.96*AI307)</f>
        <v>0.615264446027031</v>
      </c>
      <c r="AL307" s="7" t="n">
        <f aca="false">IF(AI307="","",AG307/AI307)</f>
        <v>0.697717804122849</v>
      </c>
      <c r="AM307" s="8" t="n">
        <f aca="false">IF(AL307="","",2*(1-NORMSDIST(ABS(AL307))))</f>
        <v>0.485353691536943</v>
      </c>
      <c r="AN307" s="9" t="n">
        <f aca="false">IF(COUNT(V307)=0,"",IF(AB307="t_paired",V307,V307+N(Y307)))</f>
        <v>75</v>
      </c>
      <c r="AO307" s="7" t="n">
        <f aca="false">IF(AH307="","",1/AH307)</f>
        <v>18.6592460952531</v>
      </c>
      <c r="AP307" s="5" t="s">
        <v>88</v>
      </c>
      <c r="AQ307" s="5" t="s">
        <v>167</v>
      </c>
      <c r="AR307" s="5"/>
      <c r="AS307" s="7" t="n">
        <f aca="false">IF(AND(AP307="Y",ISNUMBER(AO307)),AO307,0)</f>
        <v>18.6592460952531</v>
      </c>
      <c r="AT307" s="7" t="n">
        <f aca="false">IF(AS307&gt;0,AS307*AG307,0)</f>
        <v>3.01388621144107</v>
      </c>
      <c r="AU307" s="7" t="n">
        <f aca="false">IF(AS307&gt;0,AS307*AG307^2,0)</f>
        <v>0.486810134190011</v>
      </c>
      <c r="AV307" s="9" t="n">
        <f aca="false">IF(AS307&gt;0,AS307^2,0)</f>
        <v>348.167464843218</v>
      </c>
      <c r="AW307" s="7" t="n">
        <f aca="false">IF(AS307&gt;0,AG307,0)</f>
        <v>0.161522399997061</v>
      </c>
      <c r="AX307" s="7" t="n">
        <f aca="false">IF(AS307&gt;0,AH307,1)</f>
        <v>0.0535927333234755</v>
      </c>
    </row>
    <row r="308" customFormat="false" ht="15" hidden="false" customHeight="false" outlineLevel="0" collapsed="false">
      <c r="A308" s="5" t="s">
        <v>987</v>
      </c>
      <c r="B308" s="5" t="s">
        <v>988</v>
      </c>
      <c r="C308" s="5" t="s">
        <v>989</v>
      </c>
      <c r="D308" s="5" t="n">
        <v>2025</v>
      </c>
      <c r="E308" s="5" t="s">
        <v>221</v>
      </c>
      <c r="F308" s="5" t="s">
        <v>199</v>
      </c>
      <c r="G308" s="5" t="s">
        <v>160</v>
      </c>
      <c r="H308" s="5" t="s">
        <v>162</v>
      </c>
      <c r="I308" s="5"/>
      <c r="J308" s="5" t="s">
        <v>162</v>
      </c>
      <c r="K308" s="5" t="s">
        <v>163</v>
      </c>
      <c r="L308" s="5" t="s">
        <v>164</v>
      </c>
      <c r="M308" s="5"/>
      <c r="N308" s="5"/>
      <c r="O308" s="5" t="s">
        <v>162</v>
      </c>
      <c r="P308" s="10" t="s">
        <v>82</v>
      </c>
      <c r="Q308" s="10" t="s">
        <v>103</v>
      </c>
      <c r="R308" s="5"/>
      <c r="S308" s="10" t="s">
        <v>990</v>
      </c>
      <c r="T308" s="5"/>
      <c r="U308" s="10" t="s">
        <v>98</v>
      </c>
      <c r="V308" s="5" t="n">
        <v>418</v>
      </c>
      <c r="W308" s="5" t="n">
        <v>7.79</v>
      </c>
      <c r="X308" s="5" t="n">
        <v>1.59</v>
      </c>
      <c r="Y308" s="5"/>
      <c r="Z308" s="5"/>
      <c r="AA308" s="5"/>
      <c r="AB308" s="5" t="s">
        <v>99</v>
      </c>
      <c r="AC308" s="5"/>
      <c r="AD308" s="5" t="n">
        <v>1</v>
      </c>
      <c r="AE308" s="7" t="str">
        <f aca="false">IFERROR(IF(AB308="MSD",IF(COUNT(V308,W308,X308,Y308,Z308,AA308)&lt;6,"",(W308-Z308)/SQRT(((V308-1)*X308^2+(Y308-1)*AA308^2)/(V308+Y308-2))*AD308),IF(AB308="t",AC308*SQRT(1/V308+1/Y308)*AD308,IF(AB308="F",SQRT(AC308)*SQRT(1/V308+1/Y308)*AD308,IF(AB308="z",2*(AC308/SQRT(V308+Y308))/SQRT(1-(AC308/SQRT(V308+Y308))^2)*AD308,IF(AB308="t_paired",AC308/SQRT(V308)*AD308,""))))),"")</f>
        <v/>
      </c>
      <c r="AF308" s="7" t="str">
        <f aca="false">IF(AE308="","",IF(AB308="t_paired",1-3/(4*(V308-1)-1),1-3/(4*(V308+Y308)-9)))</f>
        <v/>
      </c>
      <c r="AG308" s="7" t="str">
        <f aca="false">IF(AE308="","",AE308*AF308)</f>
        <v/>
      </c>
      <c r="AH308" s="7" t="str">
        <f aca="false">IF(AG308="","",IF(AB308="t_paired",1/V308+AG308^2/(2*V308),(V308+Y308)/(V308*Y308)+AG308^2/(2*(V308+Y308))))</f>
        <v/>
      </c>
      <c r="AI308" s="7" t="str">
        <f aca="false">IF(AH308="","",SQRT(AH308))</f>
        <v/>
      </c>
      <c r="AJ308" s="7" t="str">
        <f aca="false">IF(AI308="","",AG308-1.96*AI308)</f>
        <v/>
      </c>
      <c r="AK308" s="7" t="str">
        <f aca="false">IF(AI308="","",AG308+1.96*AI308)</f>
        <v/>
      </c>
      <c r="AL308" s="7" t="str">
        <f aca="false">IF(AI308="","",AG308/AI308)</f>
        <v/>
      </c>
      <c r="AM308" s="8" t="str">
        <f aca="false">IF(AL308="","",2*(1-NORMSDIST(ABS(AL308))))</f>
        <v/>
      </c>
      <c r="AN308" s="9" t="n">
        <f aca="false">IF(COUNT(V308)=0,"",IF(AB308="t_paired",V308,V308+N(Y308)))</f>
        <v>418</v>
      </c>
      <c r="AO308" s="7" t="str">
        <f aca="false">IF(AH308="","",1/AH308)</f>
        <v/>
      </c>
      <c r="AP308" s="5" t="s">
        <v>100</v>
      </c>
      <c r="AQ308" s="5" t="s">
        <v>210</v>
      </c>
      <c r="AR308" s="5" t="s">
        <v>485</v>
      </c>
      <c r="AS308" s="9" t="n">
        <f aca="false">IF(AND(AP308="Y",ISNUMBER(AO308)),AO308,0)</f>
        <v>0</v>
      </c>
      <c r="AT308" s="7" t="n">
        <f aca="false">IF(AS308&gt;0,AS308*AG308,0)</f>
        <v>0</v>
      </c>
      <c r="AU308" s="7" t="n">
        <f aca="false">IF(AS308&gt;0,AS308*AG308^2,0)</f>
        <v>0</v>
      </c>
      <c r="AV308" s="9" t="n">
        <f aca="false">IF(AS308&gt;0,AS308^2,0)</f>
        <v>0</v>
      </c>
      <c r="AW308" s="7" t="n">
        <f aca="false">IF(AS308&gt;0,AG308,0)</f>
        <v>0</v>
      </c>
      <c r="AX308" s="7" t="n">
        <f aca="false">IF(AS308&gt;0,AH308,1)</f>
        <v>1</v>
      </c>
    </row>
    <row r="309" customFormat="false" ht="15" hidden="false" customHeight="false" outlineLevel="0" collapsed="false">
      <c r="A309" s="5" t="s">
        <v>991</v>
      </c>
      <c r="B309" s="5" t="s">
        <v>988</v>
      </c>
      <c r="C309" s="5" t="s">
        <v>989</v>
      </c>
      <c r="D309" s="5" t="n">
        <v>2025</v>
      </c>
      <c r="E309" s="5" t="s">
        <v>221</v>
      </c>
      <c r="F309" s="5" t="s">
        <v>199</v>
      </c>
      <c r="G309" s="5" t="s">
        <v>160</v>
      </c>
      <c r="H309" s="5" t="s">
        <v>162</v>
      </c>
      <c r="I309" s="5"/>
      <c r="J309" s="5" t="s">
        <v>162</v>
      </c>
      <c r="K309" s="5" t="s">
        <v>163</v>
      </c>
      <c r="L309" s="5" t="s">
        <v>164</v>
      </c>
      <c r="M309" s="5"/>
      <c r="N309" s="5"/>
      <c r="O309" s="5" t="s">
        <v>162</v>
      </c>
      <c r="P309" s="6" t="s">
        <v>82</v>
      </c>
      <c r="Q309" s="6" t="s">
        <v>103</v>
      </c>
      <c r="R309" s="5"/>
      <c r="S309" s="6" t="s">
        <v>990</v>
      </c>
      <c r="T309" s="5"/>
      <c r="U309" s="6" t="s">
        <v>86</v>
      </c>
      <c r="V309" s="5" t="n">
        <v>418</v>
      </c>
      <c r="W309" s="5" t="n">
        <v>8.67</v>
      </c>
      <c r="X309" s="5" t="n">
        <v>1.56</v>
      </c>
      <c r="Y309" s="5"/>
      <c r="Z309" s="5"/>
      <c r="AA309" s="5"/>
      <c r="AB309" s="5" t="s">
        <v>99</v>
      </c>
      <c r="AC309" s="5"/>
      <c r="AD309" s="5" t="n">
        <v>1</v>
      </c>
      <c r="AE309" s="7" t="str">
        <f aca="false">IFERROR(IF(AB309="MSD",IF(COUNT(V309,W309,X309,Y309,Z309,AA309)&lt;6,"",(W309-Z309)/SQRT(((V309-1)*X309^2+(Y309-1)*AA309^2)/(V309+Y309-2))*AD309),IF(AB309="t",AC309*SQRT(1/V309+1/Y309)*AD309,IF(AB309="F",SQRT(AC309)*SQRT(1/V309+1/Y309)*AD309,IF(AB309="z",2*(AC309/SQRT(V309+Y309))/SQRT(1-(AC309/SQRT(V309+Y309))^2)*AD309,IF(AB309="t_paired",AC309/SQRT(V309)*AD309,""))))),"")</f>
        <v/>
      </c>
      <c r="AF309" s="7" t="str">
        <f aca="false">IF(AE309="","",IF(AB309="t_paired",1-3/(4*(V309-1)-1),1-3/(4*(V309+Y309)-9)))</f>
        <v/>
      </c>
      <c r="AG309" s="7" t="str">
        <f aca="false">IF(AE309="","",AE309*AF309)</f>
        <v/>
      </c>
      <c r="AH309" s="7" t="str">
        <f aca="false">IF(AG309="","",IF(AB309="t_paired",1/V309+AG309^2/(2*V309),(V309+Y309)/(V309*Y309)+AG309^2/(2*(V309+Y309))))</f>
        <v/>
      </c>
      <c r="AI309" s="7" t="str">
        <f aca="false">IF(AH309="","",SQRT(AH309))</f>
        <v/>
      </c>
      <c r="AJ309" s="7" t="str">
        <f aca="false">IF(AI309="","",AG309-1.96*AI309)</f>
        <v/>
      </c>
      <c r="AK309" s="7" t="str">
        <f aca="false">IF(AI309="","",AG309+1.96*AI309)</f>
        <v/>
      </c>
      <c r="AL309" s="7" t="str">
        <f aca="false">IF(AI309="","",AG309/AI309)</f>
        <v/>
      </c>
      <c r="AM309" s="8" t="str">
        <f aca="false">IF(AL309="","",2*(1-NORMSDIST(ABS(AL309))))</f>
        <v/>
      </c>
      <c r="AN309" s="9" t="n">
        <f aca="false">IF(COUNT(V309)=0,"",IF(AB309="t_paired",V309,V309+N(Y309)))</f>
        <v>418</v>
      </c>
      <c r="AO309" s="7" t="str">
        <f aca="false">IF(AH309="","",1/AH309)</f>
        <v/>
      </c>
      <c r="AP309" s="5" t="s">
        <v>100</v>
      </c>
      <c r="AQ309" s="5" t="s">
        <v>210</v>
      </c>
      <c r="AR309" s="5" t="s">
        <v>485</v>
      </c>
      <c r="AS309" s="9" t="n">
        <f aca="false">IF(AND(AP309="Y",ISNUMBER(AO309)),AO309,0)</f>
        <v>0</v>
      </c>
      <c r="AT309" s="7" t="n">
        <f aca="false">IF(AS309&gt;0,AS309*AG309,0)</f>
        <v>0</v>
      </c>
      <c r="AU309" s="7" t="n">
        <f aca="false">IF(AS309&gt;0,AS309*AG309^2,0)</f>
        <v>0</v>
      </c>
      <c r="AV309" s="9" t="n">
        <f aca="false">IF(AS309&gt;0,AS309^2,0)</f>
        <v>0</v>
      </c>
      <c r="AW309" s="7" t="n">
        <f aca="false">IF(AS309&gt;0,AG309,0)</f>
        <v>0</v>
      </c>
      <c r="AX309" s="7" t="n">
        <f aca="false">IF(AS309&gt;0,AH309,1)</f>
        <v>1</v>
      </c>
    </row>
    <row r="310" customFormat="false" ht="15" hidden="false" customHeight="false" outlineLevel="0" collapsed="false">
      <c r="A310" s="5" t="s">
        <v>992</v>
      </c>
      <c r="B310" s="5" t="s">
        <v>993</v>
      </c>
      <c r="C310" s="5" t="s">
        <v>994</v>
      </c>
      <c r="D310" s="5" t="n">
        <v>2025</v>
      </c>
      <c r="E310" s="5" t="s">
        <v>221</v>
      </c>
      <c r="F310" s="5" t="s">
        <v>173</v>
      </c>
      <c r="G310" s="5" t="s">
        <v>995</v>
      </c>
      <c r="H310" s="5" t="s">
        <v>265</v>
      </c>
      <c r="I310" s="5" t="s">
        <v>996</v>
      </c>
      <c r="J310" s="5" t="s">
        <v>189</v>
      </c>
      <c r="K310" s="5" t="s">
        <v>997</v>
      </c>
      <c r="L310" s="5" t="s">
        <v>998</v>
      </c>
      <c r="M310" s="5" t="s">
        <v>999</v>
      </c>
      <c r="N310" s="5" t="s">
        <v>1000</v>
      </c>
      <c r="O310" s="5" t="s">
        <v>261</v>
      </c>
      <c r="P310" s="10" t="s">
        <v>82</v>
      </c>
      <c r="Q310" s="10" t="s">
        <v>103</v>
      </c>
      <c r="R310" s="5"/>
      <c r="S310" s="10" t="s">
        <v>212</v>
      </c>
      <c r="T310" s="5" t="s">
        <v>1001</v>
      </c>
      <c r="U310" s="10" t="s">
        <v>98</v>
      </c>
      <c r="V310" s="5" t="n">
        <v>30</v>
      </c>
      <c r="W310" s="5" t="n">
        <v>11.13</v>
      </c>
      <c r="X310" s="5" t="n">
        <v>1.83</v>
      </c>
      <c r="Y310" s="5" t="n">
        <v>30</v>
      </c>
      <c r="Z310" s="5" t="n">
        <v>11.37</v>
      </c>
      <c r="AA310" s="5" t="n">
        <v>1.69</v>
      </c>
      <c r="AB310" s="5" t="s">
        <v>99</v>
      </c>
      <c r="AC310" s="5"/>
      <c r="AD310" s="5" t="n">
        <v>1</v>
      </c>
      <c r="AE310" s="7" t="n">
        <f aca="false">IFERROR(IF(AB310="MSD",IF(COUNT(V310,W310,X310,Y310,Z310,AA310)&lt;6,"",(W310-Z310)/SQRT(((V310-1)*X310^2+(Y310-1)*AA310^2)/(V310+Y310-2))*AD310),IF(AB310="t",AC310*SQRT(1/V310+1/Y310)*AD310,IF(AB310="F",SQRT(AC310)*SQRT(1/V310+1/Y310)*AD310,IF(AB310="z",2*(AC310/SQRT(V310+Y310))/SQRT(1-(AC310/SQRT(V310+Y310))^2)*AD310,IF(AB310="t_paired",AC310/SQRT(V310)*AD310,""))))),"")</f>
        <v>-0.136255909392877</v>
      </c>
      <c r="AF310" s="7" t="n">
        <f aca="false">IF(AE310="","",IF(AB310="t_paired",1-3/(4*(V310-1)-1),1-3/(4*(V310+Y310)-9)))</f>
        <v>0.987012987012987</v>
      </c>
      <c r="AG310" s="7" t="n">
        <f aca="false">IF(AE310="","",AE310*AF310)</f>
        <v>-0.134486352128035</v>
      </c>
      <c r="AH310" s="7" t="n">
        <f aca="false">IF(AG310="","",IF(AB310="t_paired",1/V310+AG310^2/(2*V310),(V310+Y310)/(V310*Y310)+AG310^2/(2*(V310+Y310))))</f>
        <v>0.0668173881575725</v>
      </c>
      <c r="AI310" s="7" t="n">
        <f aca="false">IF(AH310="","",SQRT(AH310))</f>
        <v>0.258490595878404</v>
      </c>
      <c r="AJ310" s="7" t="n">
        <f aca="false">IF(AI310="","",AG310-1.96*AI310)</f>
        <v>-0.641127920049707</v>
      </c>
      <c r="AK310" s="7" t="n">
        <f aca="false">IF(AI310="","",AG310+1.96*AI310)</f>
        <v>0.372155215793638</v>
      </c>
      <c r="AL310" s="7" t="n">
        <f aca="false">IF(AI310="","",AG310/AI310)</f>
        <v>-0.520275608754827</v>
      </c>
      <c r="AM310" s="8" t="n">
        <f aca="false">IF(AL310="","",2*(1-NORMSDIST(ABS(AL310))))</f>
        <v>0.602871493685899</v>
      </c>
      <c r="AN310" s="9" t="n">
        <f aca="false">IF(COUNT(V310)=0,"",IF(AB310="t_paired",V310,V310+N(Y310)))</f>
        <v>60</v>
      </c>
      <c r="AO310" s="7" t="n">
        <f aca="false">IF(AH310="","",1/AH310)</f>
        <v>14.9661641613669</v>
      </c>
      <c r="AP310" s="5" t="s">
        <v>100</v>
      </c>
      <c r="AQ310" s="5" t="s">
        <v>290</v>
      </c>
      <c r="AR310" s="5" t="s">
        <v>298</v>
      </c>
      <c r="AS310" s="9" t="n">
        <f aca="false">IF(AND(AP310="Y",ISNUMBER(AO310)),AO310,0)</f>
        <v>0</v>
      </c>
      <c r="AT310" s="7" t="n">
        <f aca="false">IF(AS310&gt;0,AS310*AG310,0)</f>
        <v>0</v>
      </c>
      <c r="AU310" s="7" t="n">
        <f aca="false">IF(AS310&gt;0,AS310*AG310^2,0)</f>
        <v>0</v>
      </c>
      <c r="AV310" s="9" t="n">
        <f aca="false">IF(AS310&gt;0,AS310^2,0)</f>
        <v>0</v>
      </c>
      <c r="AW310" s="7" t="n">
        <f aca="false">IF(AS310&gt;0,AG310,0)</f>
        <v>0</v>
      </c>
      <c r="AX310" s="7" t="n">
        <f aca="false">IF(AS310&gt;0,AH310,1)</f>
        <v>1</v>
      </c>
    </row>
    <row r="311" customFormat="false" ht="15" hidden="false" customHeight="false" outlineLevel="0" collapsed="false">
      <c r="A311" s="5" t="s">
        <v>1002</v>
      </c>
      <c r="B311" s="5" t="s">
        <v>993</v>
      </c>
      <c r="C311" s="5" t="s">
        <v>994</v>
      </c>
      <c r="D311" s="5" t="n">
        <v>2025</v>
      </c>
      <c r="E311" s="5" t="s">
        <v>221</v>
      </c>
      <c r="F311" s="5" t="s">
        <v>173</v>
      </c>
      <c r="G311" s="5" t="s">
        <v>995</v>
      </c>
      <c r="H311" s="5" t="s">
        <v>265</v>
      </c>
      <c r="I311" s="5" t="s">
        <v>996</v>
      </c>
      <c r="J311" s="5" t="s">
        <v>189</v>
      </c>
      <c r="K311" s="5" t="s">
        <v>997</v>
      </c>
      <c r="L311" s="5" t="s">
        <v>998</v>
      </c>
      <c r="M311" s="5" t="s">
        <v>999</v>
      </c>
      <c r="N311" s="5" t="s">
        <v>1000</v>
      </c>
      <c r="O311" s="5" t="s">
        <v>261</v>
      </c>
      <c r="P311" s="6" t="s">
        <v>82</v>
      </c>
      <c r="Q311" s="6" t="s">
        <v>103</v>
      </c>
      <c r="R311" s="5"/>
      <c r="S311" s="6" t="s">
        <v>212</v>
      </c>
      <c r="T311" s="5" t="s">
        <v>1001</v>
      </c>
      <c r="U311" s="6" t="s">
        <v>86</v>
      </c>
      <c r="V311" s="5" t="n">
        <v>30</v>
      </c>
      <c r="W311" s="5" t="n">
        <v>15.3</v>
      </c>
      <c r="X311" s="5" t="n">
        <v>3.04</v>
      </c>
      <c r="Y311" s="5" t="n">
        <v>30</v>
      </c>
      <c r="Z311" s="5" t="n">
        <v>13</v>
      </c>
      <c r="AA311" s="5" t="n">
        <v>2.42</v>
      </c>
      <c r="AB311" s="5" t="s">
        <v>99</v>
      </c>
      <c r="AC311" s="5"/>
      <c r="AD311" s="5" t="n">
        <v>1</v>
      </c>
      <c r="AE311" s="7" t="n">
        <f aca="false">IFERROR(IF(AB311="MSD",IF(COUNT(V311,W311,X311,Y311,Z311,AA311)&lt;6,"",(W311-Z311)/SQRT(((V311-1)*X311^2+(Y311-1)*AA311^2)/(V311+Y311-2))*AD311),IF(AB311="t",AC311*SQRT(1/V311+1/Y311)*AD311,IF(AB311="F",SQRT(AC311)*SQRT(1/V311+1/Y311)*AD311,IF(AB311="z",2*(AC311/SQRT(V311+Y311))/SQRT(1-(AC311/SQRT(V311+Y311))^2)*AD311,IF(AB311="t_paired",AC311/SQRT(V311)*AD311,""))))),"")</f>
        <v>0.837111143693762</v>
      </c>
      <c r="AF311" s="7" t="n">
        <f aca="false">IF(AE311="","",IF(AB311="t_paired",1-3/(4*(V311-1)-1),1-3/(4*(V311+Y311)-9)))</f>
        <v>0.987012987012987</v>
      </c>
      <c r="AG311" s="7" t="n">
        <f aca="false">IF(AE311="","",AE311*AF311)</f>
        <v>0.826239570399038</v>
      </c>
      <c r="AH311" s="7" t="n">
        <f aca="false">IF(AG311="","",IF(AB311="t_paired",1/V311+AG311^2/(2*V311),(V311+Y311)/(V311*Y311)+AG311^2/(2*(V311+Y311))))</f>
        <v>0.0723555985641099</v>
      </c>
      <c r="AI311" s="7" t="n">
        <f aca="false">IF(AH311="","",SQRT(AH311))</f>
        <v>0.268989959968973</v>
      </c>
      <c r="AJ311" s="7" t="n">
        <f aca="false">IF(AI311="","",AG311-1.96*AI311)</f>
        <v>0.29901924885985</v>
      </c>
      <c r="AK311" s="7" t="n">
        <f aca="false">IF(AI311="","",AG311+1.96*AI311)</f>
        <v>1.35345989193823</v>
      </c>
      <c r="AL311" s="7" t="n">
        <f aca="false">IF(AI311="","",AG311/AI311)</f>
        <v>3.0716372108994</v>
      </c>
      <c r="AM311" s="8" t="n">
        <f aca="false">IF(AL311="","",2*(1-NORMSDIST(ABS(AL311))))</f>
        <v>0.00212888295005631</v>
      </c>
      <c r="AN311" s="9" t="n">
        <f aca="false">IF(COUNT(V311)=0,"",IF(AB311="t_paired",V311,V311+N(Y311)))</f>
        <v>60</v>
      </c>
      <c r="AO311" s="7" t="n">
        <f aca="false">IF(AH311="","",1/AH311)</f>
        <v>13.8206306055773</v>
      </c>
      <c r="AP311" s="5" t="s">
        <v>88</v>
      </c>
      <c r="AQ311" s="5" t="s">
        <v>290</v>
      </c>
      <c r="AR311" s="5" t="s">
        <v>1003</v>
      </c>
      <c r="AS311" s="7" t="n">
        <f aca="false">IF(AND(AP311="Y",ISNUMBER(AO311)),AO311,0)</f>
        <v>13.8206306055773</v>
      </c>
      <c r="AT311" s="7" t="n">
        <f aca="false">IF(AS311&gt;0,AS311*AG311,0)</f>
        <v>11.419151894196</v>
      </c>
      <c r="AU311" s="7" t="n">
        <f aca="false">IF(AS311&gt;0,AS311*AG311^2,0)</f>
        <v>9.43495515538183</v>
      </c>
      <c r="AV311" s="9" t="n">
        <f aca="false">IF(AS311&gt;0,AS311^2,0)</f>
        <v>191.009830335819</v>
      </c>
      <c r="AW311" s="7" t="n">
        <f aca="false">IF(AS311&gt;0,AG311,0)</f>
        <v>0.826239570399038</v>
      </c>
      <c r="AX311" s="7" t="n">
        <f aca="false">IF(AS311&gt;0,AH311,1)</f>
        <v>0.0723555985641099</v>
      </c>
    </row>
    <row r="312" customFormat="false" ht="15" hidden="false" customHeight="false" outlineLevel="0" collapsed="false">
      <c r="A312" s="5" t="s">
        <v>1004</v>
      </c>
      <c r="B312" s="5" t="s">
        <v>993</v>
      </c>
      <c r="C312" s="5" t="s">
        <v>994</v>
      </c>
      <c r="D312" s="5" t="n">
        <v>2025</v>
      </c>
      <c r="E312" s="5" t="s">
        <v>221</v>
      </c>
      <c r="F312" s="5" t="s">
        <v>173</v>
      </c>
      <c r="G312" s="5" t="s">
        <v>995</v>
      </c>
      <c r="H312" s="5" t="s">
        <v>265</v>
      </c>
      <c r="I312" s="5" t="s">
        <v>996</v>
      </c>
      <c r="J312" s="5" t="s">
        <v>189</v>
      </c>
      <c r="K312" s="5" t="s">
        <v>997</v>
      </c>
      <c r="L312" s="5" t="s">
        <v>998</v>
      </c>
      <c r="M312" s="5" t="s">
        <v>999</v>
      </c>
      <c r="N312" s="5" t="s">
        <v>1000</v>
      </c>
      <c r="O312" s="5" t="s">
        <v>261</v>
      </c>
      <c r="P312" s="11" t="s">
        <v>113</v>
      </c>
      <c r="Q312" s="11" t="s">
        <v>422</v>
      </c>
      <c r="R312" s="5"/>
      <c r="S312" s="11" t="s">
        <v>1005</v>
      </c>
      <c r="T312" s="5" t="s">
        <v>1006</v>
      </c>
      <c r="U312" s="11" t="s">
        <v>86</v>
      </c>
      <c r="V312" s="5" t="n">
        <v>30</v>
      </c>
      <c r="W312" s="5" t="n">
        <v>21.47</v>
      </c>
      <c r="X312" s="5" t="n">
        <v>3.96</v>
      </c>
      <c r="Y312" s="5" t="n">
        <v>30</v>
      </c>
      <c r="Z312" s="5" t="n">
        <v>17.7</v>
      </c>
      <c r="AA312" s="5" t="n">
        <v>6.11</v>
      </c>
      <c r="AB312" s="5" t="s">
        <v>99</v>
      </c>
      <c r="AC312" s="5"/>
      <c r="AD312" s="5" t="n">
        <v>1</v>
      </c>
      <c r="AE312" s="7" t="n">
        <f aca="false">IFERROR(IF(AB312="MSD",IF(COUNT(V312,W312,X312,Y312,Z312,AA312)&lt;6,"",(W312-Z312)/SQRT(((V312-1)*X312^2+(Y312-1)*AA312^2)/(V312+Y312-2))*AD312),IF(AB312="t",AC312*SQRT(1/V312+1/Y312)*AD312,IF(AB312="F",SQRT(AC312)*SQRT(1/V312+1/Y312)*AD312,IF(AB312="z",2*(AC312/SQRT(V312+Y312))/SQRT(1-(AC312/SQRT(V312+Y312))^2)*AD312,IF(AB312="t_paired",AC312/SQRT(V312)*AD312,""))))),"")</f>
        <v>0.732254905839958</v>
      </c>
      <c r="AF312" s="7" t="n">
        <f aca="false">IF(AE312="","",IF(AB312="t_paired",1-3/(4*(V312-1)-1),1-3/(4*(V312+Y312)-9)))</f>
        <v>0.987012987012987</v>
      </c>
      <c r="AG312" s="7" t="n">
        <f aca="false">IF(AE312="","",AE312*AF312)</f>
        <v>0.722745101868011</v>
      </c>
      <c r="AH312" s="7" t="n">
        <f aca="false">IF(AG312="","",IF(AB312="t_paired",1/V312+AG312^2/(2*V312),(V312+Y312)/(V312*Y312)+AG312^2/(2*(V312+Y312))))</f>
        <v>0.0710196706856184</v>
      </c>
      <c r="AI312" s="7" t="n">
        <f aca="false">IF(AH312="","",SQRT(AH312))</f>
        <v>0.266495160717073</v>
      </c>
      <c r="AJ312" s="7" t="n">
        <f aca="false">IF(AI312="","",AG312-1.96*AI312)</f>
        <v>0.200414586862548</v>
      </c>
      <c r="AK312" s="7" t="n">
        <f aca="false">IF(AI312="","",AG312+1.96*AI312)</f>
        <v>1.24507561687347</v>
      </c>
      <c r="AL312" s="7" t="n">
        <f aca="false">IF(AI312="","",AG312/AI312)</f>
        <v>2.71203837219138</v>
      </c>
      <c r="AM312" s="8" t="n">
        <f aca="false">IF(AL312="","",2*(1-NORMSDIST(ABS(AL312))))</f>
        <v>0.00668708512695315</v>
      </c>
      <c r="AN312" s="9" t="n">
        <f aca="false">IF(COUNT(V312)=0,"",IF(AB312="t_paired",V312,V312+N(Y312)))</f>
        <v>60</v>
      </c>
      <c r="AO312" s="7" t="n">
        <f aca="false">IF(AH312="","",1/AH312)</f>
        <v>14.0806059834702</v>
      </c>
      <c r="AP312" s="5" t="s">
        <v>88</v>
      </c>
      <c r="AQ312" s="5" t="s">
        <v>290</v>
      </c>
      <c r="AR312" s="5" t="s">
        <v>318</v>
      </c>
      <c r="AS312" s="7" t="n">
        <f aca="false">IF(AND(AP312="Y",ISNUMBER(AO312)),AO312,0)</f>
        <v>14.0806059834702</v>
      </c>
      <c r="AT312" s="7" t="n">
        <f aca="false">IF(AS312&gt;0,AS312*AG312,0)</f>
        <v>10.1766890058865</v>
      </c>
      <c r="AU312" s="7" t="n">
        <f aca="false">IF(AS312&gt;0,AS312*AG312^2,0)</f>
        <v>7.35515213223849</v>
      </c>
      <c r="AV312" s="9" t="n">
        <f aca="false">IF(AS312&gt;0,AS312^2,0)</f>
        <v>198.263464861736</v>
      </c>
      <c r="AW312" s="7" t="n">
        <f aca="false">IF(AS312&gt;0,AG312,0)</f>
        <v>0.722745101868011</v>
      </c>
      <c r="AX312" s="7" t="n">
        <f aca="false">IF(AS312&gt;0,AH312,1)</f>
        <v>0.0710196706856184</v>
      </c>
    </row>
    <row r="313" customFormat="false" ht="15" hidden="false" customHeight="false" outlineLevel="0" collapsed="false">
      <c r="A313" s="5" t="s">
        <v>1007</v>
      </c>
      <c r="B313" s="5" t="s">
        <v>993</v>
      </c>
      <c r="C313" s="5" t="s">
        <v>994</v>
      </c>
      <c r="D313" s="5" t="n">
        <v>2025</v>
      </c>
      <c r="E313" s="5" t="s">
        <v>221</v>
      </c>
      <c r="F313" s="5" t="s">
        <v>173</v>
      </c>
      <c r="G313" s="5" t="s">
        <v>995</v>
      </c>
      <c r="H313" s="5" t="s">
        <v>265</v>
      </c>
      <c r="I313" s="5" t="s">
        <v>996</v>
      </c>
      <c r="J313" s="5" t="s">
        <v>189</v>
      </c>
      <c r="K313" s="5" t="s">
        <v>997</v>
      </c>
      <c r="L313" s="5" t="s">
        <v>998</v>
      </c>
      <c r="M313" s="5" t="s">
        <v>999</v>
      </c>
      <c r="N313" s="5" t="s">
        <v>1000</v>
      </c>
      <c r="O313" s="5" t="s">
        <v>261</v>
      </c>
      <c r="P313" s="11" t="s">
        <v>113</v>
      </c>
      <c r="Q313" s="11" t="s">
        <v>425</v>
      </c>
      <c r="R313" s="5"/>
      <c r="S313" s="11" t="s">
        <v>1008</v>
      </c>
      <c r="T313" s="5" t="s">
        <v>1009</v>
      </c>
      <c r="U313" s="11" t="s">
        <v>86</v>
      </c>
      <c r="V313" s="5" t="n">
        <v>30</v>
      </c>
      <c r="W313" s="5" t="n">
        <v>23.97</v>
      </c>
      <c r="X313" s="5" t="n">
        <v>5.82</v>
      </c>
      <c r="Y313" s="5" t="n">
        <v>30</v>
      </c>
      <c r="Z313" s="5" t="n">
        <v>20.57</v>
      </c>
      <c r="AA313" s="5" t="n">
        <v>6.22</v>
      </c>
      <c r="AB313" s="5" t="s">
        <v>99</v>
      </c>
      <c r="AC313" s="5"/>
      <c r="AD313" s="5" t="n">
        <v>1</v>
      </c>
      <c r="AE313" s="7" t="n">
        <f aca="false">IFERROR(IF(AB313="MSD",IF(COUNT(V313,W313,X313,Y313,Z313,AA313)&lt;6,"",(W313-Z313)/SQRT(((V313-1)*X313^2+(Y313-1)*AA313^2)/(V313+Y313-2))*AD313),IF(AB313="t",AC313*SQRT(1/V313+1/Y313)*AD313,IF(AB313="F",SQRT(AC313)*SQRT(1/V313+1/Y313)*AD313,IF(AB313="z",2*(AC313/SQRT(V313+Y313))/SQRT(1-(AC313/SQRT(V313+Y313))^2)*AD313,IF(AB313="t_paired",AC313/SQRT(V313)*AD313,""))))),"")</f>
        <v>0.56447262339739</v>
      </c>
      <c r="AF313" s="7" t="n">
        <f aca="false">IF(AE313="","",IF(AB313="t_paired",1-3/(4*(V313-1)-1),1-3/(4*(V313+Y313)-9)))</f>
        <v>0.987012987012987</v>
      </c>
      <c r="AG313" s="7" t="n">
        <f aca="false">IF(AE313="","",AE313*AF313)</f>
        <v>0.557141810106515</v>
      </c>
      <c r="AH313" s="7" t="n">
        <f aca="false">IF(AG313="","",IF(AB313="t_paired",1/V313+AG313^2/(2*V313),(V313+Y313)/(V313*Y313)+AG313^2/(2*(V313+Y313))))</f>
        <v>0.069253391638073</v>
      </c>
      <c r="AI313" s="7" t="n">
        <f aca="false">IF(AH313="","",SQRT(AH313))</f>
        <v>0.263160391468916</v>
      </c>
      <c r="AJ313" s="7" t="n">
        <f aca="false">IF(AI313="","",AG313-1.96*AI313)</f>
        <v>0.0413474428274395</v>
      </c>
      <c r="AK313" s="7" t="n">
        <f aca="false">IF(AI313="","",AG313+1.96*AI313)</f>
        <v>1.07293617738559</v>
      </c>
      <c r="AL313" s="7" t="n">
        <f aca="false">IF(AI313="","",AG313/AI313)</f>
        <v>2.11711879206687</v>
      </c>
      <c r="AM313" s="8" t="n">
        <f aca="false">IF(AL313="","",2*(1-NORMSDIST(ABS(AL313))))</f>
        <v>0.034249767190855</v>
      </c>
      <c r="AN313" s="9" t="n">
        <f aca="false">IF(COUNT(V313)=0,"",IF(AB313="t_paired",V313,V313+N(Y313)))</f>
        <v>60</v>
      </c>
      <c r="AO313" s="7" t="n">
        <f aca="false">IF(AH313="","",1/AH313)</f>
        <v>14.4397260025347</v>
      </c>
      <c r="AP313" s="5" t="s">
        <v>88</v>
      </c>
      <c r="AQ313" s="5" t="s">
        <v>290</v>
      </c>
      <c r="AR313" s="5" t="s">
        <v>1010</v>
      </c>
      <c r="AS313" s="7" t="n">
        <f aca="false">IF(AND(AP313="Y",ISNUMBER(AO313)),AO313,0)</f>
        <v>14.4397260025347</v>
      </c>
      <c r="AT313" s="7" t="n">
        <f aca="false">IF(AS313&gt;0,AS313*AG313,0)</f>
        <v>8.04497508249427</v>
      </c>
      <c r="AU313" s="7" t="n">
        <f aca="false">IF(AS313&gt;0,AS313*AG313^2,0)</f>
        <v>4.48219197972266</v>
      </c>
      <c r="AV313" s="9" t="n">
        <f aca="false">IF(AS313&gt;0,AS313^2,0)</f>
        <v>208.505687028276</v>
      </c>
      <c r="AW313" s="7" t="n">
        <f aca="false">IF(AS313&gt;0,AG313,0)</f>
        <v>0.557141810106515</v>
      </c>
      <c r="AX313" s="7" t="n">
        <f aca="false">IF(AS313&gt;0,AH313,1)</f>
        <v>0.069253391638073</v>
      </c>
    </row>
    <row r="314" customFormat="false" ht="15" hidden="false" customHeight="false" outlineLevel="0" collapsed="false">
      <c r="A314" s="5" t="s">
        <v>1011</v>
      </c>
      <c r="B314" s="5" t="s">
        <v>993</v>
      </c>
      <c r="C314" s="5" t="s">
        <v>994</v>
      </c>
      <c r="D314" s="5" t="n">
        <v>2025</v>
      </c>
      <c r="E314" s="5" t="s">
        <v>221</v>
      </c>
      <c r="F314" s="5" t="s">
        <v>173</v>
      </c>
      <c r="G314" s="5" t="s">
        <v>995</v>
      </c>
      <c r="H314" s="5" t="s">
        <v>265</v>
      </c>
      <c r="I314" s="5" t="s">
        <v>996</v>
      </c>
      <c r="J314" s="5" t="s">
        <v>189</v>
      </c>
      <c r="K314" s="5" t="s">
        <v>997</v>
      </c>
      <c r="L314" s="5" t="s">
        <v>998</v>
      </c>
      <c r="M314" s="5" t="s">
        <v>999</v>
      </c>
      <c r="N314" s="5" t="s">
        <v>1000</v>
      </c>
      <c r="O314" s="5" t="s">
        <v>261</v>
      </c>
      <c r="P314" s="11" t="s">
        <v>113</v>
      </c>
      <c r="Q314" s="11" t="s">
        <v>425</v>
      </c>
      <c r="R314" s="5"/>
      <c r="S314" s="11" t="s">
        <v>1012</v>
      </c>
      <c r="T314" s="5" t="s">
        <v>1006</v>
      </c>
      <c r="U314" s="11" t="s">
        <v>86</v>
      </c>
      <c r="V314" s="5" t="n">
        <v>30</v>
      </c>
      <c r="W314" s="5" t="n">
        <v>41.43</v>
      </c>
      <c r="X314" s="5" t="n">
        <v>8.2</v>
      </c>
      <c r="Y314" s="5" t="n">
        <v>30</v>
      </c>
      <c r="Z314" s="5" t="n">
        <v>36.47</v>
      </c>
      <c r="AA314" s="5" t="n">
        <v>11.04</v>
      </c>
      <c r="AB314" s="5" t="s">
        <v>99</v>
      </c>
      <c r="AC314" s="5"/>
      <c r="AD314" s="5" t="n">
        <v>1</v>
      </c>
      <c r="AE314" s="7" t="n">
        <f aca="false">IFERROR(IF(AB314="MSD",IF(COUNT(V314,W314,X314,Y314,Z314,AA314)&lt;6,"",(W314-Z314)/SQRT(((V314-1)*X314^2+(Y314-1)*AA314^2)/(V314+Y314-2))*AD314),IF(AB314="t",AC314*SQRT(1/V314+1/Y314)*AD314,IF(AB314="F",SQRT(AC314)*SQRT(1/V314+1/Y314)*AD314,IF(AB314="z",2*(AC314/SQRT(V314+Y314))/SQRT(1-(AC314/SQRT(V314+Y314))^2)*AD314,IF(AB314="t_paired",AC314/SQRT(V314)*AD314,""))))),"")</f>
        <v>0.51006568563593</v>
      </c>
      <c r="AF314" s="7" t="n">
        <f aca="false">IF(AE314="","",IF(AB314="t_paired",1-3/(4*(V314-1)-1),1-3/(4*(V314+Y314)-9)))</f>
        <v>0.987012987012987</v>
      </c>
      <c r="AG314" s="7" t="n">
        <f aca="false">IF(AE314="","",AE314*AF314)</f>
        <v>0.503441455952347</v>
      </c>
      <c r="AH314" s="7" t="n">
        <f aca="false">IF(AG314="","",IF(AB314="t_paired",1/V314+AG314^2/(2*V314),(V314+Y314)/(V314*Y314)+AG314^2/(2*(V314+Y314))))</f>
        <v>0.0687787774964285</v>
      </c>
      <c r="AI314" s="7" t="n">
        <f aca="false">IF(AH314="","",SQRT(AH314))</f>
        <v>0.262257082833674</v>
      </c>
      <c r="AJ314" s="7" t="n">
        <f aca="false">IF(AI314="","",AG314-1.96*AI314)</f>
        <v>-0.0105824264016541</v>
      </c>
      <c r="AK314" s="7" t="n">
        <f aca="false">IF(AI314="","",AG314+1.96*AI314)</f>
        <v>1.01746533830635</v>
      </c>
      <c r="AL314" s="7" t="n">
        <f aca="false">IF(AI314="","",AG314/AI314)</f>
        <v>1.91964865357568</v>
      </c>
      <c r="AM314" s="8" t="n">
        <f aca="false">IF(AL314="","",2*(1-NORMSDIST(ABS(AL314))))</f>
        <v>0.0549022940431232</v>
      </c>
      <c r="AN314" s="9" t="n">
        <f aca="false">IF(COUNT(V314)=0,"",IF(AB314="t_paired",V314,V314+N(Y314)))</f>
        <v>60</v>
      </c>
      <c r="AO314" s="7" t="n">
        <f aca="false">IF(AH314="","",1/AH314)</f>
        <v>14.5393686308531</v>
      </c>
      <c r="AP314" s="5" t="s">
        <v>88</v>
      </c>
      <c r="AQ314" s="5" t="s">
        <v>290</v>
      </c>
      <c r="AR314" s="5" t="s">
        <v>318</v>
      </c>
      <c r="AS314" s="7" t="n">
        <f aca="false">IF(AND(AP314="Y",ISNUMBER(AO314)),AO314,0)</f>
        <v>14.5393686308531</v>
      </c>
      <c r="AT314" s="7" t="n">
        <f aca="false">IF(AS314&gt;0,AS314*AG314,0)</f>
        <v>7.31972091214458</v>
      </c>
      <c r="AU314" s="7" t="n">
        <f aca="false">IF(AS314&gt;0,AS314*AG314^2,0)</f>
        <v>3.68505095317491</v>
      </c>
      <c r="AV314" s="9" t="n">
        <f aca="false">IF(AS314&gt;0,AS314^2,0)</f>
        <v>211.393240183836</v>
      </c>
      <c r="AW314" s="7" t="n">
        <f aca="false">IF(AS314&gt;0,AG314,0)</f>
        <v>0.503441455952347</v>
      </c>
      <c r="AX314" s="7" t="n">
        <f aca="false">IF(AS314&gt;0,AH314,1)</f>
        <v>0.0687787774964285</v>
      </c>
    </row>
    <row r="315" customFormat="false" ht="15" hidden="false" customHeight="false" outlineLevel="0" collapsed="false">
      <c r="A315" s="5" t="s">
        <v>1013</v>
      </c>
      <c r="B315" s="5" t="s">
        <v>993</v>
      </c>
      <c r="C315" s="5" t="s">
        <v>994</v>
      </c>
      <c r="D315" s="5" t="n">
        <v>2025</v>
      </c>
      <c r="E315" s="5" t="s">
        <v>221</v>
      </c>
      <c r="F315" s="5" t="s">
        <v>173</v>
      </c>
      <c r="G315" s="5" t="s">
        <v>995</v>
      </c>
      <c r="H315" s="5" t="s">
        <v>265</v>
      </c>
      <c r="I315" s="5" t="s">
        <v>996</v>
      </c>
      <c r="J315" s="5" t="s">
        <v>189</v>
      </c>
      <c r="K315" s="5" t="s">
        <v>997</v>
      </c>
      <c r="L315" s="5" t="s">
        <v>998</v>
      </c>
      <c r="M315" s="5" t="s">
        <v>999</v>
      </c>
      <c r="N315" s="5" t="s">
        <v>1000</v>
      </c>
      <c r="O315" s="5" t="s">
        <v>261</v>
      </c>
      <c r="P315" s="11" t="s">
        <v>113</v>
      </c>
      <c r="Q315" s="11" t="s">
        <v>425</v>
      </c>
      <c r="R315" s="5"/>
      <c r="S315" s="11" t="s">
        <v>1014</v>
      </c>
      <c r="T315" s="5" t="s">
        <v>1009</v>
      </c>
      <c r="U315" s="11" t="s">
        <v>86</v>
      </c>
      <c r="V315" s="5" t="n">
        <v>30</v>
      </c>
      <c r="W315" s="5" t="n">
        <v>16.6</v>
      </c>
      <c r="X315" s="5" t="n">
        <v>4.92</v>
      </c>
      <c r="Y315" s="5" t="n">
        <v>30</v>
      </c>
      <c r="Z315" s="5" t="n">
        <v>15.53</v>
      </c>
      <c r="AA315" s="5" t="n">
        <v>5.3</v>
      </c>
      <c r="AB315" s="5" t="s">
        <v>99</v>
      </c>
      <c r="AC315" s="5"/>
      <c r="AD315" s="5" t="n">
        <v>1</v>
      </c>
      <c r="AE315" s="7" t="n">
        <f aca="false">IFERROR(IF(AB315="MSD",IF(COUNT(V315,W315,X315,Y315,Z315,AA315)&lt;6,"",(W315-Z315)/SQRT(((V315-1)*X315^2+(Y315-1)*AA315^2)/(V315+Y315-2))*AD315),IF(AB315="t",AC315*SQRT(1/V315+1/Y315)*AD315,IF(AB315="F",SQRT(AC315)*SQRT(1/V315+1/Y315)*AD315,IF(AB315="z",2*(AC315/SQRT(V315+Y315))/SQRT(1-(AC315/SQRT(V315+Y315))^2)*AD315,IF(AB315="t_paired",AC315/SQRT(V315)*AD315,""))))),"")</f>
        <v>0.209248753049795</v>
      </c>
      <c r="AF315" s="7" t="n">
        <f aca="false">IF(AE315="","",IF(AB315="t_paired",1-3/(4*(V315-1)-1),1-3/(4*(V315+Y315)-9)))</f>
        <v>0.987012987012987</v>
      </c>
      <c r="AG315" s="7" t="n">
        <f aca="false">IF(AE315="","",AE315*AF315)</f>
        <v>0.206531236776421</v>
      </c>
      <c r="AH315" s="7" t="n">
        <f aca="false">IF(AG315="","",IF(AB315="t_paired",1/V315+AG315^2/(2*V315),(V315+Y315)/(V315*Y315)+AG315^2/(2*(V315+Y315))))</f>
        <v>0.0670221262647033</v>
      </c>
      <c r="AI315" s="7" t="n">
        <f aca="false">IF(AH315="","",SQRT(AH315))</f>
        <v>0.258886319191848</v>
      </c>
      <c r="AJ315" s="7" t="n">
        <f aca="false">IF(AI315="","",AG315-1.96*AI315)</f>
        <v>-0.300885948839601</v>
      </c>
      <c r="AK315" s="7" t="n">
        <f aca="false">IF(AI315="","",AG315+1.96*AI315)</f>
        <v>0.713948422392443</v>
      </c>
      <c r="AL315" s="7" t="n">
        <f aca="false">IF(AI315="","",AG315/AI315)</f>
        <v>0.797768060595627</v>
      </c>
      <c r="AM315" s="8" t="n">
        <f aca="false">IF(AL315="","",2*(1-NORMSDIST(ABS(AL315))))</f>
        <v>0.42500509925377</v>
      </c>
      <c r="AN315" s="9" t="n">
        <f aca="false">IF(COUNT(V315)=0,"",IF(AB315="t_paired",V315,V315+N(Y315)))</f>
        <v>60</v>
      </c>
      <c r="AO315" s="7" t="n">
        <f aca="false">IF(AH315="","",1/AH315)</f>
        <v>14.9204457651867</v>
      </c>
      <c r="AP315" s="5" t="s">
        <v>88</v>
      </c>
      <c r="AQ315" s="5" t="s">
        <v>290</v>
      </c>
      <c r="AR315" s="5" t="s">
        <v>1010</v>
      </c>
      <c r="AS315" s="7" t="n">
        <f aca="false">IF(AND(AP315="Y",ISNUMBER(AO315)),AO315,0)</f>
        <v>14.9204457651867</v>
      </c>
      <c r="AT315" s="7" t="n">
        <f aca="false">IF(AS315&gt;0,AS315*AG315,0)</f>
        <v>3.08153811713952</v>
      </c>
      <c r="AU315" s="7" t="n">
        <f aca="false">IF(AS315&gt;0,AS315*AG315^2,0)</f>
        <v>0.636433878506508</v>
      </c>
      <c r="AV315" s="9" t="n">
        <f aca="false">IF(AS315&gt;0,AS315^2,0)</f>
        <v>222.619701831877</v>
      </c>
      <c r="AW315" s="7" t="n">
        <f aca="false">IF(AS315&gt;0,AG315,0)</f>
        <v>0.206531236776421</v>
      </c>
      <c r="AX315" s="7" t="n">
        <f aca="false">IF(AS315&gt;0,AH315,1)</f>
        <v>0.0670221262647033</v>
      </c>
    </row>
    <row r="316" customFormat="false" ht="15" hidden="false" customHeight="false" outlineLevel="0" collapsed="false">
      <c r="A316" s="5" t="s">
        <v>1015</v>
      </c>
      <c r="B316" s="5" t="s">
        <v>993</v>
      </c>
      <c r="C316" s="5" t="s">
        <v>994</v>
      </c>
      <c r="D316" s="5" t="n">
        <v>2025</v>
      </c>
      <c r="E316" s="5" t="s">
        <v>221</v>
      </c>
      <c r="F316" s="5" t="s">
        <v>173</v>
      </c>
      <c r="G316" s="5" t="s">
        <v>995</v>
      </c>
      <c r="H316" s="5" t="s">
        <v>265</v>
      </c>
      <c r="I316" s="5" t="s">
        <v>996</v>
      </c>
      <c r="J316" s="5" t="s">
        <v>189</v>
      </c>
      <c r="K316" s="5" t="s">
        <v>997</v>
      </c>
      <c r="L316" s="5" t="s">
        <v>998</v>
      </c>
      <c r="M316" s="5" t="s">
        <v>999</v>
      </c>
      <c r="N316" s="5" t="s">
        <v>1000</v>
      </c>
      <c r="O316" s="5" t="s">
        <v>261</v>
      </c>
      <c r="P316" s="11" t="s">
        <v>113</v>
      </c>
      <c r="Q316" s="11" t="s">
        <v>425</v>
      </c>
      <c r="R316" s="5"/>
      <c r="S316" s="11" t="s">
        <v>397</v>
      </c>
      <c r="T316" s="5" t="s">
        <v>1009</v>
      </c>
      <c r="U316" s="11" t="s">
        <v>86</v>
      </c>
      <c r="V316" s="5" t="n">
        <v>30</v>
      </c>
      <c r="W316" s="5" t="n">
        <v>13.67</v>
      </c>
      <c r="X316" s="5" t="n">
        <v>3.8</v>
      </c>
      <c r="Y316" s="5" t="n">
        <v>30</v>
      </c>
      <c r="Z316" s="5" t="n">
        <v>11.63</v>
      </c>
      <c r="AA316" s="5" t="n">
        <v>3.89</v>
      </c>
      <c r="AB316" s="5" t="s">
        <v>99</v>
      </c>
      <c r="AC316" s="5"/>
      <c r="AD316" s="5" t="n">
        <v>1</v>
      </c>
      <c r="AE316" s="7" t="n">
        <f aca="false">IFERROR(IF(AB316="MSD",IF(COUNT(V316,W316,X316,Y316,Z316,AA316)&lt;6,"",(W316-Z316)/SQRT(((V316-1)*X316^2+(Y316-1)*AA316^2)/(V316+Y316-2))*AD316),IF(AB316="t",AC316*SQRT(1/V316+1/Y316)*AD316,IF(AB316="F",SQRT(AC316)*SQRT(1/V316+1/Y316)*AD316,IF(AB316="z",2*(AC316/SQRT(V316+Y316))/SQRT(1-(AC316/SQRT(V316+Y316))^2)*AD316,IF(AB316="t_paired",AC316/SQRT(V316)*AD316,""))))),"")</f>
        <v>0.530522835562138</v>
      </c>
      <c r="AF316" s="7" t="n">
        <f aca="false">IF(AE316="","",IF(AB316="t_paired",1-3/(4*(V316-1)-1),1-3/(4*(V316+Y316)-9)))</f>
        <v>0.987012987012987</v>
      </c>
      <c r="AG316" s="7" t="n">
        <f aca="false">IF(AE316="","",AE316*AF316)</f>
        <v>0.523632928606785</v>
      </c>
      <c r="AH316" s="7" t="n">
        <f aca="false">IF(AG316="","",IF(AB316="t_paired",1/V316+AG316^2/(2*V316),(V316+Y316)/(V316*Y316)+AG316^2/(2*(V316+Y316))))</f>
        <v>0.068951595366011</v>
      </c>
      <c r="AI316" s="7" t="n">
        <f aca="false">IF(AH316="","",SQRT(AH316))</f>
        <v>0.262586357920611</v>
      </c>
      <c r="AJ316" s="7" t="n">
        <f aca="false">IF(AI316="","",AG316-1.96*AI316)</f>
        <v>0.00896366708238849</v>
      </c>
      <c r="AK316" s="7" t="n">
        <f aca="false">IF(AI316="","",AG316+1.96*AI316)</f>
        <v>1.03830219013118</v>
      </c>
      <c r="AL316" s="7" t="n">
        <f aca="false">IF(AI316="","",AG316/AI316)</f>
        <v>1.9941360729985</v>
      </c>
      <c r="AM316" s="8" t="n">
        <f aca="false">IF(AL316="","",2*(1-NORMSDIST(ABS(AL316))))</f>
        <v>0.0461371859940387</v>
      </c>
      <c r="AN316" s="9" t="n">
        <f aca="false">IF(COUNT(V316)=0,"",IF(AB316="t_paired",V316,V316+N(Y316)))</f>
        <v>60</v>
      </c>
      <c r="AO316" s="7" t="n">
        <f aca="false">IF(AH316="","",1/AH316)</f>
        <v>14.5029276652958</v>
      </c>
      <c r="AP316" s="5" t="s">
        <v>88</v>
      </c>
      <c r="AQ316" s="5" t="s">
        <v>290</v>
      </c>
      <c r="AR316" s="5" t="s">
        <v>1010</v>
      </c>
      <c r="AS316" s="7" t="n">
        <f aca="false">IF(AND(AP316="Y",ISNUMBER(AO316)),AO316,0)</f>
        <v>14.5029276652958</v>
      </c>
      <c r="AT316" s="7" t="n">
        <f aca="false">IF(AS316&gt;0,AS316*AG316,0)</f>
        <v>7.59421048675119</v>
      </c>
      <c r="AU316" s="7" t="n">
        <f aca="false">IF(AS316&gt;0,AS316*AG316^2,0)</f>
        <v>3.97657867763388</v>
      </c>
      <c r="AV316" s="9" t="n">
        <f aca="false">IF(AS316&gt;0,AS316^2,0)</f>
        <v>210.334910864801</v>
      </c>
      <c r="AW316" s="7" t="n">
        <f aca="false">IF(AS316&gt;0,AG316,0)</f>
        <v>0.523632928606785</v>
      </c>
      <c r="AX316" s="7" t="n">
        <f aca="false">IF(AS316&gt;0,AH316,1)</f>
        <v>0.068951595366011</v>
      </c>
    </row>
    <row r="317" customFormat="false" ht="15" hidden="false" customHeight="false" outlineLevel="0" collapsed="false">
      <c r="A317" s="5" t="s">
        <v>1016</v>
      </c>
      <c r="B317" s="5" t="s">
        <v>993</v>
      </c>
      <c r="C317" s="5" t="s">
        <v>994</v>
      </c>
      <c r="D317" s="5" t="n">
        <v>2025</v>
      </c>
      <c r="E317" s="5" t="s">
        <v>221</v>
      </c>
      <c r="F317" s="5" t="s">
        <v>173</v>
      </c>
      <c r="G317" s="5" t="s">
        <v>995</v>
      </c>
      <c r="H317" s="5" t="s">
        <v>265</v>
      </c>
      <c r="I317" s="5" t="s">
        <v>996</v>
      </c>
      <c r="J317" s="5" t="s">
        <v>189</v>
      </c>
      <c r="K317" s="5" t="s">
        <v>997</v>
      </c>
      <c r="L317" s="5" t="s">
        <v>998</v>
      </c>
      <c r="M317" s="5" t="s">
        <v>999</v>
      </c>
      <c r="N317" s="5" t="s">
        <v>1000</v>
      </c>
      <c r="O317" s="5" t="s">
        <v>261</v>
      </c>
      <c r="P317" s="11" t="s">
        <v>113</v>
      </c>
      <c r="Q317" s="11" t="s">
        <v>425</v>
      </c>
      <c r="R317" s="5"/>
      <c r="S317" s="11" t="s">
        <v>445</v>
      </c>
      <c r="T317" s="5" t="s">
        <v>1009</v>
      </c>
      <c r="U317" s="11" t="s">
        <v>86</v>
      </c>
      <c r="V317" s="5" t="n">
        <v>30</v>
      </c>
      <c r="W317" s="5" t="n">
        <v>16.7</v>
      </c>
      <c r="X317" s="5" t="n">
        <v>4.27</v>
      </c>
      <c r="Y317" s="5" t="n">
        <v>30</v>
      </c>
      <c r="Z317" s="5" t="n">
        <v>13.5</v>
      </c>
      <c r="AA317" s="5" t="n">
        <v>4.86</v>
      </c>
      <c r="AB317" s="5" t="s">
        <v>99</v>
      </c>
      <c r="AC317" s="5"/>
      <c r="AD317" s="5" t="n">
        <v>1</v>
      </c>
      <c r="AE317" s="7" t="n">
        <f aca="false">IFERROR(IF(AB317="MSD",IF(COUNT(V317,W317,X317,Y317,Z317,AA317)&lt;6,"",(W317-Z317)/SQRT(((V317-1)*X317^2+(Y317-1)*AA317^2)/(V317+Y317-2))*AD317),IF(AB317="t",AC317*SQRT(1/V317+1/Y317)*AD317,IF(AB317="F",SQRT(AC317)*SQRT(1/V317+1/Y317)*AD317,IF(AB317="z",2*(AC317/SQRT(V317+Y317))/SQRT(1-(AC317/SQRT(V317+Y317))^2)*AD317,IF(AB317="t_paired",AC317/SQRT(V317)*AD317,""))))),"")</f>
        <v>0.699526664614651</v>
      </c>
      <c r="AF317" s="7" t="n">
        <f aca="false">IF(AE317="","",IF(AB317="t_paired",1-3/(4*(V317-1)-1),1-3/(4*(V317+Y317)-9)))</f>
        <v>0.987012987012987</v>
      </c>
      <c r="AG317" s="7" t="n">
        <f aca="false">IF(AE317="","",AE317*AF317)</f>
        <v>0.690441902736539</v>
      </c>
      <c r="AH317" s="7" t="n">
        <f aca="false">IF(AG317="","",IF(AB317="t_paired",1/V317+AG317^2/(2*V317),(V317+Y317)/(V317*Y317)+AG317^2/(2*(V317+Y317))))</f>
        <v>0.0706392501754538</v>
      </c>
      <c r="AI317" s="7" t="n">
        <f aca="false">IF(AH317="","",SQRT(AH317))</f>
        <v>0.265780454840934</v>
      </c>
      <c r="AJ317" s="7" t="n">
        <f aca="false">IF(AI317="","",AG317-1.96*AI317)</f>
        <v>0.169512211248308</v>
      </c>
      <c r="AK317" s="7" t="n">
        <f aca="false">IF(AI317="","",AG317+1.96*AI317)</f>
        <v>1.21137159422477</v>
      </c>
      <c r="AL317" s="7" t="n">
        <f aca="false">IF(AI317="","",AG317/AI317)</f>
        <v>2.59779035726972</v>
      </c>
      <c r="AM317" s="8" t="n">
        <f aca="false">IF(AL317="","",2*(1-NORMSDIST(ABS(AL317))))</f>
        <v>0.00938257577725121</v>
      </c>
      <c r="AN317" s="9" t="n">
        <f aca="false">IF(COUNT(V317)=0,"",IF(AB317="t_paired",V317,V317+N(Y317)))</f>
        <v>60</v>
      </c>
      <c r="AO317" s="7" t="n">
        <f aca="false">IF(AH317="","",1/AH317)</f>
        <v>14.1564356574596</v>
      </c>
      <c r="AP317" s="5" t="s">
        <v>88</v>
      </c>
      <c r="AQ317" s="5" t="s">
        <v>290</v>
      </c>
      <c r="AR317" s="5" t="s">
        <v>1010</v>
      </c>
      <c r="AS317" s="7" t="n">
        <f aca="false">IF(AND(AP317="Y",ISNUMBER(AO317)),AO317,0)</f>
        <v>14.1564356574596</v>
      </c>
      <c r="AT317" s="7" t="n">
        <f aca="false">IF(AS317&gt;0,AS317*AG317,0)</f>
        <v>9.77419637130377</v>
      </c>
      <c r="AU317" s="7" t="n">
        <f aca="false">IF(AS317&gt;0,AS317*AG317^2,0)</f>
        <v>6.74851474032355</v>
      </c>
      <c r="AV317" s="9" t="n">
        <f aca="false">IF(AS317&gt;0,AS317^2,0)</f>
        <v>200.404670523792</v>
      </c>
      <c r="AW317" s="7" t="n">
        <f aca="false">IF(AS317&gt;0,AG317,0)</f>
        <v>0.690441902736539</v>
      </c>
      <c r="AX317" s="7" t="n">
        <f aca="false">IF(AS317&gt;0,AH317,1)</f>
        <v>0.0706392501754538</v>
      </c>
    </row>
    <row r="318" customFormat="false" ht="15" hidden="false" customHeight="false" outlineLevel="0" collapsed="false">
      <c r="A318" s="5" t="s">
        <v>1017</v>
      </c>
      <c r="B318" s="5" t="s">
        <v>993</v>
      </c>
      <c r="C318" s="5" t="s">
        <v>994</v>
      </c>
      <c r="D318" s="5" t="n">
        <v>2025</v>
      </c>
      <c r="E318" s="5" t="s">
        <v>221</v>
      </c>
      <c r="F318" s="5" t="s">
        <v>173</v>
      </c>
      <c r="G318" s="5" t="s">
        <v>995</v>
      </c>
      <c r="H318" s="5" t="s">
        <v>265</v>
      </c>
      <c r="I318" s="5" t="s">
        <v>996</v>
      </c>
      <c r="J318" s="5" t="s">
        <v>189</v>
      </c>
      <c r="K318" s="5" t="s">
        <v>997</v>
      </c>
      <c r="L318" s="5" t="s">
        <v>998</v>
      </c>
      <c r="M318" s="5" t="s">
        <v>999</v>
      </c>
      <c r="N318" s="5" t="s">
        <v>1000</v>
      </c>
      <c r="O318" s="5" t="s">
        <v>261</v>
      </c>
      <c r="P318" s="11" t="s">
        <v>113</v>
      </c>
      <c r="Q318" s="11" t="s">
        <v>425</v>
      </c>
      <c r="R318" s="5"/>
      <c r="S318" s="11" t="s">
        <v>1018</v>
      </c>
      <c r="T318" s="5" t="s">
        <v>1019</v>
      </c>
      <c r="U318" s="11" t="s">
        <v>86</v>
      </c>
      <c r="V318" s="5" t="n">
        <v>30</v>
      </c>
      <c r="W318" s="5" t="n">
        <v>70.93</v>
      </c>
      <c r="X318" s="5" t="n">
        <v>17.47</v>
      </c>
      <c r="Y318" s="5" t="n">
        <v>30</v>
      </c>
      <c r="Z318" s="5" t="n">
        <v>61.23</v>
      </c>
      <c r="AA318" s="5" t="n">
        <v>17.38</v>
      </c>
      <c r="AB318" s="5" t="s">
        <v>99</v>
      </c>
      <c r="AC318" s="5"/>
      <c r="AD318" s="5" t="n">
        <v>1</v>
      </c>
      <c r="AE318" s="7" t="n">
        <f aca="false">IFERROR(IF(AB318="MSD",IF(COUNT(V318,W318,X318,Y318,Z318,AA318)&lt;6,"",(W318-Z318)/SQRT(((V318-1)*X318^2+(Y318-1)*AA318^2)/(V318+Y318-2))*AD318),IF(AB318="t",AC318*SQRT(1/V318+1/Y318)*AD318,IF(AB318="F",SQRT(AC318)*SQRT(1/V318+1/Y318)*AD318,IF(AB318="z",2*(AC318/SQRT(V318+Y318))/SQRT(1-(AC318/SQRT(V318+Y318))^2)*AD318,IF(AB318="t_paired",AC318/SQRT(V318)*AD318,""))))),"")</f>
        <v>0.556669592775687</v>
      </c>
      <c r="AF318" s="7" t="n">
        <f aca="false">IF(AE318="","",IF(AB318="t_paired",1-3/(4*(V318-1)-1),1-3/(4*(V318+Y318)-9)))</f>
        <v>0.987012987012987</v>
      </c>
      <c r="AG318" s="7" t="n">
        <f aca="false">IF(AE318="","",AE318*AF318)</f>
        <v>0.549440117544834</v>
      </c>
      <c r="AH318" s="7" t="n">
        <f aca="false">IF(AG318="","",IF(AB318="t_paired",1/V318+AG318^2/(2*V318),(V318+Y318)/(V318*Y318)+AG318^2/(2*(V318+Y318))))</f>
        <v>0.0691823703563973</v>
      </c>
      <c r="AI318" s="7" t="n">
        <f aca="false">IF(AH318="","",SQRT(AH318))</f>
        <v>0.263025417700262</v>
      </c>
      <c r="AJ318" s="7" t="n">
        <f aca="false">IF(AI318="","",AG318-1.96*AI318)</f>
        <v>0.0339102988523201</v>
      </c>
      <c r="AK318" s="7" t="n">
        <f aca="false">IF(AI318="","",AG318+1.96*AI318)</f>
        <v>1.06496993623735</v>
      </c>
      <c r="AL318" s="7" t="n">
        <f aca="false">IF(AI318="","",AG318/AI318)</f>
        <v>2.08892403764173</v>
      </c>
      <c r="AM318" s="8" t="n">
        <f aca="false">IF(AL318="","",2*(1-NORMSDIST(ABS(AL318))))</f>
        <v>0.0367145616498599</v>
      </c>
      <c r="AN318" s="9" t="n">
        <f aca="false">IF(COUNT(V318)=0,"",IF(AB318="t_paired",V318,V318+N(Y318)))</f>
        <v>60</v>
      </c>
      <c r="AO318" s="7" t="n">
        <f aca="false">IF(AH318="","",1/AH318)</f>
        <v>14.4545495456203</v>
      </c>
      <c r="AP318" s="5" t="s">
        <v>88</v>
      </c>
      <c r="AQ318" s="5" t="s">
        <v>290</v>
      </c>
      <c r="AR318" s="5" t="s">
        <v>291</v>
      </c>
      <c r="AS318" s="7" t="n">
        <f aca="false">IF(AND(AP318="Y",ISNUMBER(AO318)),AO318,0)</f>
        <v>14.4545495456203</v>
      </c>
      <c r="AT318" s="7" t="n">
        <f aca="false">IF(AS318&gt;0,AS318*AG318,0)</f>
        <v>7.94190940140325</v>
      </c>
      <c r="AU318" s="7" t="n">
        <f aca="false">IF(AS318&gt;0,AS318*AG318^2,0)</f>
        <v>4.36360363503742</v>
      </c>
      <c r="AV318" s="9" t="n">
        <f aca="false">IF(AS318&gt;0,AS318^2,0)</f>
        <v>208.934002566793</v>
      </c>
      <c r="AW318" s="7" t="n">
        <f aca="false">IF(AS318&gt;0,AG318,0)</f>
        <v>0.549440117544834</v>
      </c>
      <c r="AX318" s="7" t="n">
        <f aca="false">IF(AS318&gt;0,AH318,1)</f>
        <v>0.0691823703563973</v>
      </c>
    </row>
    <row r="319" customFormat="false" ht="15" hidden="false" customHeight="false" outlineLevel="0" collapsed="false">
      <c r="A319" s="5" t="s">
        <v>1020</v>
      </c>
      <c r="B319" s="5" t="s">
        <v>993</v>
      </c>
      <c r="C319" s="5" t="s">
        <v>994</v>
      </c>
      <c r="D319" s="5" t="n">
        <v>2025</v>
      </c>
      <c r="E319" s="5" t="s">
        <v>221</v>
      </c>
      <c r="F319" s="5" t="s">
        <v>173</v>
      </c>
      <c r="G319" s="5" t="s">
        <v>995</v>
      </c>
      <c r="H319" s="5" t="s">
        <v>265</v>
      </c>
      <c r="I319" s="5" t="s">
        <v>996</v>
      </c>
      <c r="J319" s="5" t="s">
        <v>189</v>
      </c>
      <c r="K319" s="5" t="s">
        <v>997</v>
      </c>
      <c r="L319" s="5" t="s">
        <v>998</v>
      </c>
      <c r="M319" s="5" t="s">
        <v>999</v>
      </c>
      <c r="N319" s="5" t="s">
        <v>1000</v>
      </c>
      <c r="O319" s="5" t="s">
        <v>261</v>
      </c>
      <c r="P319" s="11" t="s">
        <v>113</v>
      </c>
      <c r="Q319" s="11" t="s">
        <v>425</v>
      </c>
      <c r="R319" s="5"/>
      <c r="S319" s="11" t="s">
        <v>1021</v>
      </c>
      <c r="T319" s="5" t="s">
        <v>1022</v>
      </c>
      <c r="U319" s="11" t="s">
        <v>86</v>
      </c>
      <c r="V319" s="5" t="n">
        <v>30</v>
      </c>
      <c r="W319" s="5" t="n">
        <v>124.57</v>
      </c>
      <c r="X319" s="5" t="n">
        <v>23.94</v>
      </c>
      <c r="Y319" s="5" t="n">
        <v>30</v>
      </c>
      <c r="Z319" s="5" t="n">
        <v>108.33</v>
      </c>
      <c r="AA319" s="5" t="n">
        <v>30.77</v>
      </c>
      <c r="AB319" s="5" t="s">
        <v>99</v>
      </c>
      <c r="AC319" s="5"/>
      <c r="AD319" s="5" t="n">
        <v>1</v>
      </c>
      <c r="AE319" s="7" t="n">
        <f aca="false">IFERROR(IF(AB319="MSD",IF(COUNT(V319,W319,X319,Y319,Z319,AA319)&lt;6,"",(W319-Z319)/SQRT(((V319-1)*X319^2+(Y319-1)*AA319^2)/(V319+Y319-2))*AD319),IF(AB319="t",AC319*SQRT(1/V319+1/Y319)*AD319,IF(AB319="F",SQRT(AC319)*SQRT(1/V319+1/Y319)*AD319,IF(AB319="z",2*(AC319/SQRT(V319+Y319))/SQRT(1-(AC319/SQRT(V319+Y319))^2)*AD319,IF(AB319="t_paired",AC319/SQRT(V319)*AD319,""))))),"")</f>
        <v>0.58910289626282</v>
      </c>
      <c r="AF319" s="7" t="n">
        <f aca="false">IF(AE319="","",IF(AB319="t_paired",1-3/(4*(V319-1)-1),1-3/(4*(V319+Y319)-9)))</f>
        <v>0.987012987012987</v>
      </c>
      <c r="AG319" s="7" t="n">
        <f aca="false">IF(AE319="","",AE319*AF319)</f>
        <v>0.581452209298368</v>
      </c>
      <c r="AH319" s="7" t="n">
        <f aca="false">IF(AG319="","",IF(AB319="t_paired",1/V319+AG319^2/(2*V319),(V319+Y319)/(V319*Y319)+AG319^2/(2*(V319+Y319))))</f>
        <v>0.0694840555974829</v>
      </c>
      <c r="AI319" s="7" t="n">
        <f aca="false">IF(AH319="","",SQRT(AH319))</f>
        <v>0.263598284511647</v>
      </c>
      <c r="AJ319" s="7" t="n">
        <f aca="false">IF(AI319="","",AG319-1.96*AI319)</f>
        <v>0.0647995716555404</v>
      </c>
      <c r="AK319" s="7" t="n">
        <f aca="false">IF(AI319="","",AG319+1.96*AI319)</f>
        <v>1.09810484694119</v>
      </c>
      <c r="AL319" s="7" t="n">
        <f aca="false">IF(AI319="","",AG319/AI319)</f>
        <v>2.20582698546613</v>
      </c>
      <c r="AM319" s="8" t="n">
        <f aca="false">IF(AL319="","",2*(1-NORMSDIST(ABS(AL319))))</f>
        <v>0.0273961160739142</v>
      </c>
      <c r="AN319" s="9" t="n">
        <f aca="false">IF(COUNT(V319)=0,"",IF(AB319="t_paired",V319,V319+N(Y319)))</f>
        <v>60</v>
      </c>
      <c r="AO319" s="7" t="n">
        <f aca="false">IF(AH319="","",1/AH319)</f>
        <v>14.3917909137737</v>
      </c>
      <c r="AP319" s="5" t="s">
        <v>88</v>
      </c>
      <c r="AQ319" s="5" t="s">
        <v>290</v>
      </c>
      <c r="AR319" s="5" t="s">
        <v>834</v>
      </c>
      <c r="AS319" s="7" t="n">
        <f aca="false">IF(AND(AP319="Y",ISNUMBER(AO319)),AO319,0)</f>
        <v>14.3917909137737</v>
      </c>
      <c r="AT319" s="7" t="n">
        <f aca="false">IF(AS319&gt;0,AS319*AG319,0)</f>
        <v>8.36813862257388</v>
      </c>
      <c r="AU319" s="7" t="n">
        <f aca="false">IF(AS319&gt;0,AS319*AG319^2,0)</f>
        <v>4.86567268981058</v>
      </c>
      <c r="AV319" s="9" t="n">
        <f aca="false">IF(AS319&gt;0,AS319^2,0)</f>
        <v>207.123645705779</v>
      </c>
      <c r="AW319" s="7" t="n">
        <f aca="false">IF(AS319&gt;0,AG319,0)</f>
        <v>0.581452209298368</v>
      </c>
      <c r="AX319" s="7" t="n">
        <f aca="false">IF(AS319&gt;0,AH319,1)</f>
        <v>0.0694840555974829</v>
      </c>
    </row>
    <row r="320" customFormat="false" ht="15" hidden="false" customHeight="false" outlineLevel="0" collapsed="false">
      <c r="A320" s="5" t="s">
        <v>1023</v>
      </c>
      <c r="B320" s="5" t="s">
        <v>993</v>
      </c>
      <c r="C320" s="5" t="s">
        <v>994</v>
      </c>
      <c r="D320" s="5" t="n">
        <v>2025</v>
      </c>
      <c r="E320" s="5" t="s">
        <v>221</v>
      </c>
      <c r="F320" s="5" t="s">
        <v>173</v>
      </c>
      <c r="G320" s="5" t="s">
        <v>995</v>
      </c>
      <c r="H320" s="5" t="s">
        <v>265</v>
      </c>
      <c r="I320" s="5" t="s">
        <v>996</v>
      </c>
      <c r="J320" s="5" t="s">
        <v>189</v>
      </c>
      <c r="K320" s="5" t="s">
        <v>997</v>
      </c>
      <c r="L320" s="5" t="s">
        <v>998</v>
      </c>
      <c r="M320" s="5" t="s">
        <v>999</v>
      </c>
      <c r="N320" s="5" t="s">
        <v>1000</v>
      </c>
      <c r="O320" s="5" t="s">
        <v>261</v>
      </c>
      <c r="P320" s="11" t="s">
        <v>113</v>
      </c>
      <c r="Q320" s="11" t="s">
        <v>425</v>
      </c>
      <c r="R320" s="5"/>
      <c r="S320" s="11" t="s">
        <v>1024</v>
      </c>
      <c r="T320" s="5" t="s">
        <v>1006</v>
      </c>
      <c r="U320" s="11" t="s">
        <v>86</v>
      </c>
      <c r="V320" s="5" t="n">
        <v>30</v>
      </c>
      <c r="W320" s="5" t="n">
        <v>30.9</v>
      </c>
      <c r="X320" s="5" t="n">
        <v>6.84</v>
      </c>
      <c r="Y320" s="5" t="n">
        <v>30</v>
      </c>
      <c r="Z320" s="5" t="n">
        <v>26.8</v>
      </c>
      <c r="AA320" s="5" t="n">
        <v>7.61</v>
      </c>
      <c r="AB320" s="5" t="s">
        <v>99</v>
      </c>
      <c r="AC320" s="5"/>
      <c r="AD320" s="5" t="n">
        <v>1</v>
      </c>
      <c r="AE320" s="7" t="n">
        <f aca="false">IFERROR(IF(AB320="MSD",IF(COUNT(V320,W320,X320,Y320,Z320,AA320)&lt;6,"",(W320-Z320)/SQRT(((V320-1)*X320^2+(Y320-1)*AA320^2)/(V320+Y320-2))*AD320),IF(AB320="t",AC320*SQRT(1/V320+1/Y320)*AD320,IF(AB320="F",SQRT(AC320)*SQRT(1/V320+1/Y320)*AD320,IF(AB320="z",2*(AC320/SQRT(V320+Y320))/SQRT(1-(AC320/SQRT(V320+Y320))^2)*AD320,IF(AB320="t_paired",AC320/SQRT(V320)*AD320,""))))),"")</f>
        <v>0.566670081717257</v>
      </c>
      <c r="AF320" s="7" t="n">
        <f aca="false">IF(AE320="","",IF(AB320="t_paired",1-3/(4*(V320-1)-1),1-3/(4*(V320+Y320)-9)))</f>
        <v>0.987012987012987</v>
      </c>
      <c r="AG320" s="7" t="n">
        <f aca="false">IF(AE320="","",AE320*AF320)</f>
        <v>0.559310730006643</v>
      </c>
      <c r="AH320" s="7" t="n">
        <f aca="false">IF(AG320="","",IF(AB320="t_paired",1/V320+AG320^2/(2*V320),(V320+Y320)/(V320*Y320)+AG320^2/(2*(V320+Y320))))</f>
        <v>0.0692735707725047</v>
      </c>
      <c r="AI320" s="7" t="n">
        <f aca="false">IF(AH320="","",SQRT(AH320))</f>
        <v>0.263198728668101</v>
      </c>
      <c r="AJ320" s="7" t="n">
        <f aca="false">IF(AI320="","",AG320-1.96*AI320)</f>
        <v>0.043441221817165</v>
      </c>
      <c r="AK320" s="7" t="n">
        <f aca="false">IF(AI320="","",AG320+1.96*AI320)</f>
        <v>1.07518023819612</v>
      </c>
      <c r="AL320" s="7" t="n">
        <f aca="false">IF(AI320="","",AG320/AI320)</f>
        <v>2.12505103211173</v>
      </c>
      <c r="AM320" s="8" t="n">
        <f aca="false">IF(AL320="","",2*(1-NORMSDIST(ABS(AL320))))</f>
        <v>0.0335823549078167</v>
      </c>
      <c r="AN320" s="9" t="n">
        <f aca="false">IF(COUNT(V320)=0,"",IF(AB320="t_paired",V320,V320+N(Y320)))</f>
        <v>60</v>
      </c>
      <c r="AO320" s="7" t="n">
        <f aca="false">IF(AH320="","",1/AH320)</f>
        <v>14.4355197638651</v>
      </c>
      <c r="AP320" s="5" t="s">
        <v>88</v>
      </c>
      <c r="AQ320" s="5" t="s">
        <v>290</v>
      </c>
      <c r="AR320" s="5" t="s">
        <v>318</v>
      </c>
      <c r="AS320" s="7" t="n">
        <f aca="false">IF(AND(AP320="Y",ISNUMBER(AO320)),AO320,0)</f>
        <v>14.4355197638651</v>
      </c>
      <c r="AT320" s="7" t="n">
        <f aca="false">IF(AS320&gt;0,AS320*AG320,0)</f>
        <v>8.07394109715272</v>
      </c>
      <c r="AU320" s="7" t="n">
        <f aca="false">IF(AS320&gt;0,AS320*AG320^2,0)</f>
        <v>4.51584188907913</v>
      </c>
      <c r="AV320" s="9" t="n">
        <f aca="false">IF(AS320&gt;0,AS320^2,0)</f>
        <v>208.38423085294</v>
      </c>
      <c r="AW320" s="7" t="n">
        <f aca="false">IF(AS320&gt;0,AG320,0)</f>
        <v>0.559310730006643</v>
      </c>
      <c r="AX320" s="7" t="n">
        <f aca="false">IF(AS320&gt;0,AH320,1)</f>
        <v>0.0692735707725047</v>
      </c>
    </row>
    <row r="321" customFormat="false" ht="15" hidden="false" customHeight="false" outlineLevel="0" collapsed="false">
      <c r="A321" s="5" t="s">
        <v>1025</v>
      </c>
      <c r="B321" s="5" t="s">
        <v>993</v>
      </c>
      <c r="C321" s="5" t="s">
        <v>994</v>
      </c>
      <c r="D321" s="5" t="n">
        <v>2025</v>
      </c>
      <c r="E321" s="5" t="s">
        <v>221</v>
      </c>
      <c r="F321" s="5" t="s">
        <v>173</v>
      </c>
      <c r="G321" s="5" t="s">
        <v>995</v>
      </c>
      <c r="H321" s="5" t="s">
        <v>265</v>
      </c>
      <c r="I321" s="5" t="s">
        <v>996</v>
      </c>
      <c r="J321" s="5" t="s">
        <v>189</v>
      </c>
      <c r="K321" s="5" t="s">
        <v>997</v>
      </c>
      <c r="L321" s="5" t="s">
        <v>998</v>
      </c>
      <c r="M321" s="5" t="s">
        <v>999</v>
      </c>
      <c r="N321" s="5" t="s">
        <v>1000</v>
      </c>
      <c r="O321" s="5" t="s">
        <v>261</v>
      </c>
      <c r="P321" s="11" t="s">
        <v>113</v>
      </c>
      <c r="Q321" s="11" t="s">
        <v>425</v>
      </c>
      <c r="R321" s="5"/>
      <c r="S321" s="11" t="s">
        <v>1026</v>
      </c>
      <c r="T321" s="5" t="s">
        <v>1006</v>
      </c>
      <c r="U321" s="11" t="s">
        <v>86</v>
      </c>
      <c r="V321" s="5" t="n">
        <v>30</v>
      </c>
      <c r="W321" s="5" t="n">
        <v>30.77</v>
      </c>
      <c r="X321" s="5" t="n">
        <v>6.45</v>
      </c>
      <c r="Y321" s="5" t="n">
        <v>30</v>
      </c>
      <c r="Z321" s="5" t="n">
        <v>27.37</v>
      </c>
      <c r="AA321" s="5" t="n">
        <v>7.68</v>
      </c>
      <c r="AB321" s="5" t="s">
        <v>99</v>
      </c>
      <c r="AC321" s="5"/>
      <c r="AD321" s="5" t="n">
        <v>1</v>
      </c>
      <c r="AE321" s="7" t="n">
        <f aca="false">IFERROR(IF(AB321="MSD",IF(COUNT(V321,W321,X321,Y321,Z321,AA321)&lt;6,"",(W321-Z321)/SQRT(((V321-1)*X321^2+(Y321-1)*AA321^2)/(V321+Y321-2))*AD321),IF(AB321="t",AC321*SQRT(1/V321+1/Y321)*AD321,IF(AB321="F",SQRT(AC321)*SQRT(1/V321+1/Y321)*AD321,IF(AB321="z",2*(AC321/SQRT(V321+Y321))/SQRT(1-(AC321/SQRT(V321+Y321))^2)*AD321,IF(AB321="t_paired",AC321/SQRT(V321)*AD321,""))))),"")</f>
        <v>0.479432554947332</v>
      </c>
      <c r="AF321" s="7" t="n">
        <f aca="false">IF(AE321="","",IF(AB321="t_paired",1-3/(4*(V321-1)-1),1-3/(4*(V321+Y321)-9)))</f>
        <v>0.987012987012987</v>
      </c>
      <c r="AG321" s="7" t="n">
        <f aca="false">IF(AE321="","",AE321*AF321)</f>
        <v>0.473206158129834</v>
      </c>
      <c r="AH321" s="7" t="n">
        <f aca="false">IF(AG321="","",IF(AB321="t_paired",1/V321+AG321^2/(2*V321),(V321+Y321)/(V321*Y321)+AG321^2/(2*(V321+Y321))))</f>
        <v>0.0685327005674333</v>
      </c>
      <c r="AI321" s="7" t="n">
        <f aca="false">IF(AH321="","",SQRT(AH321))</f>
        <v>0.261787510335068</v>
      </c>
      <c r="AJ321" s="7" t="n">
        <f aca="false">IF(AI321="","",AG321-1.96*AI321)</f>
        <v>-0.0398973621268995</v>
      </c>
      <c r="AK321" s="7" t="n">
        <f aca="false">IF(AI321="","",AG321+1.96*AI321)</f>
        <v>0.986309678386567</v>
      </c>
      <c r="AL321" s="7" t="n">
        <f aca="false">IF(AI321="","",AG321/AI321)</f>
        <v>1.80759638809417</v>
      </c>
      <c r="AM321" s="8" t="n">
        <f aca="false">IF(AL321="","",2*(1-NORMSDIST(ABS(AL321))))</f>
        <v>0.0706693407998165</v>
      </c>
      <c r="AN321" s="9" t="n">
        <f aca="false">IF(COUNT(V321)=0,"",IF(AB321="t_paired",V321,V321+N(Y321)))</f>
        <v>60</v>
      </c>
      <c r="AO321" s="7" t="n">
        <f aca="false">IF(AH321="","",1/AH321)</f>
        <v>14.5915744122186</v>
      </c>
      <c r="AP321" s="5" t="s">
        <v>88</v>
      </c>
      <c r="AQ321" s="5" t="s">
        <v>290</v>
      </c>
      <c r="AR321" s="5" t="s">
        <v>318</v>
      </c>
      <c r="AS321" s="7" t="n">
        <f aca="false">IF(AND(AP321="Y",ISNUMBER(AO321)),AO321,0)</f>
        <v>14.5915744122186</v>
      </c>
      <c r="AT321" s="7" t="n">
        <f aca="false">IF(AS321&gt;0,AS321*AG321,0)</f>
        <v>6.90482286867156</v>
      </c>
      <c r="AU321" s="7" t="n">
        <f aca="false">IF(AS321&gt;0,AS321*AG321^2,0)</f>
        <v>3.26740470225109</v>
      </c>
      <c r="AV321" s="9" t="n">
        <f aca="false">IF(AS321&gt;0,AS321^2,0)</f>
        <v>212.914043827313</v>
      </c>
      <c r="AW321" s="7" t="n">
        <f aca="false">IF(AS321&gt;0,AG321,0)</f>
        <v>0.473206158129834</v>
      </c>
      <c r="AX321" s="7" t="n">
        <f aca="false">IF(AS321&gt;0,AH321,1)</f>
        <v>0.0685327005674333</v>
      </c>
    </row>
    <row r="322" customFormat="false" ht="15" hidden="false" customHeight="false" outlineLevel="0" collapsed="false">
      <c r="A322" s="5" t="s">
        <v>1027</v>
      </c>
      <c r="B322" s="5" t="s">
        <v>1028</v>
      </c>
      <c r="C322" s="5" t="s">
        <v>1029</v>
      </c>
      <c r="D322" s="5" t="n">
        <v>2025</v>
      </c>
      <c r="E322" s="5" t="s">
        <v>221</v>
      </c>
      <c r="F322" s="5" t="s">
        <v>750</v>
      </c>
      <c r="G322" s="5" t="s">
        <v>395</v>
      </c>
      <c r="H322" s="5" t="s">
        <v>74</v>
      </c>
      <c r="I322" s="5" t="s">
        <v>207</v>
      </c>
      <c r="J322" s="5" t="s">
        <v>189</v>
      </c>
      <c r="K322" s="5" t="s">
        <v>163</v>
      </c>
      <c r="L322" s="5" t="s">
        <v>164</v>
      </c>
      <c r="M322" s="5"/>
      <c r="N322" s="5"/>
      <c r="O322" s="5" t="s">
        <v>190</v>
      </c>
      <c r="P322" s="10" t="s">
        <v>113</v>
      </c>
      <c r="Q322" s="10" t="s">
        <v>422</v>
      </c>
      <c r="R322" s="5"/>
      <c r="S322" s="10" t="s">
        <v>1030</v>
      </c>
      <c r="T322" s="5"/>
      <c r="U322" s="10" t="s">
        <v>98</v>
      </c>
      <c r="V322" s="5" t="n">
        <v>29</v>
      </c>
      <c r="W322" s="5" t="n">
        <v>2.33</v>
      </c>
      <c r="X322" s="5" t="n">
        <v>0.1</v>
      </c>
      <c r="Y322" s="5" t="n">
        <v>27</v>
      </c>
      <c r="Z322" s="5" t="n">
        <v>2.55</v>
      </c>
      <c r="AA322" s="5" t="n">
        <v>0.13</v>
      </c>
      <c r="AB322" s="5" t="s">
        <v>99</v>
      </c>
      <c r="AC322" s="5"/>
      <c r="AD322" s="5" t="n">
        <v>1</v>
      </c>
      <c r="AE322" s="7" t="n">
        <f aca="false">IFERROR(IF(AB322="MSD",IF(COUNT(V322,W322,X322,Y322,Z322,AA322)&lt;6,"",(W322-Z322)/SQRT(((V322-1)*X322^2+(Y322-1)*AA322^2)/(V322+Y322-2))*AD322),IF(AB322="t",AC322*SQRT(1/V322+1/Y322)*AD322,IF(AB322="F",SQRT(AC322)*SQRT(1/V322+1/Y322)*AD322,IF(AB322="z",2*(AC322/SQRT(V322+Y322))/SQRT(1-(AC322/SQRT(V322+Y322))^2)*AD322,IF(AB322="t_paired",AC322/SQRT(V322)*AD322,""))))),"")</f>
        <v>-1.90605024145109</v>
      </c>
      <c r="AF322" s="7" t="n">
        <f aca="false">IF(AE322="","",IF(AB322="t_paired",1-3/(4*(V322-1)-1),1-3/(4*(V322+Y322)-9)))</f>
        <v>0.986046511627907</v>
      </c>
      <c r="AG322" s="7" t="n">
        <f aca="false">IF(AE322="","",AE322*AF322)</f>
        <v>-1.87945419157038</v>
      </c>
      <c r="AH322" s="7" t="n">
        <f aca="false">IF(AG322="","",IF(AB322="t_paired",1/V322+AG322^2/(2*V322),(V322+Y322)/(V322*Y322)+AG322^2/(2*(V322+Y322))))</f>
        <v>0.103058617606043</v>
      </c>
      <c r="AI322" s="7" t="n">
        <f aca="false">IF(AH322="","",SQRT(AH322))</f>
        <v>0.321027440581087</v>
      </c>
      <c r="AJ322" s="7" t="n">
        <f aca="false">IF(AI322="","",AG322-1.96*AI322)</f>
        <v>-2.50866797510931</v>
      </c>
      <c r="AK322" s="7" t="n">
        <f aca="false">IF(AI322="","",AG322+1.96*AI322)</f>
        <v>-1.25024040803145</v>
      </c>
      <c r="AL322" s="7" t="n">
        <f aca="false">IF(AI322="","",AG322/AI322)</f>
        <v>-5.85449701174581</v>
      </c>
      <c r="AM322" s="8" t="n">
        <f aca="false">IF(AL322="","",2*(1-NORMSDIST(ABS(AL322))))</f>
        <v>4.78455808305966E-009</v>
      </c>
      <c r="AN322" s="9" t="n">
        <f aca="false">IF(COUNT(V322)=0,"",IF(AB322="t_paired",V322,V322+N(Y322)))</f>
        <v>56</v>
      </c>
      <c r="AO322" s="7" t="n">
        <f aca="false">IF(AH322="","",1/AH322)</f>
        <v>9.70321573517167</v>
      </c>
      <c r="AP322" s="5" t="s">
        <v>100</v>
      </c>
      <c r="AQ322" s="5" t="s">
        <v>441</v>
      </c>
      <c r="AR322" s="5"/>
      <c r="AS322" s="9" t="n">
        <f aca="false">IF(AND(AP322="Y",ISNUMBER(AO322)),AO322,0)</f>
        <v>0</v>
      </c>
      <c r="AT322" s="7" t="n">
        <f aca="false">IF(AS322&gt;0,AS322*AG322,0)</f>
        <v>0</v>
      </c>
      <c r="AU322" s="7" t="n">
        <f aca="false">IF(AS322&gt;0,AS322*AG322^2,0)</f>
        <v>0</v>
      </c>
      <c r="AV322" s="9" t="n">
        <f aca="false">IF(AS322&gt;0,AS322^2,0)</f>
        <v>0</v>
      </c>
      <c r="AW322" s="7" t="n">
        <f aca="false">IF(AS322&gt;0,AG322,0)</f>
        <v>0</v>
      </c>
      <c r="AX322" s="7" t="n">
        <f aca="false">IF(AS322&gt;0,AH322,1)</f>
        <v>1</v>
      </c>
    </row>
    <row r="323" customFormat="false" ht="15" hidden="false" customHeight="false" outlineLevel="0" collapsed="false">
      <c r="A323" s="5" t="s">
        <v>1031</v>
      </c>
      <c r="B323" s="5" t="s">
        <v>1028</v>
      </c>
      <c r="C323" s="5" t="s">
        <v>1029</v>
      </c>
      <c r="D323" s="5" t="n">
        <v>2025</v>
      </c>
      <c r="E323" s="5" t="s">
        <v>221</v>
      </c>
      <c r="F323" s="5" t="s">
        <v>750</v>
      </c>
      <c r="G323" s="5" t="s">
        <v>395</v>
      </c>
      <c r="H323" s="5" t="s">
        <v>74</v>
      </c>
      <c r="I323" s="5" t="s">
        <v>207</v>
      </c>
      <c r="J323" s="5" t="s">
        <v>189</v>
      </c>
      <c r="K323" s="5" t="s">
        <v>163</v>
      </c>
      <c r="L323" s="5" t="s">
        <v>164</v>
      </c>
      <c r="M323" s="5"/>
      <c r="N323" s="5"/>
      <c r="O323" s="5" t="s">
        <v>190</v>
      </c>
      <c r="P323" s="11" t="s">
        <v>113</v>
      </c>
      <c r="Q323" s="11" t="s">
        <v>422</v>
      </c>
      <c r="R323" s="5"/>
      <c r="S323" s="11" t="s">
        <v>1030</v>
      </c>
      <c r="T323" s="5"/>
      <c r="U323" s="11" t="s">
        <v>86</v>
      </c>
      <c r="V323" s="5" t="n">
        <v>29</v>
      </c>
      <c r="W323" s="5" t="n">
        <v>1.83</v>
      </c>
      <c r="X323" s="5" t="n">
        <v>0.38</v>
      </c>
      <c r="Y323" s="5" t="n">
        <v>27</v>
      </c>
      <c r="Z323" s="5" t="n">
        <v>2.31</v>
      </c>
      <c r="AA323" s="5" t="n">
        <v>0.51</v>
      </c>
      <c r="AB323" s="5" t="s">
        <v>99</v>
      </c>
      <c r="AC323" s="5"/>
      <c r="AD323" s="5" t="n">
        <v>1</v>
      </c>
      <c r="AE323" s="7" t="n">
        <f aca="false">IFERROR(IF(AB323="MSD",IF(COUNT(V323,W323,X323,Y323,Z323,AA323)&lt;6,"",(W323-Z323)/SQRT(((V323-1)*X323^2+(Y323-1)*AA323^2)/(V323+Y323-2))*AD323),IF(AB323="t",AC323*SQRT(1/V323+1/Y323)*AD323,IF(AB323="F",SQRT(AC323)*SQRT(1/V323+1/Y323)*AD323,IF(AB323="z",2*(AC323/SQRT(V323+Y323))/SQRT(1-(AC323/SQRT(V323+Y323))^2)*AD323,IF(AB323="t_paired",AC323/SQRT(V323)*AD323,""))))),"")</f>
        <v>-1.07302454091317</v>
      </c>
      <c r="AF323" s="7" t="n">
        <f aca="false">IF(AE323="","",IF(AB323="t_paired",1-3/(4*(V323-1)-1),1-3/(4*(V323+Y323)-9)))</f>
        <v>0.986046511627907</v>
      </c>
      <c r="AG323" s="7" t="n">
        <f aca="false">IF(AE323="","",AE323*AF323)</f>
        <v>-1.05805210545857</v>
      </c>
      <c r="AH323" s="7" t="n">
        <f aca="false">IF(AG323="","",IF(AB323="t_paired",1/V323+AG323^2/(2*V323),(V323+Y323)/(V323*Y323)+AG323^2/(2*(V323+Y323))))</f>
        <v>0.081515101531524</v>
      </c>
      <c r="AI323" s="7" t="n">
        <f aca="false">IF(AH323="","",SQRT(AH323))</f>
        <v>0.285508496426155</v>
      </c>
      <c r="AJ323" s="7" t="n">
        <f aca="false">IF(AI323="","",AG323-1.96*AI323)</f>
        <v>-1.61764875845383</v>
      </c>
      <c r="AK323" s="7" t="n">
        <f aca="false">IF(AI323="","",AG323+1.96*AI323)</f>
        <v>-0.4984554524633</v>
      </c>
      <c r="AL323" s="7" t="n">
        <f aca="false">IF(AI323="","",AG323/AI323)</f>
        <v>-3.70585155504198</v>
      </c>
      <c r="AM323" s="8" t="n">
        <f aca="false">IF(AL323="","",2*(1-NORMSDIST(ABS(AL323))))</f>
        <v>0.000210681673967317</v>
      </c>
      <c r="AN323" s="9" t="n">
        <f aca="false">IF(COUNT(V323)=0,"",IF(AB323="t_paired",V323,V323+N(Y323)))</f>
        <v>56</v>
      </c>
      <c r="AO323" s="7" t="n">
        <f aca="false">IF(AH323="","",1/AH323)</f>
        <v>12.2676655148773</v>
      </c>
      <c r="AP323" s="5" t="s">
        <v>88</v>
      </c>
      <c r="AQ323" s="5" t="s">
        <v>441</v>
      </c>
      <c r="AR323" s="5"/>
      <c r="AS323" s="7" t="n">
        <f aca="false">IF(AND(AP323="Y",ISNUMBER(AO323)),AO323,0)</f>
        <v>12.2676655148773</v>
      </c>
      <c r="AT323" s="7" t="n">
        <f aca="false">IF(AS323&gt;0,AS323*AG323,0)</f>
        <v>-12.9798293270774</v>
      </c>
      <c r="AU323" s="7" t="n">
        <f aca="false">IF(AS323&gt;0,AS323*AG323^2,0)</f>
        <v>13.733335748007</v>
      </c>
      <c r="AV323" s="9" t="n">
        <f aca="false">IF(AS323&gt;0,AS323^2,0)</f>
        <v>150.49561718491</v>
      </c>
      <c r="AW323" s="7" t="n">
        <f aca="false">IF(AS323&gt;0,AG323,0)</f>
        <v>-1.05805210545857</v>
      </c>
      <c r="AX323" s="7" t="n">
        <f aca="false">IF(AS323&gt;0,AH323,1)</f>
        <v>0.081515101531524</v>
      </c>
    </row>
    <row r="324" customFormat="false" ht="15" hidden="false" customHeight="false" outlineLevel="0" collapsed="false">
      <c r="A324" s="5" t="s">
        <v>1032</v>
      </c>
      <c r="B324" s="5" t="s">
        <v>1028</v>
      </c>
      <c r="C324" s="5" t="s">
        <v>1029</v>
      </c>
      <c r="D324" s="5" t="n">
        <v>2025</v>
      </c>
      <c r="E324" s="5" t="s">
        <v>221</v>
      </c>
      <c r="F324" s="5" t="s">
        <v>750</v>
      </c>
      <c r="G324" s="5" t="s">
        <v>395</v>
      </c>
      <c r="H324" s="5" t="s">
        <v>74</v>
      </c>
      <c r="I324" s="5" t="s">
        <v>207</v>
      </c>
      <c r="J324" s="5" t="s">
        <v>189</v>
      </c>
      <c r="K324" s="5" t="s">
        <v>163</v>
      </c>
      <c r="L324" s="5" t="s">
        <v>164</v>
      </c>
      <c r="M324" s="5"/>
      <c r="N324" s="5"/>
      <c r="O324" s="5" t="s">
        <v>190</v>
      </c>
      <c r="P324" s="10" t="s">
        <v>113</v>
      </c>
      <c r="Q324" s="10" t="s">
        <v>425</v>
      </c>
      <c r="R324" s="5"/>
      <c r="S324" s="10" t="s">
        <v>1033</v>
      </c>
      <c r="T324" s="5"/>
      <c r="U324" s="10" t="s">
        <v>98</v>
      </c>
      <c r="V324" s="5" t="n">
        <v>29</v>
      </c>
      <c r="W324" s="5" t="n">
        <v>3.35</v>
      </c>
      <c r="X324" s="5" t="n">
        <v>0.06</v>
      </c>
      <c r="Y324" s="5" t="n">
        <v>27</v>
      </c>
      <c r="Z324" s="5" t="n">
        <v>3.25</v>
      </c>
      <c r="AA324" s="5" t="n">
        <v>0.42</v>
      </c>
      <c r="AB324" s="5" t="s">
        <v>99</v>
      </c>
      <c r="AC324" s="5"/>
      <c r="AD324" s="5" t="n">
        <v>1</v>
      </c>
      <c r="AE324" s="7" t="n">
        <f aca="false">IFERROR(IF(AB324="MSD",IF(COUNT(V324,W324,X324,Y324,Z324,AA324)&lt;6,"",(W324-Z324)/SQRT(((V324-1)*X324^2+(Y324-1)*AA324^2)/(V324+Y324-2))*AD324),IF(AB324="t",AC324*SQRT(1/V324+1/Y324)*AD324,IF(AB324="F",SQRT(AC324)*SQRT(1/V324+1/Y324)*AD324,IF(AB324="z",2*(AC324/SQRT(V324+Y324))/SQRT(1-(AC324/SQRT(V324+Y324))^2)*AD324,IF(AB324="t_paired",AC324/SQRT(V324)*AD324,""))))),"")</f>
        <v>0.339422116651066</v>
      </c>
      <c r="AF324" s="7" t="n">
        <f aca="false">IF(AE324="","",IF(AB324="t_paired",1-3/(4*(V324-1)-1),1-3/(4*(V324+Y324)-9)))</f>
        <v>0.986046511627907</v>
      </c>
      <c r="AG324" s="7" t="n">
        <f aca="false">IF(AE324="","",AE324*AF324)</f>
        <v>0.334685994093144</v>
      </c>
      <c r="AH324" s="7" t="n">
        <f aca="false">IF(AG324="","",IF(AB324="t_paired",1/V324+AG324^2/(2*V324),(V324+Y324)/(V324*Y324)+AG324^2/(2*(V324+Y324))))</f>
        <v>0.0725199270384599</v>
      </c>
      <c r="AI324" s="7" t="n">
        <f aca="false">IF(AH324="","",SQRT(AH324))</f>
        <v>0.26929524139587</v>
      </c>
      <c r="AJ324" s="7" t="n">
        <f aca="false">IF(AI324="","",AG324-1.96*AI324)</f>
        <v>-0.193132679042761</v>
      </c>
      <c r="AK324" s="7" t="n">
        <f aca="false">IF(AI324="","",AG324+1.96*AI324)</f>
        <v>0.862504667229049</v>
      </c>
      <c r="AL324" s="7" t="n">
        <f aca="false">IF(AI324="","",AG324/AI324)</f>
        <v>1.24282179053119</v>
      </c>
      <c r="AM324" s="8" t="n">
        <f aca="false">IF(AL324="","",2*(1-NORMSDIST(ABS(AL324))))</f>
        <v>0.213933510844865</v>
      </c>
      <c r="AN324" s="9" t="n">
        <f aca="false">IF(COUNT(V324)=0,"",IF(AB324="t_paired",V324,V324+N(Y324)))</f>
        <v>56</v>
      </c>
      <c r="AO324" s="7" t="n">
        <f aca="false">IF(AH324="","",1/AH324)</f>
        <v>13.7893133768552</v>
      </c>
      <c r="AP324" s="5" t="s">
        <v>100</v>
      </c>
      <c r="AQ324" s="5" t="s">
        <v>441</v>
      </c>
      <c r="AR324" s="5"/>
      <c r="AS324" s="9" t="n">
        <f aca="false">IF(AND(AP324="Y",ISNUMBER(AO324)),AO324,0)</f>
        <v>0</v>
      </c>
      <c r="AT324" s="7" t="n">
        <f aca="false">IF(AS324&gt;0,AS324*AG324,0)</f>
        <v>0</v>
      </c>
      <c r="AU324" s="7" t="n">
        <f aca="false">IF(AS324&gt;0,AS324*AG324^2,0)</f>
        <v>0</v>
      </c>
      <c r="AV324" s="9" t="n">
        <f aca="false">IF(AS324&gt;0,AS324^2,0)</f>
        <v>0</v>
      </c>
      <c r="AW324" s="7" t="n">
        <f aca="false">IF(AS324&gt;0,AG324,0)</f>
        <v>0</v>
      </c>
      <c r="AX324" s="7" t="n">
        <f aca="false">IF(AS324&gt;0,AH324,1)</f>
        <v>1</v>
      </c>
    </row>
    <row r="325" customFormat="false" ht="15" hidden="false" customHeight="false" outlineLevel="0" collapsed="false">
      <c r="A325" s="5" t="s">
        <v>1034</v>
      </c>
      <c r="B325" s="5" t="s">
        <v>1028</v>
      </c>
      <c r="C325" s="5" t="s">
        <v>1029</v>
      </c>
      <c r="D325" s="5" t="n">
        <v>2025</v>
      </c>
      <c r="E325" s="5" t="s">
        <v>221</v>
      </c>
      <c r="F325" s="5" t="s">
        <v>750</v>
      </c>
      <c r="G325" s="5" t="s">
        <v>395</v>
      </c>
      <c r="H325" s="5" t="s">
        <v>74</v>
      </c>
      <c r="I325" s="5" t="s">
        <v>207</v>
      </c>
      <c r="J325" s="5" t="s">
        <v>189</v>
      </c>
      <c r="K325" s="5" t="s">
        <v>163</v>
      </c>
      <c r="L325" s="5" t="s">
        <v>164</v>
      </c>
      <c r="M325" s="5"/>
      <c r="N325" s="5"/>
      <c r="O325" s="5" t="s">
        <v>190</v>
      </c>
      <c r="P325" s="11" t="s">
        <v>113</v>
      </c>
      <c r="Q325" s="11" t="s">
        <v>425</v>
      </c>
      <c r="R325" s="5"/>
      <c r="S325" s="11" t="s">
        <v>1033</v>
      </c>
      <c r="T325" s="5"/>
      <c r="U325" s="11" t="s">
        <v>86</v>
      </c>
      <c r="V325" s="5" t="n">
        <v>29</v>
      </c>
      <c r="W325" s="5" t="n">
        <v>3.37</v>
      </c>
      <c r="X325" s="5" t="n">
        <v>0.43</v>
      </c>
      <c r="Y325" s="5" t="n">
        <v>27</v>
      </c>
      <c r="Z325" s="5" t="n">
        <v>3.06</v>
      </c>
      <c r="AA325" s="5" t="n">
        <v>0.59</v>
      </c>
      <c r="AB325" s="5" t="s">
        <v>99</v>
      </c>
      <c r="AC325" s="5"/>
      <c r="AD325" s="5" t="n">
        <v>1</v>
      </c>
      <c r="AE325" s="7" t="n">
        <f aca="false">IFERROR(IF(AB325="MSD",IF(COUNT(V325,W325,X325,Y325,Z325,AA325)&lt;6,"",(W325-Z325)/SQRT(((V325-1)*X325^2+(Y325-1)*AA325^2)/(V325+Y325-2))*AD325),IF(AB325="t",AC325*SQRT(1/V325+1/Y325)*AD325,IF(AB325="F",SQRT(AC325)*SQRT(1/V325+1/Y325)*AD325,IF(AB325="z",2*(AC325/SQRT(V325+Y325))/SQRT(1-(AC325/SQRT(V325+Y325))^2)*AD325,IF(AB325="t_paired",AC325/SQRT(V325)*AD325,""))))),"")</f>
        <v>0.60393430300661</v>
      </c>
      <c r="AF325" s="7" t="n">
        <f aca="false">IF(AE325="","",IF(AB325="t_paired",1-3/(4*(V325-1)-1),1-3/(4*(V325+Y325)-9)))</f>
        <v>0.986046511627907</v>
      </c>
      <c r="AG325" s="7" t="n">
        <f aca="false">IF(AE325="","",AE325*AF325)</f>
        <v>0.595507312732099</v>
      </c>
      <c r="AH325" s="7" t="n">
        <f aca="false">IF(AG325="","",IF(AB325="t_paired",1/V325+AG325^2/(2*V325),(V325+Y325)/(V325*Y325)+AG325^2/(2*(V325+Y325))))</f>
        <v>0.0746861256534178</v>
      </c>
      <c r="AI325" s="7" t="n">
        <f aca="false">IF(AH325="","",SQRT(AH325))</f>
        <v>0.273287624405896</v>
      </c>
      <c r="AJ325" s="7" t="n">
        <f aca="false">IF(AI325="","",AG325-1.96*AI325)</f>
        <v>0.0598635688965437</v>
      </c>
      <c r="AK325" s="7" t="n">
        <f aca="false">IF(AI325="","",AG325+1.96*AI325)</f>
        <v>1.13115105656765</v>
      </c>
      <c r="AL325" s="7" t="n">
        <f aca="false">IF(AI325="","",AG325/AI325)</f>
        <v>2.17904968813236</v>
      </c>
      <c r="AM325" s="8" t="n">
        <f aca="false">IF(AL325="","",2*(1-NORMSDIST(ABS(AL325))))</f>
        <v>0.0293279772059964</v>
      </c>
      <c r="AN325" s="9" t="n">
        <f aca="false">IF(COUNT(V325)=0,"",IF(AB325="t_paired",V325,V325+N(Y325)))</f>
        <v>56</v>
      </c>
      <c r="AO325" s="7" t="n">
        <f aca="false">IF(AH325="","",1/AH325)</f>
        <v>13.3893677205927</v>
      </c>
      <c r="AP325" s="5" t="s">
        <v>88</v>
      </c>
      <c r="AQ325" s="5" t="s">
        <v>441</v>
      </c>
      <c r="AR325" s="5"/>
      <c r="AS325" s="7" t="n">
        <f aca="false">IF(AND(AP325="Y",ISNUMBER(AO325)),AO325,0)</f>
        <v>13.3893677205927</v>
      </c>
      <c r="AT325" s="7" t="n">
        <f aca="false">IF(AS325&gt;0,AS325*AG325,0)</f>
        <v>7.97346639047204</v>
      </c>
      <c r="AU325" s="7" t="n">
        <f aca="false">IF(AS325&gt;0,AS325*AG325^2,0)</f>
        <v>4.74825754334971</v>
      </c>
      <c r="AV325" s="9" t="n">
        <f aca="false">IF(AS325&gt;0,AS325^2,0)</f>
        <v>179.275167957249</v>
      </c>
      <c r="AW325" s="7" t="n">
        <f aca="false">IF(AS325&gt;0,AG325,0)</f>
        <v>0.595507312732099</v>
      </c>
      <c r="AX325" s="7" t="n">
        <f aca="false">IF(AS325&gt;0,AH325,1)</f>
        <v>0.0746861256534178</v>
      </c>
    </row>
    <row r="326" customFormat="false" ht="15" hidden="false" customHeight="false" outlineLevel="0" collapsed="false">
      <c r="A326" s="5" t="s">
        <v>1035</v>
      </c>
      <c r="B326" s="5" t="s">
        <v>1036</v>
      </c>
      <c r="C326" s="5" t="s">
        <v>1037</v>
      </c>
      <c r="D326" s="5" t="n">
        <v>2025</v>
      </c>
      <c r="E326" s="5" t="s">
        <v>221</v>
      </c>
      <c r="F326" s="5" t="s">
        <v>173</v>
      </c>
      <c r="G326" s="5" t="s">
        <v>160</v>
      </c>
      <c r="H326" s="5" t="s">
        <v>131</v>
      </c>
      <c r="I326" s="5" t="s">
        <v>247</v>
      </c>
      <c r="J326" s="5" t="s">
        <v>162</v>
      </c>
      <c r="K326" s="5" t="s">
        <v>163</v>
      </c>
      <c r="L326" s="5" t="s">
        <v>164</v>
      </c>
      <c r="M326" s="5" t="s">
        <v>1038</v>
      </c>
      <c r="N326" s="5" t="n">
        <v>90</v>
      </c>
      <c r="O326" s="5" t="s">
        <v>190</v>
      </c>
      <c r="P326" s="10" t="s">
        <v>82</v>
      </c>
      <c r="Q326" s="10" t="s">
        <v>83</v>
      </c>
      <c r="R326" s="5"/>
      <c r="S326" s="10" t="s">
        <v>1039</v>
      </c>
      <c r="T326" s="5" t="s">
        <v>903</v>
      </c>
      <c r="U326" s="10" t="s">
        <v>98</v>
      </c>
      <c r="V326" s="5" t="n">
        <v>72</v>
      </c>
      <c r="W326" s="5" t="n">
        <v>37.81</v>
      </c>
      <c r="X326" s="5" t="n">
        <v>4.752</v>
      </c>
      <c r="Y326" s="5" t="n">
        <v>75</v>
      </c>
      <c r="Z326" s="5" t="n">
        <v>37.97</v>
      </c>
      <c r="AA326" s="5" t="n">
        <v>4.907</v>
      </c>
      <c r="AB326" s="5" t="s">
        <v>99</v>
      </c>
      <c r="AC326" s="5"/>
      <c r="AD326" s="5" t="n">
        <v>1</v>
      </c>
      <c r="AE326" s="7" t="n">
        <f aca="false">IFERROR(IF(AB326="MSD",IF(COUNT(V326,W326,X326,Y326,Z326,AA326)&lt;6,"",(W326-Z326)/SQRT(((V326-1)*X326^2+(Y326-1)*AA326^2)/(V326+Y326-2))*AD326),IF(AB326="t",AC326*SQRT(1/V326+1/Y326)*AD326,IF(AB326="F",SQRT(AC326)*SQRT(1/V326+1/Y326)*AD326,IF(AB326="z",2*(AC326/SQRT(V326+Y326))/SQRT(1-(AC326/SQRT(V326+Y326))^2)*AD326,IF(AB326="t_paired",AC326/SQRT(V326)*AD326,""))))),"")</f>
        <v>-0.0331144690093949</v>
      </c>
      <c r="AF326" s="7" t="n">
        <f aca="false">IF(AE326="","",IF(AB326="t_paired",1-3/(4*(V326-1)-1),1-3/(4*(V326+Y326)-9)))</f>
        <v>0.994818652849741</v>
      </c>
      <c r="AG326" s="7" t="n">
        <f aca="false">IF(AE326="","",AE326*AF326)</f>
        <v>-0.0329428914497608</v>
      </c>
      <c r="AH326" s="7" t="n">
        <f aca="false">IF(AG326="","",IF(AB326="t_paired",1/V326+AG326^2/(2*V326),(V326+Y326)/(V326*Y326)+AG326^2/(2*(V326+Y326))))</f>
        <v>0.0272259134946612</v>
      </c>
      <c r="AI326" s="7" t="n">
        <f aca="false">IF(AH326="","",SQRT(AH326))</f>
        <v>0.16500276814242</v>
      </c>
      <c r="AJ326" s="7" t="n">
        <f aca="false">IF(AI326="","",AG326-1.96*AI326)</f>
        <v>-0.356348317008904</v>
      </c>
      <c r="AK326" s="7" t="n">
        <f aca="false">IF(AI326="","",AG326+1.96*AI326)</f>
        <v>0.290462534109383</v>
      </c>
      <c r="AL326" s="7" t="n">
        <f aca="false">IF(AI326="","",AG326/AI326)</f>
        <v>-0.199650538112952</v>
      </c>
      <c r="AM326" s="8" t="n">
        <f aca="false">IF(AL326="","",2*(1-NORMSDIST(ABS(AL326))))</f>
        <v>0.841753899703069</v>
      </c>
      <c r="AN326" s="9" t="n">
        <f aca="false">IF(COUNT(V326)=0,"",IF(AB326="t_paired",V326,V326+N(Y326)))</f>
        <v>147</v>
      </c>
      <c r="AO326" s="7" t="n">
        <f aca="false">IF(AH326="","",1/AH326)</f>
        <v>36.7297134105745</v>
      </c>
      <c r="AP326" s="5" t="s">
        <v>100</v>
      </c>
      <c r="AQ326" s="5" t="s">
        <v>178</v>
      </c>
      <c r="AR326" s="5" t="s">
        <v>1040</v>
      </c>
      <c r="AS326" s="9" t="n">
        <f aca="false">IF(AND(AP326="Y",ISNUMBER(AO326)),AO326,0)</f>
        <v>0</v>
      </c>
      <c r="AT326" s="7" t="n">
        <f aca="false">IF(AS326&gt;0,AS326*AG326,0)</f>
        <v>0</v>
      </c>
      <c r="AU326" s="7" t="n">
        <f aca="false">IF(AS326&gt;0,AS326*AG326^2,0)</f>
        <v>0</v>
      </c>
      <c r="AV326" s="9" t="n">
        <f aca="false">IF(AS326&gt;0,AS326^2,0)</f>
        <v>0</v>
      </c>
      <c r="AW326" s="7" t="n">
        <f aca="false">IF(AS326&gt;0,AG326,0)</f>
        <v>0</v>
      </c>
      <c r="AX326" s="7" t="n">
        <f aca="false">IF(AS326&gt;0,AH326,1)</f>
        <v>1</v>
      </c>
    </row>
    <row r="327" customFormat="false" ht="15" hidden="false" customHeight="false" outlineLevel="0" collapsed="false">
      <c r="A327" s="5" t="s">
        <v>1041</v>
      </c>
      <c r="B327" s="5" t="s">
        <v>1036</v>
      </c>
      <c r="C327" s="5" t="s">
        <v>1037</v>
      </c>
      <c r="D327" s="5" t="n">
        <v>2025</v>
      </c>
      <c r="E327" s="5" t="s">
        <v>221</v>
      </c>
      <c r="F327" s="5" t="s">
        <v>173</v>
      </c>
      <c r="G327" s="5" t="s">
        <v>160</v>
      </c>
      <c r="H327" s="5" t="s">
        <v>131</v>
      </c>
      <c r="I327" s="5" t="s">
        <v>247</v>
      </c>
      <c r="J327" s="5" t="s">
        <v>162</v>
      </c>
      <c r="K327" s="5" t="s">
        <v>163</v>
      </c>
      <c r="L327" s="5" t="s">
        <v>164</v>
      </c>
      <c r="M327" s="5" t="s">
        <v>1038</v>
      </c>
      <c r="N327" s="5" t="n">
        <v>90</v>
      </c>
      <c r="O327" s="5" t="s">
        <v>190</v>
      </c>
      <c r="P327" s="6" t="s">
        <v>82</v>
      </c>
      <c r="Q327" s="6" t="s">
        <v>83</v>
      </c>
      <c r="R327" s="5"/>
      <c r="S327" s="6" t="s">
        <v>1039</v>
      </c>
      <c r="T327" s="5" t="s">
        <v>903</v>
      </c>
      <c r="U327" s="6" t="s">
        <v>86</v>
      </c>
      <c r="V327" s="5" t="n">
        <v>72</v>
      </c>
      <c r="W327" s="5" t="n">
        <v>83.33</v>
      </c>
      <c r="X327" s="5" t="n">
        <v>3.968</v>
      </c>
      <c r="Y327" s="5" t="n">
        <v>75</v>
      </c>
      <c r="Z327" s="5" t="n">
        <v>37.44</v>
      </c>
      <c r="AA327" s="5" t="n">
        <v>4.878</v>
      </c>
      <c r="AB327" s="5" t="s">
        <v>99</v>
      </c>
      <c r="AC327" s="5"/>
      <c r="AD327" s="5" t="n">
        <v>1</v>
      </c>
      <c r="AE327" s="7" t="n">
        <f aca="false">IFERROR(IF(AB327="MSD",IF(COUNT(V327,W327,X327,Y327,Z327,AA327)&lt;6,"",(W327-Z327)/SQRT(((V327-1)*X327^2+(Y327-1)*AA327^2)/(V327+Y327-2))*AD327),IF(AB327="t",AC327*SQRT(1/V327+1/Y327)*AD327,IF(AB327="F",SQRT(AC327)*SQRT(1/V327+1/Y327)*AD327,IF(AB327="z",2*(AC327/SQRT(V327+Y327))/SQRT(1-(AC327/SQRT(V327+Y327))^2)*AD327,IF(AB327="t_paired",AC327/SQRT(V327)*AD327,""))))),"")</f>
        <v>10.2991761974384</v>
      </c>
      <c r="AF327" s="7" t="n">
        <f aca="false">IF(AE327="","",IF(AB327="t_paired",1-3/(4*(V327-1)-1),1-3/(4*(V327+Y327)-9)))</f>
        <v>0.994818652849741</v>
      </c>
      <c r="AG327" s="7" t="n">
        <f aca="false">IF(AE327="","",AE327*AF327)</f>
        <v>10.2458125901978</v>
      </c>
      <c r="AH327" s="7" t="n">
        <f aca="false">IF(AG327="","",IF(AB327="t_paired",1/V327+AG327^2/(2*V327),(V327+Y327)/(V327*Y327)+AG327^2/(2*(V327+Y327))))</f>
        <v>0.384285744784996</v>
      </c>
      <c r="AI327" s="7" t="n">
        <f aca="false">IF(AH327="","",SQRT(AH327))</f>
        <v>0.61990785184977</v>
      </c>
      <c r="AJ327" s="7" t="n">
        <f aca="false">IF(AI327="","",AG327-1.96*AI327)</f>
        <v>9.03079320057224</v>
      </c>
      <c r="AK327" s="7" t="n">
        <f aca="false">IF(AI327="","",AG327+1.96*AI327)</f>
        <v>11.4608319798233</v>
      </c>
      <c r="AL327" s="7" t="n">
        <f aca="false">IF(AI327="","",AG327/AI327)</f>
        <v>16.5279606632258</v>
      </c>
      <c r="AM327" s="8" t="n">
        <f aca="false">IF(AL327="","",2*(1-NORMSDIST(ABS(AL327))))</f>
        <v>0</v>
      </c>
      <c r="AN327" s="9" t="n">
        <f aca="false">IF(COUNT(V327)=0,"",IF(AB327="t_paired",V327,V327+N(Y327)))</f>
        <v>147</v>
      </c>
      <c r="AO327" s="7" t="n">
        <f aca="false">IF(AH327="","",1/AH327)</f>
        <v>2.60223027674235</v>
      </c>
      <c r="AP327" s="5" t="s">
        <v>88</v>
      </c>
      <c r="AQ327" s="5" t="s">
        <v>178</v>
      </c>
      <c r="AR327" s="5" t="s">
        <v>1040</v>
      </c>
      <c r="AS327" s="7" t="n">
        <f aca="false">IF(AND(AP327="Y",ISNUMBER(AO327)),AO327,0)</f>
        <v>2.60223027674235</v>
      </c>
      <c r="AT327" s="7" t="n">
        <f aca="false">IF(AS327&gt;0,AS327*AG327,0)</f>
        <v>26.6619637320406</v>
      </c>
      <c r="AU327" s="7" t="n">
        <f aca="false">IF(AS327&gt;0,AS327*AG327^2,0)</f>
        <v>273.173483685139</v>
      </c>
      <c r="AV327" s="9" t="n">
        <f aca="false">IF(AS327&gt;0,AS327^2,0)</f>
        <v>6.77160241319456</v>
      </c>
      <c r="AW327" s="7" t="n">
        <f aca="false">IF(AS327&gt;0,AG327,0)</f>
        <v>10.2458125901978</v>
      </c>
      <c r="AX327" s="7" t="n">
        <f aca="false">IF(AS327&gt;0,AH327,1)</f>
        <v>0.384285744784996</v>
      </c>
    </row>
    <row r="328" customFormat="false" ht="15" hidden="false" customHeight="false" outlineLevel="0" collapsed="false">
      <c r="A328" s="5" t="s">
        <v>1042</v>
      </c>
      <c r="B328" s="5" t="s">
        <v>1036</v>
      </c>
      <c r="C328" s="5" t="s">
        <v>1037</v>
      </c>
      <c r="D328" s="5" t="n">
        <v>2025</v>
      </c>
      <c r="E328" s="5" t="s">
        <v>221</v>
      </c>
      <c r="F328" s="5" t="s">
        <v>173</v>
      </c>
      <c r="G328" s="5" t="s">
        <v>160</v>
      </c>
      <c r="H328" s="5" t="s">
        <v>131</v>
      </c>
      <c r="I328" s="5" t="s">
        <v>247</v>
      </c>
      <c r="J328" s="5" t="s">
        <v>162</v>
      </c>
      <c r="K328" s="5" t="s">
        <v>163</v>
      </c>
      <c r="L328" s="5" t="s">
        <v>164</v>
      </c>
      <c r="M328" s="5" t="s">
        <v>1038</v>
      </c>
      <c r="N328" s="5" t="n">
        <v>90</v>
      </c>
      <c r="O328" s="5" t="s">
        <v>190</v>
      </c>
      <c r="P328" s="10" t="s">
        <v>82</v>
      </c>
      <c r="Q328" s="10" t="s">
        <v>83</v>
      </c>
      <c r="R328" s="5"/>
      <c r="S328" s="10" t="s">
        <v>1043</v>
      </c>
      <c r="T328" s="5"/>
      <c r="U328" s="10" t="s">
        <v>98</v>
      </c>
      <c r="V328" s="5" t="n">
        <v>73</v>
      </c>
      <c r="W328" s="5" t="n">
        <v>37.64</v>
      </c>
      <c r="X328" s="5" t="n">
        <v>4.797</v>
      </c>
      <c r="Y328" s="5" t="n">
        <v>75</v>
      </c>
      <c r="Z328" s="5" t="n">
        <v>37.97</v>
      </c>
      <c r="AA328" s="5" t="n">
        <v>4.907</v>
      </c>
      <c r="AB328" s="5" t="s">
        <v>99</v>
      </c>
      <c r="AC328" s="5"/>
      <c r="AD328" s="5" t="n">
        <v>1</v>
      </c>
      <c r="AE328" s="7" t="n">
        <f aca="false">IFERROR(IF(AB328="MSD",IF(COUNT(V328,W328,X328,Y328,Z328,AA328)&lt;6,"",(W328-Z328)/SQRT(((V328-1)*X328^2+(Y328-1)*AA328^2)/(V328+Y328-2))*AD328),IF(AB328="t",AC328*SQRT(1/V328+1/Y328)*AD328,IF(AB328="F",SQRT(AC328)*SQRT(1/V328+1/Y328)*AD328,IF(AB328="z",2*(AC328/SQRT(V328+Y328))/SQRT(1-(AC328/SQRT(V328+Y328))^2)*AD328,IF(AB328="t_paired",AC328/SQRT(V328)*AD328,""))))),"")</f>
        <v>-0.0679982645251001</v>
      </c>
      <c r="AF328" s="7" t="n">
        <f aca="false">IF(AE328="","",IF(AB328="t_paired",1-3/(4*(V328-1)-1),1-3/(4*(V328+Y328)-9)))</f>
        <v>0.994854202401372</v>
      </c>
      <c r="AG328" s="7" t="n">
        <f aca="false">IF(AE328="","",AE328*AF328)</f>
        <v>-0.067648359218796</v>
      </c>
      <c r="AH328" s="7" t="n">
        <f aca="false">IF(AG328="","",IF(AB328="t_paired",1/V328+AG328^2/(2*V328),(V328+Y328)/(V328*Y328)+AG328^2/(2*(V328+Y328))))</f>
        <v>0.0270474239449987</v>
      </c>
      <c r="AI328" s="7" t="n">
        <f aca="false">IF(AH328="","",SQRT(AH328))</f>
        <v>0.164461010409758</v>
      </c>
      <c r="AJ328" s="7" t="n">
        <f aca="false">IF(AI328="","",AG328-1.96*AI328)</f>
        <v>-0.389991939621923</v>
      </c>
      <c r="AK328" s="7" t="n">
        <f aca="false">IF(AI328="","",AG328+1.96*AI328)</f>
        <v>0.254695221184331</v>
      </c>
      <c r="AL328" s="7" t="n">
        <f aca="false">IF(AI328="","",AG328/AI328)</f>
        <v>-0.411333720072913</v>
      </c>
      <c r="AM328" s="8" t="n">
        <f aca="false">IF(AL328="","",2*(1-NORMSDIST(ABS(AL328))))</f>
        <v>0.680827847152881</v>
      </c>
      <c r="AN328" s="9" t="n">
        <f aca="false">IF(COUNT(V328)=0,"",IF(AB328="t_paired",V328,V328+N(Y328)))</f>
        <v>148</v>
      </c>
      <c r="AO328" s="7" t="n">
        <f aca="false">IF(AH328="","",1/AH328)</f>
        <v>36.9720976767885</v>
      </c>
      <c r="AP328" s="5" t="s">
        <v>100</v>
      </c>
      <c r="AQ328" s="5" t="s">
        <v>210</v>
      </c>
      <c r="AR328" s="5"/>
      <c r="AS328" s="9" t="n">
        <f aca="false">IF(AND(AP328="Y",ISNUMBER(AO328)),AO328,0)</f>
        <v>0</v>
      </c>
      <c r="AT328" s="7" t="n">
        <f aca="false">IF(AS328&gt;0,AS328*AG328,0)</f>
        <v>0</v>
      </c>
      <c r="AU328" s="7" t="n">
        <f aca="false">IF(AS328&gt;0,AS328*AG328^2,0)</f>
        <v>0</v>
      </c>
      <c r="AV328" s="9" t="n">
        <f aca="false">IF(AS328&gt;0,AS328^2,0)</f>
        <v>0</v>
      </c>
      <c r="AW328" s="7" t="n">
        <f aca="false">IF(AS328&gt;0,AG328,0)</f>
        <v>0</v>
      </c>
      <c r="AX328" s="7" t="n">
        <f aca="false">IF(AS328&gt;0,AH328,1)</f>
        <v>1</v>
      </c>
    </row>
    <row r="329" customFormat="false" ht="15" hidden="false" customHeight="false" outlineLevel="0" collapsed="false">
      <c r="A329" s="5" t="s">
        <v>1044</v>
      </c>
      <c r="B329" s="5" t="s">
        <v>1036</v>
      </c>
      <c r="C329" s="5" t="s">
        <v>1037</v>
      </c>
      <c r="D329" s="5" t="n">
        <v>2025</v>
      </c>
      <c r="E329" s="5" t="s">
        <v>221</v>
      </c>
      <c r="F329" s="5" t="s">
        <v>173</v>
      </c>
      <c r="G329" s="5" t="s">
        <v>160</v>
      </c>
      <c r="H329" s="5" t="s">
        <v>131</v>
      </c>
      <c r="I329" s="5" t="s">
        <v>247</v>
      </c>
      <c r="J329" s="5" t="s">
        <v>162</v>
      </c>
      <c r="K329" s="5" t="s">
        <v>163</v>
      </c>
      <c r="L329" s="5" t="s">
        <v>164</v>
      </c>
      <c r="M329" s="5" t="s">
        <v>1038</v>
      </c>
      <c r="N329" s="5" t="n">
        <v>90</v>
      </c>
      <c r="O329" s="5" t="s">
        <v>190</v>
      </c>
      <c r="P329" s="6" t="s">
        <v>82</v>
      </c>
      <c r="Q329" s="6" t="s">
        <v>83</v>
      </c>
      <c r="R329" s="5"/>
      <c r="S329" s="6" t="s">
        <v>1043</v>
      </c>
      <c r="T329" s="5"/>
      <c r="U329" s="6" t="s">
        <v>86</v>
      </c>
      <c r="V329" s="5" t="n">
        <v>73</v>
      </c>
      <c r="W329" s="5" t="n">
        <v>65.08</v>
      </c>
      <c r="X329" s="5" t="n">
        <v>6.353</v>
      </c>
      <c r="Y329" s="5" t="n">
        <v>75</v>
      </c>
      <c r="Z329" s="5" t="n">
        <v>37.44</v>
      </c>
      <c r="AA329" s="5" t="n">
        <v>4.878</v>
      </c>
      <c r="AB329" s="5" t="s">
        <v>99</v>
      </c>
      <c r="AC329" s="5"/>
      <c r="AD329" s="5" t="n">
        <v>1</v>
      </c>
      <c r="AE329" s="7" t="n">
        <f aca="false">IFERROR(IF(AB329="MSD",IF(COUNT(V329,W329,X329,Y329,Z329,AA329)&lt;6,"",(W329-Z329)/SQRT(((V329-1)*X329^2+(Y329-1)*AA329^2)/(V329+Y329-2))*AD329),IF(AB329="t",AC329*SQRT(1/V329+1/Y329)*AD329,IF(AB329="F",SQRT(AC329)*SQRT(1/V329+1/Y329)*AD329,IF(AB329="z",2*(AC329/SQRT(V329+Y329))/SQRT(1-(AC329/SQRT(V329+Y329))^2)*AD329,IF(AB329="t_paired",AC329/SQRT(V329)*AD329,""))))),"")</f>
        <v>4.88883700099713</v>
      </c>
      <c r="AF329" s="7" t="n">
        <f aca="false">IF(AE329="","",IF(AB329="t_paired",1-3/(4*(V329-1)-1),1-3/(4*(V329+Y329)-9)))</f>
        <v>0.994854202401372</v>
      </c>
      <c r="AG329" s="7" t="n">
        <f aca="false">IF(AE329="","",AE329*AF329)</f>
        <v>4.86368003529731</v>
      </c>
      <c r="AH329" s="7" t="n">
        <f aca="false">IF(AG329="","",IF(AB329="t_paired",1/V329+AG329^2/(2*V329),(V329+Y329)/(V329*Y329)+AG329^2/(2*(V329+Y329))))</f>
        <v>0.106948799570825</v>
      </c>
      <c r="AI329" s="7" t="n">
        <f aca="false">IF(AH329="","",SQRT(AH329))</f>
        <v>0.327030273171805</v>
      </c>
      <c r="AJ329" s="7" t="n">
        <f aca="false">IF(AI329="","",AG329-1.96*AI329)</f>
        <v>4.22270069988058</v>
      </c>
      <c r="AK329" s="7" t="n">
        <f aca="false">IF(AI329="","",AG329+1.96*AI329)</f>
        <v>5.50465937071405</v>
      </c>
      <c r="AL329" s="7" t="n">
        <f aca="false">IF(AI329="","",AG329/AI329)</f>
        <v>14.8722623998243</v>
      </c>
      <c r="AM329" s="8" t="n">
        <f aca="false">IF(AL329="","",2*(1-NORMSDIST(ABS(AL329))))</f>
        <v>0</v>
      </c>
      <c r="AN329" s="9" t="n">
        <f aca="false">IF(COUNT(V329)=0,"",IF(AB329="t_paired",V329,V329+N(Y329)))</f>
        <v>148</v>
      </c>
      <c r="AO329" s="7" t="n">
        <f aca="false">IF(AH329="","",1/AH329)</f>
        <v>9.35026857723414</v>
      </c>
      <c r="AP329" s="5" t="s">
        <v>88</v>
      </c>
      <c r="AQ329" s="5" t="s">
        <v>210</v>
      </c>
      <c r="AR329" s="5"/>
      <c r="AS329" s="7" t="n">
        <f aca="false">IF(AND(AP329="Y",ISNUMBER(AO329)),AO329,0)</f>
        <v>9.35026857723414</v>
      </c>
      <c r="AT329" s="7" t="n">
        <f aca="false">IF(AS329&gt;0,AS329*AG329,0)</f>
        <v>45.4767146037615</v>
      </c>
      <c r="AU329" s="7" t="n">
        <f aca="false">IF(AS329&gt;0,AS329*AG329^2,0)</f>
        <v>221.184188889229</v>
      </c>
      <c r="AV329" s="9" t="n">
        <f aca="false">IF(AS329&gt;0,AS329^2,0)</f>
        <v>87.4275224664121</v>
      </c>
      <c r="AW329" s="7" t="n">
        <f aca="false">IF(AS329&gt;0,AG329,0)</f>
        <v>4.86368003529731</v>
      </c>
      <c r="AX329" s="7" t="n">
        <f aca="false">IF(AS329&gt;0,AH329,1)</f>
        <v>0.106948799570825</v>
      </c>
    </row>
    <row r="330" customFormat="false" ht="15" hidden="false" customHeight="false" outlineLevel="0" collapsed="false">
      <c r="A330" s="5" t="s">
        <v>1045</v>
      </c>
      <c r="B330" s="5" t="s">
        <v>1036</v>
      </c>
      <c r="C330" s="5" t="s">
        <v>1037</v>
      </c>
      <c r="D330" s="5" t="n">
        <v>2025</v>
      </c>
      <c r="E330" s="5" t="s">
        <v>221</v>
      </c>
      <c r="F330" s="5" t="s">
        <v>173</v>
      </c>
      <c r="G330" s="5" t="s">
        <v>160</v>
      </c>
      <c r="H330" s="5" t="s">
        <v>131</v>
      </c>
      <c r="I330" s="5" t="s">
        <v>247</v>
      </c>
      <c r="J330" s="5" t="s">
        <v>162</v>
      </c>
      <c r="K330" s="5" t="s">
        <v>163</v>
      </c>
      <c r="L330" s="5" t="s">
        <v>164</v>
      </c>
      <c r="M330" s="5" t="s">
        <v>1038</v>
      </c>
      <c r="N330" s="5" t="n">
        <v>90</v>
      </c>
      <c r="O330" s="5" t="s">
        <v>190</v>
      </c>
      <c r="P330" s="10" t="s">
        <v>82</v>
      </c>
      <c r="Q330" s="10" t="s">
        <v>83</v>
      </c>
      <c r="R330" s="5"/>
      <c r="S330" s="10" t="s">
        <v>1046</v>
      </c>
      <c r="T330" s="5"/>
      <c r="U330" s="10" t="s">
        <v>98</v>
      </c>
      <c r="V330" s="5" t="n">
        <v>75</v>
      </c>
      <c r="W330" s="5" t="n">
        <v>37.52</v>
      </c>
      <c r="X330" s="5" t="n">
        <v>5.084</v>
      </c>
      <c r="Y330" s="5" t="n">
        <v>75</v>
      </c>
      <c r="Z330" s="5" t="n">
        <v>37.97</v>
      </c>
      <c r="AA330" s="5" t="n">
        <v>4.907</v>
      </c>
      <c r="AB330" s="5" t="s">
        <v>99</v>
      </c>
      <c r="AC330" s="5"/>
      <c r="AD330" s="5" t="n">
        <v>1</v>
      </c>
      <c r="AE330" s="7" t="n">
        <f aca="false">IFERROR(IF(AB330="MSD",IF(COUNT(V330,W330,X330,Y330,Z330,AA330)&lt;6,"",(W330-Z330)/SQRT(((V330-1)*X330^2+(Y330-1)*AA330^2)/(V330+Y330-2))*AD330),IF(AB330="t",AC330*SQRT(1/V330+1/Y330)*AD330,IF(AB330="F",SQRT(AC330)*SQRT(1/V330+1/Y330)*AD330,IF(AB330="z",2*(AC330/SQRT(V330+Y330))/SQRT(1-(AC330/SQRT(V330+Y330))^2)*AD330,IF(AB330="t_paired",AC330/SQRT(V330)*AD330,""))))),"")</f>
        <v>-0.0900669401089743</v>
      </c>
      <c r="AF330" s="7" t="n">
        <f aca="false">IF(AE330="","",IF(AB330="t_paired",1-3/(4*(V330-1)-1),1-3/(4*(V330+Y330)-9)))</f>
        <v>0.99492385786802</v>
      </c>
      <c r="AG330" s="7" t="n">
        <f aca="false">IF(AE330="","",AE330*AF330)</f>
        <v>-0.0896097475195886</v>
      </c>
      <c r="AH330" s="7" t="n">
        <f aca="false">IF(AG330="","",IF(AB330="t_paired",1/V330+AG330^2/(2*V330),(V330+Y330)/(V330*Y330)+AG330^2/(2*(V330+Y330))))</f>
        <v>0.0266934330228351</v>
      </c>
      <c r="AI330" s="7" t="n">
        <f aca="false">IF(AH330="","",SQRT(AH330))</f>
        <v>0.16338125052415</v>
      </c>
      <c r="AJ330" s="7" t="n">
        <f aca="false">IF(AI330="","",AG330-1.96*AI330)</f>
        <v>-0.409836998546923</v>
      </c>
      <c r="AK330" s="7" t="n">
        <f aca="false">IF(AI330="","",AG330+1.96*AI330)</f>
        <v>0.230617503507746</v>
      </c>
      <c r="AL330" s="7" t="n">
        <f aca="false">IF(AI330="","",AG330/AI330)</f>
        <v>-0.548470202254591</v>
      </c>
      <c r="AM330" s="8" t="n">
        <f aca="false">IF(AL330="","",2*(1-NORMSDIST(ABS(AL330))))</f>
        <v>0.58336908418519</v>
      </c>
      <c r="AN330" s="9" t="n">
        <f aca="false">IF(COUNT(V330)=0,"",IF(AB330="t_paired",V330,V330+N(Y330)))</f>
        <v>150</v>
      </c>
      <c r="AO330" s="7" t="n">
        <f aca="false">IF(AH330="","",1/AH330)</f>
        <v>37.4623975546549</v>
      </c>
      <c r="AP330" s="5" t="s">
        <v>100</v>
      </c>
      <c r="AQ330" s="5" t="s">
        <v>210</v>
      </c>
      <c r="AR330" s="5"/>
      <c r="AS330" s="9" t="n">
        <f aca="false">IF(AND(AP330="Y",ISNUMBER(AO330)),AO330,0)</f>
        <v>0</v>
      </c>
      <c r="AT330" s="7" t="n">
        <f aca="false">IF(AS330&gt;0,AS330*AG330,0)</f>
        <v>0</v>
      </c>
      <c r="AU330" s="7" t="n">
        <f aca="false">IF(AS330&gt;0,AS330*AG330^2,0)</f>
        <v>0</v>
      </c>
      <c r="AV330" s="9" t="n">
        <f aca="false">IF(AS330&gt;0,AS330^2,0)</f>
        <v>0</v>
      </c>
      <c r="AW330" s="7" t="n">
        <f aca="false">IF(AS330&gt;0,AG330,0)</f>
        <v>0</v>
      </c>
      <c r="AX330" s="7" t="n">
        <f aca="false">IF(AS330&gt;0,AH330,1)</f>
        <v>1</v>
      </c>
    </row>
    <row r="331" customFormat="false" ht="15" hidden="false" customHeight="false" outlineLevel="0" collapsed="false">
      <c r="A331" s="5" t="s">
        <v>1047</v>
      </c>
      <c r="B331" s="5" t="s">
        <v>1036</v>
      </c>
      <c r="C331" s="5" t="s">
        <v>1037</v>
      </c>
      <c r="D331" s="5" t="n">
        <v>2025</v>
      </c>
      <c r="E331" s="5" t="s">
        <v>221</v>
      </c>
      <c r="F331" s="5" t="s">
        <v>173</v>
      </c>
      <c r="G331" s="5" t="s">
        <v>160</v>
      </c>
      <c r="H331" s="5" t="s">
        <v>131</v>
      </c>
      <c r="I331" s="5" t="s">
        <v>247</v>
      </c>
      <c r="J331" s="5" t="s">
        <v>162</v>
      </c>
      <c r="K331" s="5" t="s">
        <v>163</v>
      </c>
      <c r="L331" s="5" t="s">
        <v>164</v>
      </c>
      <c r="M331" s="5" t="s">
        <v>1038</v>
      </c>
      <c r="N331" s="5" t="n">
        <v>90</v>
      </c>
      <c r="O331" s="5" t="s">
        <v>190</v>
      </c>
      <c r="P331" s="6" t="s">
        <v>82</v>
      </c>
      <c r="Q331" s="6" t="s">
        <v>83</v>
      </c>
      <c r="R331" s="5"/>
      <c r="S331" s="6" t="s">
        <v>1046</v>
      </c>
      <c r="T331" s="5"/>
      <c r="U331" s="6" t="s">
        <v>86</v>
      </c>
      <c r="V331" s="5" t="n">
        <v>75</v>
      </c>
      <c r="W331" s="5" t="n">
        <v>63.4</v>
      </c>
      <c r="X331" s="5" t="n">
        <v>5.989</v>
      </c>
      <c r="Y331" s="5" t="n">
        <v>75</v>
      </c>
      <c r="Z331" s="5" t="n">
        <v>37.44</v>
      </c>
      <c r="AA331" s="5" t="n">
        <v>4.878</v>
      </c>
      <c r="AB331" s="5" t="s">
        <v>99</v>
      </c>
      <c r="AC331" s="5"/>
      <c r="AD331" s="5" t="n">
        <v>1</v>
      </c>
      <c r="AE331" s="7" t="n">
        <f aca="false">IFERROR(IF(AB331="MSD",IF(COUNT(V331,W331,X331,Y331,Z331,AA331)&lt;6,"",(W331-Z331)/SQRT(((V331-1)*X331^2+(Y331-1)*AA331^2)/(V331+Y331-2))*AD331),IF(AB331="t",AC331*SQRT(1/V331+1/Y331)*AD331,IF(AB331="F",SQRT(AC331)*SQRT(1/V331+1/Y331)*AD331,IF(AB331="z",2*(AC331/SQRT(V331+Y331))/SQRT(1-(AC331/SQRT(V331+Y331))^2)*AD331,IF(AB331="t_paired",AC331/SQRT(V331)*AD331,""))))),"")</f>
        <v>4.75299244842428</v>
      </c>
      <c r="AF331" s="7" t="n">
        <f aca="false">IF(AE331="","",IF(AB331="t_paired",1-3/(4*(V331-1)-1),1-3/(4*(V331+Y331)-9)))</f>
        <v>0.99492385786802</v>
      </c>
      <c r="AG331" s="7" t="n">
        <f aca="false">IF(AE331="","",AE331*AF331)</f>
        <v>4.72886558320385</v>
      </c>
      <c r="AH331" s="7" t="n">
        <f aca="false">IF(AG331="","",IF(AB331="t_paired",1/V331+AG331^2/(2*V331),(V331+Y331)/(V331*Y331)+AG331^2/(2*(V331+Y331))))</f>
        <v>0.1012072323467</v>
      </c>
      <c r="AI331" s="7" t="n">
        <f aca="false">IF(AH331="","",SQRT(AH331))</f>
        <v>0.318130841552182</v>
      </c>
      <c r="AJ331" s="7" t="n">
        <f aca="false">IF(AI331="","",AG331-1.96*AI331)</f>
        <v>4.10532913376158</v>
      </c>
      <c r="AK331" s="7" t="n">
        <f aca="false">IF(AI331="","",AG331+1.96*AI331)</f>
        <v>5.35240203264613</v>
      </c>
      <c r="AL331" s="7" t="n">
        <f aca="false">IF(AI331="","",AG331/AI331)</f>
        <v>14.8645304558696</v>
      </c>
      <c r="AM331" s="8" t="n">
        <f aca="false">IF(AL331="","",2*(1-NORMSDIST(ABS(AL331))))</f>
        <v>0</v>
      </c>
      <c r="AN331" s="9" t="n">
        <f aca="false">IF(COUNT(V331)=0,"",IF(AB331="t_paired",V331,V331+N(Y331)))</f>
        <v>150</v>
      </c>
      <c r="AO331" s="7" t="n">
        <f aca="false">IF(AH331="","",1/AH331)</f>
        <v>9.88071679081548</v>
      </c>
      <c r="AP331" s="5" t="s">
        <v>88</v>
      </c>
      <c r="AQ331" s="5" t="s">
        <v>210</v>
      </c>
      <c r="AR331" s="5"/>
      <c r="AS331" s="7" t="n">
        <f aca="false">IF(AND(AP331="Y",ISNUMBER(AO331)),AO331,0)</f>
        <v>9.88071679081548</v>
      </c>
      <c r="AT331" s="7" t="n">
        <f aca="false">IF(AS331&gt;0,AS331*AG331,0)</f>
        <v>46.7245815694718</v>
      </c>
      <c r="AU331" s="7" t="n">
        <f aca="false">IF(AS331&gt;0,AS331*AG331^2,0)</f>
        <v>220.954265673476</v>
      </c>
      <c r="AV331" s="9" t="n">
        <f aca="false">IF(AS331&gt;0,AS331^2,0)</f>
        <v>97.628564300303</v>
      </c>
      <c r="AW331" s="7" t="n">
        <f aca="false">IF(AS331&gt;0,AG331,0)</f>
        <v>4.72886558320385</v>
      </c>
      <c r="AX331" s="7" t="n">
        <f aca="false">IF(AS331&gt;0,AH331,1)</f>
        <v>0.1012072323467</v>
      </c>
    </row>
    <row r="332" customFormat="false" ht="15" hidden="false" customHeight="false" outlineLevel="0" collapsed="false">
      <c r="A332" s="5" t="s">
        <v>1048</v>
      </c>
      <c r="B332" s="5" t="s">
        <v>1036</v>
      </c>
      <c r="C332" s="5" t="s">
        <v>1037</v>
      </c>
      <c r="D332" s="5" t="n">
        <v>2025</v>
      </c>
      <c r="E332" s="5" t="s">
        <v>221</v>
      </c>
      <c r="F332" s="5" t="s">
        <v>173</v>
      </c>
      <c r="G332" s="5" t="s">
        <v>160</v>
      </c>
      <c r="H332" s="5" t="s">
        <v>131</v>
      </c>
      <c r="I332" s="5" t="s">
        <v>247</v>
      </c>
      <c r="J332" s="5" t="s">
        <v>162</v>
      </c>
      <c r="K332" s="5" t="s">
        <v>163</v>
      </c>
      <c r="L332" s="5" t="s">
        <v>164</v>
      </c>
      <c r="M332" s="5" t="s">
        <v>1038</v>
      </c>
      <c r="N332" s="5" t="n">
        <v>90</v>
      </c>
      <c r="O332" s="5" t="s">
        <v>190</v>
      </c>
      <c r="P332" s="10" t="s">
        <v>82</v>
      </c>
      <c r="Q332" s="10" t="s">
        <v>191</v>
      </c>
      <c r="R332" s="5"/>
      <c r="S332" s="10" t="s">
        <v>1049</v>
      </c>
      <c r="T332" s="5" t="s">
        <v>903</v>
      </c>
      <c r="U332" s="10" t="s">
        <v>98</v>
      </c>
      <c r="V332" s="5" t="n">
        <v>72</v>
      </c>
      <c r="W332" s="5" t="n">
        <v>32.06</v>
      </c>
      <c r="X332" s="5" t="n">
        <v>4.62</v>
      </c>
      <c r="Y332" s="5" t="n">
        <v>75</v>
      </c>
      <c r="Z332" s="5" t="n">
        <v>33.49</v>
      </c>
      <c r="AA332" s="5" t="n">
        <v>4.533</v>
      </c>
      <c r="AB332" s="5" t="s">
        <v>99</v>
      </c>
      <c r="AC332" s="5"/>
      <c r="AD332" s="5" t="n">
        <v>1</v>
      </c>
      <c r="AE332" s="7" t="n">
        <f aca="false">IFERROR(IF(AB332="MSD",IF(COUNT(V332,W332,X332,Y332,Z332,AA332)&lt;6,"",(W332-Z332)/SQRT(((V332-1)*X332^2+(Y332-1)*AA332^2)/(V332+Y332-2))*AD332),IF(AB332="t",AC332*SQRT(1/V332+1/Y332)*AD332,IF(AB332="F",SQRT(AC332)*SQRT(1/V332+1/Y332)*AD332,IF(AB332="z",2*(AC332/SQRT(V332+Y332))/SQRT(1-(AC332/SQRT(V332+Y332))^2)*AD332,IF(AB332="t_paired",AC332/SQRT(V332)*AD332,""))))),"")</f>
        <v>-0.312513202386614</v>
      </c>
      <c r="AF332" s="7" t="n">
        <f aca="false">IF(AE332="","",IF(AB332="t_paired",1-3/(4*(V332-1)-1),1-3/(4*(V332+Y332)-9)))</f>
        <v>0.994818652849741</v>
      </c>
      <c r="AG332" s="7" t="n">
        <f aca="false">IF(AE332="","",AE332*AF332)</f>
        <v>-0.31089396299601</v>
      </c>
      <c r="AH332" s="7" t="n">
        <f aca="false">IF(AG332="","",IF(AB332="t_paired",1/V332+AG332^2/(2*V332),(V332+Y332)/(V332*Y332)+AG332^2/(2*(V332+Y332))))</f>
        <v>0.0275509809168731</v>
      </c>
      <c r="AI332" s="7" t="n">
        <f aca="false">IF(AH332="","",SQRT(AH332))</f>
        <v>0.165984881591286</v>
      </c>
      <c r="AJ332" s="7" t="n">
        <f aca="false">IF(AI332="","",AG332-1.96*AI332)</f>
        <v>-0.63622433091493</v>
      </c>
      <c r="AK332" s="7" t="n">
        <f aca="false">IF(AI332="","",AG332+1.96*AI332)</f>
        <v>0.0144364049229098</v>
      </c>
      <c r="AL332" s="7" t="n">
        <f aca="false">IF(AI332="","",AG332/AI332)</f>
        <v>-1.8730257841286</v>
      </c>
      <c r="AM332" s="8" t="n">
        <f aca="false">IF(AL332="","",2*(1-NORMSDIST(ABS(AL332))))</f>
        <v>0.061064824570231</v>
      </c>
      <c r="AN332" s="9" t="n">
        <f aca="false">IF(COUNT(V332)=0,"",IF(AB332="t_paired",V332,V332+N(Y332)))</f>
        <v>147</v>
      </c>
      <c r="AO332" s="7" t="n">
        <f aca="false">IF(AH332="","",1/AH332)</f>
        <v>36.2963483230308</v>
      </c>
      <c r="AP332" s="5" t="s">
        <v>100</v>
      </c>
      <c r="AQ332" s="5" t="s">
        <v>178</v>
      </c>
      <c r="AR332" s="5" t="s">
        <v>1050</v>
      </c>
      <c r="AS332" s="9" t="n">
        <f aca="false">IF(AND(AP332="Y",ISNUMBER(AO332)),AO332,0)</f>
        <v>0</v>
      </c>
      <c r="AT332" s="7" t="n">
        <f aca="false">IF(AS332&gt;0,AS332*AG332,0)</f>
        <v>0</v>
      </c>
      <c r="AU332" s="7" t="n">
        <f aca="false">IF(AS332&gt;0,AS332*AG332^2,0)</f>
        <v>0</v>
      </c>
      <c r="AV332" s="9" t="n">
        <f aca="false">IF(AS332&gt;0,AS332^2,0)</f>
        <v>0</v>
      </c>
      <c r="AW332" s="7" t="n">
        <f aca="false">IF(AS332&gt;0,AG332,0)</f>
        <v>0</v>
      </c>
      <c r="AX332" s="7" t="n">
        <f aca="false">IF(AS332&gt;0,AH332,1)</f>
        <v>1</v>
      </c>
    </row>
    <row r="333" customFormat="false" ht="15" hidden="false" customHeight="false" outlineLevel="0" collapsed="false">
      <c r="A333" s="5" t="s">
        <v>1051</v>
      </c>
      <c r="B333" s="5" t="s">
        <v>1036</v>
      </c>
      <c r="C333" s="5" t="s">
        <v>1037</v>
      </c>
      <c r="D333" s="5" t="n">
        <v>2025</v>
      </c>
      <c r="E333" s="5" t="s">
        <v>221</v>
      </c>
      <c r="F333" s="5" t="s">
        <v>173</v>
      </c>
      <c r="G333" s="5" t="s">
        <v>160</v>
      </c>
      <c r="H333" s="5" t="s">
        <v>131</v>
      </c>
      <c r="I333" s="5" t="s">
        <v>247</v>
      </c>
      <c r="J333" s="5" t="s">
        <v>162</v>
      </c>
      <c r="K333" s="5" t="s">
        <v>163</v>
      </c>
      <c r="L333" s="5" t="s">
        <v>164</v>
      </c>
      <c r="M333" s="5" t="s">
        <v>1038</v>
      </c>
      <c r="N333" s="5" t="n">
        <v>90</v>
      </c>
      <c r="O333" s="5" t="s">
        <v>190</v>
      </c>
      <c r="P333" s="6" t="s">
        <v>82</v>
      </c>
      <c r="Q333" s="6" t="s">
        <v>191</v>
      </c>
      <c r="R333" s="5"/>
      <c r="S333" s="6" t="s">
        <v>1049</v>
      </c>
      <c r="T333" s="5" t="s">
        <v>903</v>
      </c>
      <c r="U333" s="6" t="s">
        <v>86</v>
      </c>
      <c r="V333" s="5" t="n">
        <v>73</v>
      </c>
      <c r="W333" s="5" t="n">
        <v>60.11</v>
      </c>
      <c r="X333" s="5" t="n">
        <v>3.129</v>
      </c>
      <c r="Y333" s="5" t="n">
        <v>75</v>
      </c>
      <c r="Z333" s="5" t="n">
        <v>33.23</v>
      </c>
      <c r="AA333" s="5" t="n">
        <v>4.18</v>
      </c>
      <c r="AB333" s="5" t="s">
        <v>99</v>
      </c>
      <c r="AC333" s="5"/>
      <c r="AD333" s="5" t="n">
        <v>1</v>
      </c>
      <c r="AE333" s="7" t="n">
        <f aca="false">IFERROR(IF(AB333="MSD",IF(COUNT(V333,W333,X333,Y333,Z333,AA333)&lt;6,"",(W333-Z333)/SQRT(((V333-1)*X333^2+(Y333-1)*AA333^2)/(V333+Y333-2))*AD333),IF(AB333="t",AC333*SQRT(1/V333+1/Y333)*AD333,IF(AB333="F",SQRT(AC333)*SQRT(1/V333+1/Y333)*AD333,IF(AB333="z",2*(AC333/SQRT(V333+Y333))/SQRT(1-(AC333/SQRT(V333+Y333))^2)*AD333,IF(AB333="t_paired",AC333/SQRT(V333)*AD333,""))))),"")</f>
        <v>7.2664214768682</v>
      </c>
      <c r="AF333" s="7" t="n">
        <f aca="false">IF(AE333="","",IF(AB333="t_paired",1-3/(4*(V333-1)-1),1-3/(4*(V333+Y333)-9)))</f>
        <v>0.994854202401372</v>
      </c>
      <c r="AG333" s="7" t="n">
        <f aca="false">IF(AE333="","",AE333*AF333)</f>
        <v>7.22902994268191</v>
      </c>
      <c r="AH333" s="7" t="n">
        <f aca="false">IF(AG333="","",IF(AB333="t_paired",1/V333+AG333^2/(2*V333),(V333+Y333)/(V333*Y333)+AG333^2/(2*(V333+Y333))))</f>
        <v>0.20358221317367</v>
      </c>
      <c r="AI333" s="7" t="n">
        <f aca="false">IF(AH333="","",SQRT(AH333))</f>
        <v>0.45120085679625</v>
      </c>
      <c r="AJ333" s="7" t="n">
        <f aca="false">IF(AI333="","",AG333-1.96*AI333)</f>
        <v>6.34467626336126</v>
      </c>
      <c r="AK333" s="7" t="n">
        <f aca="false">IF(AI333="","",AG333+1.96*AI333)</f>
        <v>8.11338362200256</v>
      </c>
      <c r="AL333" s="7" t="n">
        <f aca="false">IF(AI333="","",AG333/AI333)</f>
        <v>16.0217557963245</v>
      </c>
      <c r="AM333" s="8" t="n">
        <f aca="false">IF(AL333="","",2*(1-NORMSDIST(ABS(AL333))))</f>
        <v>0</v>
      </c>
      <c r="AN333" s="9" t="n">
        <f aca="false">IF(COUNT(V333)=0,"",IF(AB333="t_paired",V333,V333+N(Y333)))</f>
        <v>148</v>
      </c>
      <c r="AO333" s="7" t="n">
        <f aca="false">IF(AH333="","",1/AH333)</f>
        <v>4.91202047767764</v>
      </c>
      <c r="AP333" s="5" t="s">
        <v>88</v>
      </c>
      <c r="AQ333" s="5" t="s">
        <v>178</v>
      </c>
      <c r="AR333" s="5" t="s">
        <v>1052</v>
      </c>
      <c r="AS333" s="7" t="n">
        <f aca="false">IF(AND(AP333="Y",ISNUMBER(AO333)),AO333,0)</f>
        <v>4.91202047767764</v>
      </c>
      <c r="AT333" s="7" t="n">
        <f aca="false">IF(AS333&gt;0,AS333*AG333,0)</f>
        <v>35.5091431121983</v>
      </c>
      <c r="AU333" s="7" t="n">
        <f aca="false">IF(AS333&gt;0,AS333*AG333^2,0)</f>
        <v>256.696658797059</v>
      </c>
      <c r="AV333" s="9" t="n">
        <f aca="false">IF(AS333&gt;0,AS333^2,0)</f>
        <v>24.1279451731245</v>
      </c>
      <c r="AW333" s="7" t="n">
        <f aca="false">IF(AS333&gt;0,AG333,0)</f>
        <v>7.22902994268191</v>
      </c>
      <c r="AX333" s="7" t="n">
        <f aca="false">IF(AS333&gt;0,AH333,1)</f>
        <v>0.20358221317367</v>
      </c>
    </row>
    <row r="334" customFormat="false" ht="15" hidden="false" customHeight="false" outlineLevel="0" collapsed="false">
      <c r="A334" s="5" t="s">
        <v>1053</v>
      </c>
      <c r="B334" s="5" t="s">
        <v>1036</v>
      </c>
      <c r="C334" s="5" t="s">
        <v>1037</v>
      </c>
      <c r="D334" s="5" t="n">
        <v>2025</v>
      </c>
      <c r="E334" s="5" t="s">
        <v>221</v>
      </c>
      <c r="F334" s="5" t="s">
        <v>173</v>
      </c>
      <c r="G334" s="5" t="s">
        <v>160</v>
      </c>
      <c r="H334" s="5" t="s">
        <v>131</v>
      </c>
      <c r="I334" s="5" t="s">
        <v>247</v>
      </c>
      <c r="J334" s="5" t="s">
        <v>162</v>
      </c>
      <c r="K334" s="5" t="s">
        <v>163</v>
      </c>
      <c r="L334" s="5" t="s">
        <v>164</v>
      </c>
      <c r="M334" s="5" t="s">
        <v>1038</v>
      </c>
      <c r="N334" s="5" t="n">
        <v>90</v>
      </c>
      <c r="O334" s="5" t="s">
        <v>190</v>
      </c>
      <c r="P334" s="6" t="s">
        <v>82</v>
      </c>
      <c r="Q334" s="6" t="s">
        <v>191</v>
      </c>
      <c r="R334" s="5"/>
      <c r="S334" s="6" t="s">
        <v>1054</v>
      </c>
      <c r="T334" s="5"/>
      <c r="U334" s="6" t="s">
        <v>86</v>
      </c>
      <c r="V334" s="5" t="n">
        <v>72</v>
      </c>
      <c r="W334" s="5" t="n">
        <v>73.71</v>
      </c>
      <c r="X334" s="5" t="n">
        <v>3.743</v>
      </c>
      <c r="Y334" s="5" t="n">
        <v>75</v>
      </c>
      <c r="Z334" s="5" t="n">
        <v>33.23</v>
      </c>
      <c r="AA334" s="5" t="n">
        <v>4.18</v>
      </c>
      <c r="AB334" s="5" t="s">
        <v>99</v>
      </c>
      <c r="AC334" s="5"/>
      <c r="AD334" s="5" t="n">
        <v>1</v>
      </c>
      <c r="AE334" s="7" t="n">
        <f aca="false">IFERROR(IF(AB334="MSD",IF(COUNT(V334,W334,X334,Y334,Z334,AA334)&lt;6,"",(W334-Z334)/SQRT(((V334-1)*X334^2+(Y334-1)*AA334^2)/(V334+Y334-2))*AD334),IF(AB334="t",AC334*SQRT(1/V334+1/Y334)*AD334,IF(AB334="F",SQRT(AC334)*SQRT(1/V334+1/Y334)*AD334,IF(AB334="z",2*(AC334/SQRT(V334+Y334))/SQRT(1-(AC334/SQRT(V334+Y334))^2)*AD334,IF(AB334="t_paired",AC334/SQRT(V334)*AD334,""))))),"")</f>
        <v>10.1912560709396</v>
      </c>
      <c r="AF334" s="7" t="n">
        <f aca="false">IF(AE334="","",IF(AB334="t_paired",1-3/(4*(V334-1)-1),1-3/(4*(V334+Y334)-9)))</f>
        <v>0.994818652849741</v>
      </c>
      <c r="AG334" s="7" t="n">
        <f aca="false">IF(AE334="","",AE334*AF334)</f>
        <v>10.1384516353389</v>
      </c>
      <c r="AH334" s="7" t="n">
        <f aca="false">IF(AG334="","",IF(AB334="t_paired",1/V334+AG334^2/(2*V334),(V334+Y334)/(V334*Y334)+AG334^2/(2*(V334+Y334))))</f>
        <v>0.376841955426665</v>
      </c>
      <c r="AI334" s="7" t="n">
        <f aca="false">IF(AH334="","",SQRT(AH334))</f>
        <v>0.61387454371937</v>
      </c>
      <c r="AJ334" s="7" t="n">
        <f aca="false">IF(AI334="","",AG334-1.96*AI334)</f>
        <v>8.93525752964895</v>
      </c>
      <c r="AK334" s="7" t="n">
        <f aca="false">IF(AI334="","",AG334+1.96*AI334)</f>
        <v>11.3416457410289</v>
      </c>
      <c r="AL334" s="7" t="n">
        <f aca="false">IF(AI334="","",AG334/AI334)</f>
        <v>16.5155107652968</v>
      </c>
      <c r="AM334" s="8" t="n">
        <f aca="false">IF(AL334="","",2*(1-NORMSDIST(ABS(AL334))))</f>
        <v>0</v>
      </c>
      <c r="AN334" s="9" t="n">
        <f aca="false">IF(COUNT(V334)=0,"",IF(AB334="t_paired",V334,V334+N(Y334)))</f>
        <v>147</v>
      </c>
      <c r="AO334" s="7" t="n">
        <f aca="false">IF(AH334="","",1/AH334)</f>
        <v>2.65363234002909</v>
      </c>
      <c r="AP334" s="5" t="s">
        <v>88</v>
      </c>
      <c r="AQ334" s="5" t="s">
        <v>210</v>
      </c>
      <c r="AR334" s="5"/>
      <c r="AS334" s="7" t="n">
        <f aca="false">IF(AND(AP334="Y",ISNUMBER(AO334)),AO334,0)</f>
        <v>2.65363234002909</v>
      </c>
      <c r="AT334" s="7" t="n">
        <f aca="false">IF(AS334&gt;0,AS334*AG334,0)</f>
        <v>26.9037231373562</v>
      </c>
      <c r="AU334" s="7" t="n">
        <f aca="false">IF(AS334&gt;0,AS334*AG334^2,0)</f>
        <v>272.762095838634</v>
      </c>
      <c r="AV334" s="9" t="n">
        <f aca="false">IF(AS334&gt;0,AS334^2,0)</f>
        <v>7.04176459604827</v>
      </c>
      <c r="AW334" s="7" t="n">
        <f aca="false">IF(AS334&gt;0,AG334,0)</f>
        <v>10.1384516353389</v>
      </c>
      <c r="AX334" s="7" t="n">
        <f aca="false">IF(AS334&gt;0,AH334,1)</f>
        <v>0.376841955426665</v>
      </c>
    </row>
    <row r="335" customFormat="false" ht="15" hidden="false" customHeight="false" outlineLevel="0" collapsed="false">
      <c r="A335" s="5" t="s">
        <v>1055</v>
      </c>
      <c r="B335" s="5" t="s">
        <v>1036</v>
      </c>
      <c r="C335" s="5" t="s">
        <v>1037</v>
      </c>
      <c r="D335" s="5" t="n">
        <v>2025</v>
      </c>
      <c r="E335" s="5" t="s">
        <v>221</v>
      </c>
      <c r="F335" s="5" t="s">
        <v>173</v>
      </c>
      <c r="G335" s="5" t="s">
        <v>160</v>
      </c>
      <c r="H335" s="5" t="s">
        <v>131</v>
      </c>
      <c r="I335" s="5" t="s">
        <v>247</v>
      </c>
      <c r="J335" s="5" t="s">
        <v>162</v>
      </c>
      <c r="K335" s="5" t="s">
        <v>163</v>
      </c>
      <c r="L335" s="5" t="s">
        <v>164</v>
      </c>
      <c r="M335" s="5" t="s">
        <v>1038</v>
      </c>
      <c r="N335" s="5" t="n">
        <v>90</v>
      </c>
      <c r="O335" s="5" t="s">
        <v>190</v>
      </c>
      <c r="P335" s="10" t="s">
        <v>82</v>
      </c>
      <c r="Q335" s="10" t="s">
        <v>191</v>
      </c>
      <c r="R335" s="5"/>
      <c r="S335" s="10" t="s">
        <v>1056</v>
      </c>
      <c r="T335" s="5"/>
      <c r="U335" s="10" t="s">
        <v>98</v>
      </c>
      <c r="V335" s="5" t="n">
        <v>73</v>
      </c>
      <c r="W335" s="5" t="n">
        <v>32.64</v>
      </c>
      <c r="X335" s="5" t="n">
        <v>4.379</v>
      </c>
      <c r="Y335" s="5" t="n">
        <v>75</v>
      </c>
      <c r="Z335" s="5" t="n">
        <v>33.49</v>
      </c>
      <c r="AA335" s="5" t="n">
        <v>4.533</v>
      </c>
      <c r="AB335" s="5" t="s">
        <v>99</v>
      </c>
      <c r="AC335" s="5"/>
      <c r="AD335" s="5" t="n">
        <v>1</v>
      </c>
      <c r="AE335" s="7" t="n">
        <f aca="false">IFERROR(IF(AB335="MSD",IF(COUNT(V335,W335,X335,Y335,Z335,AA335)&lt;6,"",(W335-Z335)/SQRT(((V335-1)*X335^2+(Y335-1)*AA335^2)/(V335+Y335-2))*AD335),IF(AB335="t",AC335*SQRT(1/V335+1/Y335)*AD335,IF(AB335="F",SQRT(AC335)*SQRT(1/V335+1/Y335)*AD335,IF(AB335="z",2*(AC335/SQRT(V335+Y335))/SQRT(1-(AC335/SQRT(V335+Y335))^2)*AD335,IF(AB335="t_paired",AC335/SQRT(V335)*AD335,""))))),"")</f>
        <v>-0.190680448422546</v>
      </c>
      <c r="AF335" s="7" t="n">
        <f aca="false">IF(AE335="","",IF(AB335="t_paired",1-3/(4*(V335-1)-1),1-3/(4*(V335+Y335)-9)))</f>
        <v>0.994854202401372</v>
      </c>
      <c r="AG335" s="7" t="n">
        <f aca="false">IF(AE335="","",AE335*AF335)</f>
        <v>-0.189699245428948</v>
      </c>
      <c r="AH335" s="7" t="n">
        <f aca="false">IF(AG335="","",IF(AB335="t_paired",1/V335+AG335^2/(2*V335),(V335+Y335)/(V335*Y335)+AG335^2/(2*(V335+Y335))))</f>
        <v>0.0271535371315234</v>
      </c>
      <c r="AI335" s="7" t="n">
        <f aca="false">IF(AH335="","",SQRT(AH335))</f>
        <v>0.164783303558107</v>
      </c>
      <c r="AJ335" s="7" t="n">
        <f aca="false">IF(AI335="","",AG335-1.96*AI335)</f>
        <v>-0.512674520402839</v>
      </c>
      <c r="AK335" s="7" t="n">
        <f aca="false">IF(AI335="","",AG335+1.96*AI335)</f>
        <v>0.133276029544943</v>
      </c>
      <c r="AL335" s="7" t="n">
        <f aca="false">IF(AI335="","",AG335/AI335)</f>
        <v>-1.15120428667735</v>
      </c>
      <c r="AM335" s="8" t="n">
        <f aca="false">IF(AL335="","",2*(1-NORMSDIST(ABS(AL335))))</f>
        <v>0.249648202097252</v>
      </c>
      <c r="AN335" s="9" t="n">
        <f aca="false">IF(COUNT(V335)=0,"",IF(AB335="t_paired",V335,V335+N(Y335)))</f>
        <v>148</v>
      </c>
      <c r="AO335" s="7" t="n">
        <f aca="false">IF(AH335="","",1/AH335)</f>
        <v>36.8276145813456</v>
      </c>
      <c r="AP335" s="5" t="s">
        <v>100</v>
      </c>
      <c r="AQ335" s="5" t="s">
        <v>210</v>
      </c>
      <c r="AR335" s="5"/>
      <c r="AS335" s="9" t="n">
        <f aca="false">IF(AND(AP335="Y",ISNUMBER(AO335)),AO335,0)</f>
        <v>0</v>
      </c>
      <c r="AT335" s="7" t="n">
        <f aca="false">IF(AS335&gt;0,AS335*AG335,0)</f>
        <v>0</v>
      </c>
      <c r="AU335" s="7" t="n">
        <f aca="false">IF(AS335&gt;0,AS335*AG335^2,0)</f>
        <v>0</v>
      </c>
      <c r="AV335" s="9" t="n">
        <f aca="false">IF(AS335&gt;0,AS335^2,0)</f>
        <v>0</v>
      </c>
      <c r="AW335" s="7" t="n">
        <f aca="false">IF(AS335&gt;0,AG335,0)</f>
        <v>0</v>
      </c>
      <c r="AX335" s="7" t="n">
        <f aca="false">IF(AS335&gt;0,AH335,1)</f>
        <v>1</v>
      </c>
    </row>
    <row r="336" customFormat="false" ht="15" hidden="false" customHeight="false" outlineLevel="0" collapsed="false">
      <c r="A336" s="5" t="s">
        <v>1057</v>
      </c>
      <c r="B336" s="5" t="s">
        <v>1036</v>
      </c>
      <c r="C336" s="5" t="s">
        <v>1037</v>
      </c>
      <c r="D336" s="5" t="n">
        <v>2025</v>
      </c>
      <c r="E336" s="5" t="s">
        <v>221</v>
      </c>
      <c r="F336" s="5" t="s">
        <v>173</v>
      </c>
      <c r="G336" s="5" t="s">
        <v>160</v>
      </c>
      <c r="H336" s="5" t="s">
        <v>131</v>
      </c>
      <c r="I336" s="5" t="s">
        <v>247</v>
      </c>
      <c r="J336" s="5" t="s">
        <v>162</v>
      </c>
      <c r="K336" s="5" t="s">
        <v>163</v>
      </c>
      <c r="L336" s="5" t="s">
        <v>164</v>
      </c>
      <c r="M336" s="5" t="s">
        <v>1038</v>
      </c>
      <c r="N336" s="5" t="n">
        <v>90</v>
      </c>
      <c r="O336" s="5" t="s">
        <v>190</v>
      </c>
      <c r="P336" s="10" t="s">
        <v>82</v>
      </c>
      <c r="Q336" s="10" t="s">
        <v>191</v>
      </c>
      <c r="R336" s="5"/>
      <c r="S336" s="10" t="s">
        <v>1058</v>
      </c>
      <c r="T336" s="5"/>
      <c r="U336" s="10" t="s">
        <v>98</v>
      </c>
      <c r="V336" s="5" t="n">
        <v>75</v>
      </c>
      <c r="W336" s="5" t="n">
        <v>32.8</v>
      </c>
      <c r="X336" s="5" t="n">
        <v>4.696</v>
      </c>
      <c r="Y336" s="5" t="n">
        <v>75</v>
      </c>
      <c r="Z336" s="5" t="n">
        <v>33.49</v>
      </c>
      <c r="AA336" s="5" t="n">
        <v>4.533</v>
      </c>
      <c r="AB336" s="5" t="s">
        <v>99</v>
      </c>
      <c r="AC336" s="5"/>
      <c r="AD336" s="5" t="n">
        <v>1</v>
      </c>
      <c r="AE336" s="7" t="n">
        <f aca="false">IFERROR(IF(AB336="MSD",IF(COUNT(V336,W336,X336,Y336,Z336,AA336)&lt;6,"",(W336-Z336)/SQRT(((V336-1)*X336^2+(Y336-1)*AA336^2)/(V336+Y336-2))*AD336),IF(AB336="t",AC336*SQRT(1/V336+1/Y336)*AD336,IF(AB336="F",SQRT(AC336)*SQRT(1/V336+1/Y336)*AD336,IF(AB336="z",2*(AC336/SQRT(V336+Y336))/SQRT(1-(AC336/SQRT(V336+Y336))^2)*AD336,IF(AB336="t_paired",AC336/SQRT(V336)*AD336,""))))),"")</f>
        <v>-0.14950534340608</v>
      </c>
      <c r="AF336" s="7" t="n">
        <f aca="false">IF(AE336="","",IF(AB336="t_paired",1-3/(4*(V336-1)-1),1-3/(4*(V336+Y336)-9)))</f>
        <v>0.99492385786802</v>
      </c>
      <c r="AG336" s="7" t="n">
        <f aca="false">IF(AE336="","",AE336*AF336)</f>
        <v>-0.148746433033461</v>
      </c>
      <c r="AH336" s="7" t="n">
        <f aca="false">IF(AG336="","",IF(AB336="t_paired",1/V336+AG336^2/(2*V336),(V336+Y336)/(V336*Y336)+AG336^2/(2*(V336+Y336))))</f>
        <v>0.0267404183378006</v>
      </c>
      <c r="AI336" s="7" t="n">
        <f aca="false">IF(AH336="","",SQRT(AH336))</f>
        <v>0.163524977718392</v>
      </c>
      <c r="AJ336" s="7" t="n">
        <f aca="false">IF(AI336="","",AG336-1.96*AI336)</f>
        <v>-0.469255389361509</v>
      </c>
      <c r="AK336" s="7" t="n">
        <f aca="false">IF(AI336="","",AG336+1.96*AI336)</f>
        <v>0.171762523294588</v>
      </c>
      <c r="AL336" s="7" t="n">
        <f aca="false">IF(AI336="","",AG336/AI336)</f>
        <v>-0.909625153960384</v>
      </c>
      <c r="AM336" s="8" t="n">
        <f aca="false">IF(AL336="","",2*(1-NORMSDIST(ABS(AL336))))</f>
        <v>0.363020228335486</v>
      </c>
      <c r="AN336" s="9" t="n">
        <f aca="false">IF(COUNT(V336)=0,"",IF(AB336="t_paired",V336,V336+N(Y336)))</f>
        <v>150</v>
      </c>
      <c r="AO336" s="7" t="n">
        <f aca="false">IF(AH336="","",1/AH336)</f>
        <v>37.3965727599103</v>
      </c>
      <c r="AP336" s="5" t="s">
        <v>100</v>
      </c>
      <c r="AQ336" s="5" t="s">
        <v>210</v>
      </c>
      <c r="AR336" s="5"/>
      <c r="AS336" s="9" t="n">
        <f aca="false">IF(AND(AP336="Y",ISNUMBER(AO336)),AO336,0)</f>
        <v>0</v>
      </c>
      <c r="AT336" s="7" t="n">
        <f aca="false">IF(AS336&gt;0,AS336*AG336,0)</f>
        <v>0</v>
      </c>
      <c r="AU336" s="7" t="n">
        <f aca="false">IF(AS336&gt;0,AS336*AG336^2,0)</f>
        <v>0</v>
      </c>
      <c r="AV336" s="9" t="n">
        <f aca="false">IF(AS336&gt;0,AS336^2,0)</f>
        <v>0</v>
      </c>
      <c r="AW336" s="7" t="n">
        <f aca="false">IF(AS336&gt;0,AG336,0)</f>
        <v>0</v>
      </c>
      <c r="AX336" s="7" t="n">
        <f aca="false">IF(AS336&gt;0,AH336,1)</f>
        <v>1</v>
      </c>
    </row>
    <row r="337" customFormat="false" ht="15" hidden="false" customHeight="false" outlineLevel="0" collapsed="false">
      <c r="A337" s="5" t="s">
        <v>1059</v>
      </c>
      <c r="B337" s="5" t="s">
        <v>1036</v>
      </c>
      <c r="C337" s="5" t="s">
        <v>1037</v>
      </c>
      <c r="D337" s="5" t="n">
        <v>2025</v>
      </c>
      <c r="E337" s="5" t="s">
        <v>221</v>
      </c>
      <c r="F337" s="5" t="s">
        <v>173</v>
      </c>
      <c r="G337" s="5" t="s">
        <v>160</v>
      </c>
      <c r="H337" s="5" t="s">
        <v>131</v>
      </c>
      <c r="I337" s="5" t="s">
        <v>247</v>
      </c>
      <c r="J337" s="5" t="s">
        <v>162</v>
      </c>
      <c r="K337" s="5" t="s">
        <v>163</v>
      </c>
      <c r="L337" s="5" t="s">
        <v>164</v>
      </c>
      <c r="M337" s="5" t="s">
        <v>1038</v>
      </c>
      <c r="N337" s="5" t="n">
        <v>90</v>
      </c>
      <c r="O337" s="5" t="s">
        <v>190</v>
      </c>
      <c r="P337" s="6" t="s">
        <v>82</v>
      </c>
      <c r="Q337" s="6" t="s">
        <v>191</v>
      </c>
      <c r="R337" s="5"/>
      <c r="S337" s="6" t="s">
        <v>1058</v>
      </c>
      <c r="T337" s="5"/>
      <c r="U337" s="6" t="s">
        <v>86</v>
      </c>
      <c r="V337" s="5" t="n">
        <v>75</v>
      </c>
      <c r="W337" s="5" t="n">
        <v>59.19</v>
      </c>
      <c r="X337" s="5" t="n">
        <v>3.165</v>
      </c>
      <c r="Y337" s="5" t="n">
        <v>75</v>
      </c>
      <c r="Z337" s="5" t="n">
        <v>33.23</v>
      </c>
      <c r="AA337" s="5" t="n">
        <v>4.18</v>
      </c>
      <c r="AB337" s="5" t="s">
        <v>99</v>
      </c>
      <c r="AC337" s="5"/>
      <c r="AD337" s="5" t="n">
        <v>1</v>
      </c>
      <c r="AE337" s="7" t="n">
        <f aca="false">IFERROR(IF(AB337="MSD",IF(COUNT(V337,W337,X337,Y337,Z337,AA337)&lt;6,"",(W337-Z337)/SQRT(((V337-1)*X337^2+(Y337-1)*AA337^2)/(V337+Y337-2))*AD337),IF(AB337="t",AC337*SQRT(1/V337+1/Y337)*AD337,IF(AB337="F",SQRT(AC337)*SQRT(1/V337+1/Y337)*AD337,IF(AB337="z",2*(AC337/SQRT(V337+Y337))/SQRT(1-(AC337/SQRT(V337+Y337))^2)*AD337,IF(AB337="t_paired",AC337/SQRT(V337)*AD337,""))))),"")</f>
        <v>7.00221236830261</v>
      </c>
      <c r="AF337" s="7" t="n">
        <f aca="false">IF(AE337="","",IF(AB337="t_paired",1-3/(4*(V337-1)-1),1-3/(4*(V337+Y337)-9)))</f>
        <v>0.99492385786802</v>
      </c>
      <c r="AG337" s="7" t="n">
        <f aca="false">IF(AE337="","",AE337*AF337)</f>
        <v>6.9666681430828</v>
      </c>
      <c r="AH337" s="7" t="n">
        <f aca="false">IF(AG337="","",IF(AB337="t_paired",1/V337+AG337^2/(2*V337),(V337+Y337)/(V337*Y337)+AG337^2/(2*(V337+Y337))))</f>
        <v>0.188448216719483</v>
      </c>
      <c r="AI337" s="7" t="n">
        <f aca="false">IF(AH337="","",SQRT(AH337))</f>
        <v>0.434106227459919</v>
      </c>
      <c r="AJ337" s="7" t="n">
        <f aca="false">IF(AI337="","",AG337-1.96*AI337)</f>
        <v>6.11581993726136</v>
      </c>
      <c r="AK337" s="7" t="n">
        <f aca="false">IF(AI337="","",AG337+1.96*AI337)</f>
        <v>7.81751634890424</v>
      </c>
      <c r="AL337" s="7" t="n">
        <f aca="false">IF(AI337="","",AG337/AI337)</f>
        <v>16.0483027019603</v>
      </c>
      <c r="AM337" s="8" t="n">
        <f aca="false">IF(AL337="","",2*(1-NORMSDIST(ABS(AL337))))</f>
        <v>0</v>
      </c>
      <c r="AN337" s="9" t="n">
        <f aca="false">IF(COUNT(V337)=0,"",IF(AB337="t_paired",V337,V337+N(Y337)))</f>
        <v>150</v>
      </c>
      <c r="AO337" s="7" t="n">
        <f aca="false">IF(AH337="","",1/AH337)</f>
        <v>5.30649754828174</v>
      </c>
      <c r="AP337" s="5" t="s">
        <v>88</v>
      </c>
      <c r="AQ337" s="5" t="s">
        <v>210</v>
      </c>
      <c r="AR337" s="5"/>
      <c r="AS337" s="7" t="n">
        <f aca="false">IF(AND(AP337="Y",ISNUMBER(AO337)),AO337,0)</f>
        <v>5.30649754828174</v>
      </c>
      <c r="AT337" s="7" t="n">
        <f aca="false">IF(AS337&gt;0,AS337*AG337,0)</f>
        <v>36.9686074209614</v>
      </c>
      <c r="AU337" s="7" t="n">
        <f aca="false">IF(AS337&gt;0,AS337*AG337^2,0)</f>
        <v>257.548019613746</v>
      </c>
      <c r="AV337" s="9" t="n">
        <f aca="false">IF(AS337&gt;0,AS337^2,0)</f>
        <v>28.1589162299201</v>
      </c>
      <c r="AW337" s="7" t="n">
        <f aca="false">IF(AS337&gt;0,AG337,0)</f>
        <v>6.9666681430828</v>
      </c>
      <c r="AX337" s="7" t="n">
        <f aca="false">IF(AS337&gt;0,AH337,1)</f>
        <v>0.188448216719483</v>
      </c>
    </row>
    <row r="338" customFormat="false" ht="15" hidden="false" customHeight="false" outlineLevel="0" collapsed="false">
      <c r="A338" s="5" t="s">
        <v>1060</v>
      </c>
      <c r="B338" s="5" t="s">
        <v>1036</v>
      </c>
      <c r="C338" s="5" t="s">
        <v>1037</v>
      </c>
      <c r="D338" s="5" t="n">
        <v>2025</v>
      </c>
      <c r="E338" s="5" t="s">
        <v>221</v>
      </c>
      <c r="F338" s="5" t="s">
        <v>173</v>
      </c>
      <c r="G338" s="5" t="s">
        <v>160</v>
      </c>
      <c r="H338" s="5" t="s">
        <v>131</v>
      </c>
      <c r="I338" s="5" t="s">
        <v>247</v>
      </c>
      <c r="J338" s="5" t="s">
        <v>162</v>
      </c>
      <c r="K338" s="5" t="s">
        <v>163</v>
      </c>
      <c r="L338" s="5" t="s">
        <v>164</v>
      </c>
      <c r="M338" s="5" t="s">
        <v>1038</v>
      </c>
      <c r="N338" s="5" t="n">
        <v>90</v>
      </c>
      <c r="O338" s="5" t="s">
        <v>190</v>
      </c>
      <c r="P338" s="10" t="s">
        <v>82</v>
      </c>
      <c r="Q338" s="10" t="s">
        <v>191</v>
      </c>
      <c r="R338" s="5"/>
      <c r="S338" s="10" t="s">
        <v>1061</v>
      </c>
      <c r="T338" s="5" t="s">
        <v>903</v>
      </c>
      <c r="U338" s="10" t="s">
        <v>98</v>
      </c>
      <c r="V338" s="5" t="n">
        <v>75</v>
      </c>
      <c r="W338" s="5" t="n">
        <v>23.41</v>
      </c>
      <c r="X338" s="5" t="n">
        <v>5.276</v>
      </c>
      <c r="Y338" s="5" t="n">
        <v>75</v>
      </c>
      <c r="Z338" s="5" t="n">
        <v>23</v>
      </c>
      <c r="AA338" s="5" t="n">
        <v>4.893</v>
      </c>
      <c r="AB338" s="5" t="s">
        <v>99</v>
      </c>
      <c r="AC338" s="5"/>
      <c r="AD338" s="5" t="n">
        <v>1</v>
      </c>
      <c r="AE338" s="7" t="n">
        <f aca="false">IFERROR(IF(AB338="MSD",IF(COUNT(V338,W338,X338,Y338,Z338,AA338)&lt;6,"",(W338-Z338)/SQRT(((V338-1)*X338^2+(Y338-1)*AA338^2)/(V338+Y338-2))*AD338),IF(AB338="t",AC338*SQRT(1/V338+1/Y338)*AD338,IF(AB338="F",SQRT(AC338)*SQRT(1/V338+1/Y338)*AD338,IF(AB338="z",2*(AC338/SQRT(V338+Y338))/SQRT(1-(AC338/SQRT(V338+Y338))^2)*AD338,IF(AB338="t_paired",AC338/SQRT(V338)*AD338,""))))),"")</f>
        <v>0.0805800980775616</v>
      </c>
      <c r="AF338" s="7" t="n">
        <f aca="false">IF(AE338="","",IF(AB338="t_paired",1-3/(4*(V338-1)-1),1-3/(4*(V338+Y338)-9)))</f>
        <v>0.99492385786802</v>
      </c>
      <c r="AG338" s="7" t="n">
        <f aca="false">IF(AE338="","",AE338*AF338)</f>
        <v>0.0801710620467111</v>
      </c>
      <c r="AH338" s="7" t="n">
        <f aca="false">IF(AG338="","",IF(AB338="t_paired",1/V338+AG338^2/(2*V338),(V338+Y338)/(V338*Y338)+AG338^2/(2*(V338+Y338))))</f>
        <v>0.0266880913306323</v>
      </c>
      <c r="AI338" s="7" t="n">
        <f aca="false">IF(AH338="","",SQRT(AH338))</f>
        <v>0.163364902383077</v>
      </c>
      <c r="AJ338" s="7" t="n">
        <f aca="false">IF(AI338="","",AG338-1.96*AI338)</f>
        <v>-0.24002414662412</v>
      </c>
      <c r="AK338" s="7" t="n">
        <f aca="false">IF(AI338="","",AG338+1.96*AI338)</f>
        <v>0.400366270717542</v>
      </c>
      <c r="AL338" s="7" t="n">
        <f aca="false">IF(AI338="","",AG338/AI338)</f>
        <v>0.49074838522363</v>
      </c>
      <c r="AM338" s="8" t="n">
        <f aca="false">IF(AL338="","",2*(1-NORMSDIST(ABS(AL338))))</f>
        <v>0.623604420072358</v>
      </c>
      <c r="AN338" s="9" t="n">
        <f aca="false">IF(COUNT(V338)=0,"",IF(AB338="t_paired",V338,V338+N(Y338)))</f>
        <v>150</v>
      </c>
      <c r="AO338" s="7" t="n">
        <f aca="false">IF(AH338="","",1/AH338)</f>
        <v>37.4698957528001</v>
      </c>
      <c r="AP338" s="5" t="s">
        <v>100</v>
      </c>
      <c r="AQ338" s="5" t="s">
        <v>178</v>
      </c>
      <c r="AR338" s="5" t="s">
        <v>1062</v>
      </c>
      <c r="AS338" s="9" t="n">
        <f aca="false">IF(AND(AP338="Y",ISNUMBER(AO338)),AO338,0)</f>
        <v>0</v>
      </c>
      <c r="AT338" s="7" t="n">
        <f aca="false">IF(AS338&gt;0,AS338*AG338,0)</f>
        <v>0</v>
      </c>
      <c r="AU338" s="7" t="n">
        <f aca="false">IF(AS338&gt;0,AS338*AG338^2,0)</f>
        <v>0</v>
      </c>
      <c r="AV338" s="9" t="n">
        <f aca="false">IF(AS338&gt;0,AS338^2,0)</f>
        <v>0</v>
      </c>
      <c r="AW338" s="7" t="n">
        <f aca="false">IF(AS338&gt;0,AG338,0)</f>
        <v>0</v>
      </c>
      <c r="AX338" s="7" t="n">
        <f aca="false">IF(AS338&gt;0,AH338,1)</f>
        <v>1</v>
      </c>
    </row>
    <row r="339" customFormat="false" ht="15" hidden="false" customHeight="false" outlineLevel="0" collapsed="false">
      <c r="A339" s="5" t="s">
        <v>1063</v>
      </c>
      <c r="B339" s="5" t="s">
        <v>1036</v>
      </c>
      <c r="C339" s="5" t="s">
        <v>1037</v>
      </c>
      <c r="D339" s="5" t="n">
        <v>2025</v>
      </c>
      <c r="E339" s="5" t="s">
        <v>221</v>
      </c>
      <c r="F339" s="5" t="s">
        <v>173</v>
      </c>
      <c r="G339" s="5" t="s">
        <v>160</v>
      </c>
      <c r="H339" s="5" t="s">
        <v>131</v>
      </c>
      <c r="I339" s="5" t="s">
        <v>247</v>
      </c>
      <c r="J339" s="5" t="s">
        <v>162</v>
      </c>
      <c r="K339" s="5" t="s">
        <v>163</v>
      </c>
      <c r="L339" s="5" t="s">
        <v>164</v>
      </c>
      <c r="M339" s="5" t="s">
        <v>1038</v>
      </c>
      <c r="N339" s="5" t="n">
        <v>90</v>
      </c>
      <c r="O339" s="5" t="s">
        <v>190</v>
      </c>
      <c r="P339" s="6" t="s">
        <v>82</v>
      </c>
      <c r="Q339" s="6" t="s">
        <v>191</v>
      </c>
      <c r="R339" s="5"/>
      <c r="S339" s="6" t="s">
        <v>1061</v>
      </c>
      <c r="T339" s="5" t="s">
        <v>903</v>
      </c>
      <c r="U339" s="6" t="s">
        <v>86</v>
      </c>
      <c r="V339" s="5" t="n">
        <v>75</v>
      </c>
      <c r="W339" s="5" t="n">
        <v>40.24</v>
      </c>
      <c r="X339" s="5" t="n">
        <v>3.157</v>
      </c>
      <c r="Y339" s="5" t="n">
        <v>75</v>
      </c>
      <c r="Z339" s="5" t="n">
        <v>22.77</v>
      </c>
      <c r="AA339" s="5" t="n">
        <v>4.578</v>
      </c>
      <c r="AB339" s="5" t="s">
        <v>99</v>
      </c>
      <c r="AC339" s="5"/>
      <c r="AD339" s="5" t="n">
        <v>1</v>
      </c>
      <c r="AE339" s="7" t="n">
        <f aca="false">IFERROR(IF(AB339="MSD",IF(COUNT(V339,W339,X339,Y339,Z339,AA339)&lt;6,"",(W339-Z339)/SQRT(((V339-1)*X339^2+(Y339-1)*AA339^2)/(V339+Y339-2))*AD339),IF(AB339="t",AC339*SQRT(1/V339+1/Y339)*AD339,IF(AB339="F",SQRT(AC339)*SQRT(1/V339+1/Y339)*AD339,IF(AB339="z",2*(AC339/SQRT(V339+Y339))/SQRT(1-(AC339/SQRT(V339+Y339))^2)*AD339,IF(AB339="t_paired",AC339/SQRT(V339)*AD339,""))))),"")</f>
        <v>4.44278117985118</v>
      </c>
      <c r="AF339" s="7" t="n">
        <f aca="false">IF(AE339="","",IF(AB339="t_paired",1-3/(4*(V339-1)-1),1-3/(4*(V339+Y339)-9)))</f>
        <v>0.99492385786802</v>
      </c>
      <c r="AG339" s="7" t="n">
        <f aca="false">IF(AE339="","",AE339*AF339)</f>
        <v>4.42022899112097</v>
      </c>
      <c r="AH339" s="7" t="n">
        <f aca="false">IF(AG339="","",IF(AB339="t_paired",1/V339+AG339^2/(2*V339),(V339+Y339)/(V339*Y339)+AG339^2/(2*(V339+Y339))))</f>
        <v>0.091794747779821</v>
      </c>
      <c r="AI339" s="7" t="n">
        <f aca="false">IF(AH339="","",SQRT(AH339))</f>
        <v>0.302976480572042</v>
      </c>
      <c r="AJ339" s="7" t="n">
        <f aca="false">IF(AI339="","",AG339-1.96*AI339)</f>
        <v>3.82639508919977</v>
      </c>
      <c r="AK339" s="7" t="n">
        <f aca="false">IF(AI339="","",AG339+1.96*AI339)</f>
        <v>5.01406289304217</v>
      </c>
      <c r="AL339" s="7" t="n">
        <f aca="false">IF(AI339="","",AG339/AI339)</f>
        <v>14.5893469446052</v>
      </c>
      <c r="AM339" s="8" t="n">
        <f aca="false">IF(AL339="","",2*(1-NORMSDIST(ABS(AL339))))</f>
        <v>0</v>
      </c>
      <c r="AN339" s="9" t="n">
        <f aca="false">IF(COUNT(V339)=0,"",IF(AB339="t_paired",V339,V339+N(Y339)))</f>
        <v>150</v>
      </c>
      <c r="AO339" s="7" t="n">
        <f aca="false">IF(AH339="","",1/AH339)</f>
        <v>10.8938694662422</v>
      </c>
      <c r="AP339" s="5" t="s">
        <v>88</v>
      </c>
      <c r="AQ339" s="5" t="s">
        <v>178</v>
      </c>
      <c r="AR339" s="5" t="s">
        <v>1062</v>
      </c>
      <c r="AS339" s="7" t="n">
        <f aca="false">IF(AND(AP339="Y",ISNUMBER(AO339)),AO339,0)</f>
        <v>10.8938694662422</v>
      </c>
      <c r="AT339" s="7" t="n">
        <f aca="false">IF(AS339&gt;0,AS339*AG339,0)</f>
        <v>48.1533976401715</v>
      </c>
      <c r="AU339" s="7" t="n">
        <f aca="false">IF(AS339&gt;0,AS339*AG339^2,0)</f>
        <v>212.849044270062</v>
      </c>
      <c r="AV339" s="9" t="n">
        <f aca="false">IF(AS339&gt;0,AS339^2,0)</f>
        <v>118.676391947525</v>
      </c>
      <c r="AW339" s="7" t="n">
        <f aca="false">IF(AS339&gt;0,AG339,0)</f>
        <v>4.42022899112097</v>
      </c>
      <c r="AX339" s="7" t="n">
        <f aca="false">IF(AS339&gt;0,AH339,1)</f>
        <v>0.091794747779821</v>
      </c>
    </row>
    <row r="340" customFormat="false" ht="15" hidden="false" customHeight="false" outlineLevel="0" collapsed="false">
      <c r="A340" s="5" t="s">
        <v>1064</v>
      </c>
      <c r="B340" s="5" t="s">
        <v>1036</v>
      </c>
      <c r="C340" s="5" t="s">
        <v>1037</v>
      </c>
      <c r="D340" s="5" t="n">
        <v>2025</v>
      </c>
      <c r="E340" s="5" t="s">
        <v>221</v>
      </c>
      <c r="F340" s="5" t="s">
        <v>173</v>
      </c>
      <c r="G340" s="5" t="s">
        <v>160</v>
      </c>
      <c r="H340" s="5" t="s">
        <v>131</v>
      </c>
      <c r="I340" s="5" t="s">
        <v>247</v>
      </c>
      <c r="J340" s="5" t="s">
        <v>162</v>
      </c>
      <c r="K340" s="5" t="s">
        <v>163</v>
      </c>
      <c r="L340" s="5" t="s">
        <v>164</v>
      </c>
      <c r="M340" s="5" t="s">
        <v>1038</v>
      </c>
      <c r="N340" s="5" t="n">
        <v>90</v>
      </c>
      <c r="O340" s="5" t="s">
        <v>190</v>
      </c>
      <c r="P340" s="10" t="s">
        <v>82</v>
      </c>
      <c r="Q340" s="10" t="s">
        <v>191</v>
      </c>
      <c r="R340" s="5"/>
      <c r="S340" s="10" t="s">
        <v>1065</v>
      </c>
      <c r="T340" s="5"/>
      <c r="U340" s="10" t="s">
        <v>98</v>
      </c>
      <c r="V340" s="5" t="n">
        <v>72</v>
      </c>
      <c r="W340" s="5" t="n">
        <v>22.92</v>
      </c>
      <c r="X340" s="5" t="n">
        <v>4.975</v>
      </c>
      <c r="Y340" s="5" t="n">
        <v>75</v>
      </c>
      <c r="Z340" s="5" t="n">
        <v>23</v>
      </c>
      <c r="AA340" s="5" t="n">
        <v>4.893</v>
      </c>
      <c r="AB340" s="5" t="s">
        <v>99</v>
      </c>
      <c r="AC340" s="5"/>
      <c r="AD340" s="5" t="n">
        <v>1</v>
      </c>
      <c r="AE340" s="7" t="n">
        <f aca="false">IFERROR(IF(AB340="MSD",IF(COUNT(V340,W340,X340,Y340,Z340,AA340)&lt;6,"",(W340-Z340)/SQRT(((V340-1)*X340^2+(Y340-1)*AA340^2)/(V340+Y340-2))*AD340),IF(AB340="t",AC340*SQRT(1/V340+1/Y340)*AD340,IF(AB340="F",SQRT(AC340)*SQRT(1/V340+1/Y340)*AD340,IF(AB340="z",2*(AC340/SQRT(V340+Y340))/SQRT(1-(AC340/SQRT(V340+Y340))^2)*AD340,IF(AB340="t_paired",AC340/SQRT(V340)*AD340,""))))),"")</f>
        <v>-0.0162162533837817</v>
      </c>
      <c r="AF340" s="7" t="n">
        <f aca="false">IF(AE340="","",IF(AB340="t_paired",1-3/(4*(V340-1)-1),1-3/(4*(V340+Y340)-9)))</f>
        <v>0.994818652849741</v>
      </c>
      <c r="AG340" s="7" t="n">
        <f aca="false">IF(AE340="","",AE340*AF340)</f>
        <v>-0.0161322313455238</v>
      </c>
      <c r="AH340" s="7" t="n">
        <f aca="false">IF(AG340="","",IF(AB340="t_paired",1/V340+AG340^2/(2*V340),(V340+Y340)/(V340*Y340)+AG340^2/(2*(V340+Y340))))</f>
        <v>0.0272231074225222</v>
      </c>
      <c r="AI340" s="7" t="n">
        <f aca="false">IF(AH340="","",SQRT(AH340))</f>
        <v>0.16499426481706</v>
      </c>
      <c r="AJ340" s="7" t="n">
        <f aca="false">IF(AI340="","",AG340-1.96*AI340)</f>
        <v>-0.339520990386962</v>
      </c>
      <c r="AK340" s="7" t="n">
        <f aca="false">IF(AI340="","",AG340+1.96*AI340)</f>
        <v>0.307256527695914</v>
      </c>
      <c r="AL340" s="7" t="n">
        <f aca="false">IF(AI340="","",AG340/AI340)</f>
        <v>-0.0977744975766925</v>
      </c>
      <c r="AM340" s="8" t="n">
        <f aca="false">IF(AL340="","",2*(1-NORMSDIST(ABS(AL340))))</f>
        <v>0.922111358319579</v>
      </c>
      <c r="AN340" s="9" t="n">
        <f aca="false">IF(COUNT(V340)=0,"",IF(AB340="t_paired",V340,V340+N(Y340)))</f>
        <v>147</v>
      </c>
      <c r="AO340" s="7" t="n">
        <f aca="false">IF(AH340="","",1/AH340)</f>
        <v>36.7334993937056</v>
      </c>
      <c r="AP340" s="5" t="s">
        <v>100</v>
      </c>
      <c r="AQ340" s="5" t="s">
        <v>210</v>
      </c>
      <c r="AR340" s="5"/>
      <c r="AS340" s="9" t="n">
        <f aca="false">IF(AND(AP340="Y",ISNUMBER(AO340)),AO340,0)</f>
        <v>0</v>
      </c>
      <c r="AT340" s="7" t="n">
        <f aca="false">IF(AS340&gt;0,AS340*AG340,0)</f>
        <v>0</v>
      </c>
      <c r="AU340" s="7" t="n">
        <f aca="false">IF(AS340&gt;0,AS340*AG340^2,0)</f>
        <v>0</v>
      </c>
      <c r="AV340" s="9" t="n">
        <f aca="false">IF(AS340&gt;0,AS340^2,0)</f>
        <v>0</v>
      </c>
      <c r="AW340" s="7" t="n">
        <f aca="false">IF(AS340&gt;0,AG340,0)</f>
        <v>0</v>
      </c>
      <c r="AX340" s="7" t="n">
        <f aca="false">IF(AS340&gt;0,AH340,1)</f>
        <v>1</v>
      </c>
    </row>
    <row r="341" customFormat="false" ht="15" hidden="false" customHeight="false" outlineLevel="0" collapsed="false">
      <c r="A341" s="5" t="s">
        <v>1066</v>
      </c>
      <c r="B341" s="5" t="s">
        <v>1036</v>
      </c>
      <c r="C341" s="5" t="s">
        <v>1037</v>
      </c>
      <c r="D341" s="5" t="n">
        <v>2025</v>
      </c>
      <c r="E341" s="5" t="s">
        <v>221</v>
      </c>
      <c r="F341" s="5" t="s">
        <v>173</v>
      </c>
      <c r="G341" s="5" t="s">
        <v>160</v>
      </c>
      <c r="H341" s="5" t="s">
        <v>131</v>
      </c>
      <c r="I341" s="5" t="s">
        <v>247</v>
      </c>
      <c r="J341" s="5" t="s">
        <v>162</v>
      </c>
      <c r="K341" s="5" t="s">
        <v>163</v>
      </c>
      <c r="L341" s="5" t="s">
        <v>164</v>
      </c>
      <c r="M341" s="5" t="s">
        <v>1038</v>
      </c>
      <c r="N341" s="5" t="n">
        <v>90</v>
      </c>
      <c r="O341" s="5" t="s">
        <v>190</v>
      </c>
      <c r="P341" s="6" t="s">
        <v>82</v>
      </c>
      <c r="Q341" s="6" t="s">
        <v>191</v>
      </c>
      <c r="R341" s="5"/>
      <c r="S341" s="6" t="s">
        <v>1065</v>
      </c>
      <c r="T341" s="5"/>
      <c r="U341" s="6" t="s">
        <v>86</v>
      </c>
      <c r="V341" s="5" t="n">
        <v>72</v>
      </c>
      <c r="W341" s="5" t="n">
        <v>52.36</v>
      </c>
      <c r="X341" s="5" t="n">
        <v>4.005</v>
      </c>
      <c r="Y341" s="5" t="n">
        <v>75</v>
      </c>
      <c r="Z341" s="5" t="n">
        <v>22.77</v>
      </c>
      <c r="AA341" s="5" t="n">
        <v>4.578</v>
      </c>
      <c r="AB341" s="5" t="s">
        <v>99</v>
      </c>
      <c r="AC341" s="5"/>
      <c r="AD341" s="5" t="n">
        <v>1</v>
      </c>
      <c r="AE341" s="7" t="n">
        <f aca="false">IFERROR(IF(AB341="MSD",IF(COUNT(V341,W341,X341,Y341,Z341,AA341)&lt;6,"",(W341-Z341)/SQRT(((V341-1)*X341^2+(Y341-1)*AA341^2)/(V341+Y341-2))*AD341),IF(AB341="t",AC341*SQRT(1/V341+1/Y341)*AD341,IF(AB341="F",SQRT(AC341)*SQRT(1/V341+1/Y341)*AD341,IF(AB341="z",2*(AC341/SQRT(V341+Y341))/SQRT(1-(AC341/SQRT(V341+Y341))^2)*AD341,IF(AB341="t_paired",AC341/SQRT(V341)*AD341,""))))),"")</f>
        <v>6.87027017655681</v>
      </c>
      <c r="AF341" s="7" t="n">
        <f aca="false">IF(AE341="","",IF(AB341="t_paired",1-3/(4*(V341-1)-1),1-3/(4*(V341+Y341)-9)))</f>
        <v>0.994818652849741</v>
      </c>
      <c r="AG341" s="7" t="n">
        <f aca="false">IF(AE341="","",AE341*AF341)</f>
        <v>6.834672921756</v>
      </c>
      <c r="AH341" s="7" t="n">
        <f aca="false">IF(AG341="","",IF(AB341="t_paired",1/V341+AG341^2/(2*V341),(V341+Y341)/(V341*Y341)+AG341^2/(2*(V341+Y341))))</f>
        <v>0.186109140410605</v>
      </c>
      <c r="AI341" s="7" t="n">
        <f aca="false">IF(AH341="","",SQRT(AH341))</f>
        <v>0.431403686134699</v>
      </c>
      <c r="AJ341" s="7" t="n">
        <f aca="false">IF(AI341="","",AG341-1.96*AI341)</f>
        <v>5.98912169693199</v>
      </c>
      <c r="AK341" s="7" t="n">
        <f aca="false">IF(AI341="","",AG341+1.96*AI341)</f>
        <v>7.68022414658001</v>
      </c>
      <c r="AL341" s="7" t="n">
        <f aca="false">IF(AI341="","",AG341/AI341)</f>
        <v>15.8428709383396</v>
      </c>
      <c r="AM341" s="8" t="n">
        <f aca="false">IF(AL341="","",2*(1-NORMSDIST(ABS(AL341))))</f>
        <v>0</v>
      </c>
      <c r="AN341" s="9" t="n">
        <f aca="false">IF(COUNT(V341)=0,"",IF(AB341="t_paired",V341,V341+N(Y341)))</f>
        <v>147</v>
      </c>
      <c r="AO341" s="7" t="n">
        <f aca="false">IF(AH341="","",1/AH341)</f>
        <v>5.37319122421252</v>
      </c>
      <c r="AP341" s="5" t="s">
        <v>88</v>
      </c>
      <c r="AQ341" s="5" t="s">
        <v>210</v>
      </c>
      <c r="AR341" s="5"/>
      <c r="AS341" s="7" t="n">
        <f aca="false">IF(AND(AP341="Y",ISNUMBER(AO341)),AO341,0)</f>
        <v>5.37319122421252</v>
      </c>
      <c r="AT341" s="7" t="n">
        <f aca="false">IF(AS341&gt;0,AS341*AG341,0)</f>
        <v>36.7240045635422</v>
      </c>
      <c r="AU341" s="7" t="n">
        <f aca="false">IF(AS341&gt;0,AS341*AG341^2,0)</f>
        <v>250.996559568886</v>
      </c>
      <c r="AV341" s="9" t="n">
        <f aca="false">IF(AS341&gt;0,AS341^2,0)</f>
        <v>28.8711839319544</v>
      </c>
      <c r="AW341" s="7" t="n">
        <f aca="false">IF(AS341&gt;0,AG341,0)</f>
        <v>6.834672921756</v>
      </c>
      <c r="AX341" s="7" t="n">
        <f aca="false">IF(AS341&gt;0,AH341,1)</f>
        <v>0.186109140410605</v>
      </c>
    </row>
    <row r="342" customFormat="false" ht="15" hidden="false" customHeight="false" outlineLevel="0" collapsed="false">
      <c r="A342" s="5" t="s">
        <v>1067</v>
      </c>
      <c r="B342" s="5" t="s">
        <v>1036</v>
      </c>
      <c r="C342" s="5" t="s">
        <v>1037</v>
      </c>
      <c r="D342" s="5" t="n">
        <v>2025</v>
      </c>
      <c r="E342" s="5" t="s">
        <v>221</v>
      </c>
      <c r="F342" s="5" t="s">
        <v>173</v>
      </c>
      <c r="G342" s="5" t="s">
        <v>160</v>
      </c>
      <c r="H342" s="5" t="s">
        <v>131</v>
      </c>
      <c r="I342" s="5" t="s">
        <v>247</v>
      </c>
      <c r="J342" s="5" t="s">
        <v>162</v>
      </c>
      <c r="K342" s="5" t="s">
        <v>163</v>
      </c>
      <c r="L342" s="5" t="s">
        <v>164</v>
      </c>
      <c r="M342" s="5" t="s">
        <v>1038</v>
      </c>
      <c r="N342" s="5" t="n">
        <v>90</v>
      </c>
      <c r="O342" s="5" t="s">
        <v>190</v>
      </c>
      <c r="P342" s="10" t="s">
        <v>82</v>
      </c>
      <c r="Q342" s="10" t="s">
        <v>191</v>
      </c>
      <c r="R342" s="5"/>
      <c r="S342" s="10" t="s">
        <v>1068</v>
      </c>
      <c r="T342" s="5"/>
      <c r="U342" s="10" t="s">
        <v>98</v>
      </c>
      <c r="V342" s="5" t="n">
        <v>73</v>
      </c>
      <c r="W342" s="5" t="n">
        <v>23.45</v>
      </c>
      <c r="X342" s="5" t="n">
        <v>5.284</v>
      </c>
      <c r="Y342" s="5" t="n">
        <v>75</v>
      </c>
      <c r="Z342" s="5" t="n">
        <v>23</v>
      </c>
      <c r="AA342" s="5" t="n">
        <v>4.893</v>
      </c>
      <c r="AB342" s="5" t="s">
        <v>99</v>
      </c>
      <c r="AC342" s="5"/>
      <c r="AD342" s="5" t="n">
        <v>1</v>
      </c>
      <c r="AE342" s="7" t="n">
        <f aca="false">IFERROR(IF(AB342="MSD",IF(COUNT(V342,W342,X342,Y342,Z342,AA342)&lt;6,"",(W342-Z342)/SQRT(((V342-1)*X342^2+(Y342-1)*AA342^2)/(V342+Y342-2))*AD342),IF(AB342="t",AC342*SQRT(1/V342+1/Y342)*AD342,IF(AB342="F",SQRT(AC342)*SQRT(1/V342+1/Y342)*AD342,IF(AB342="z",2*(AC342/SQRT(V342+Y342))/SQRT(1-(AC342/SQRT(V342+Y342))^2)*AD342,IF(AB342="t_paired",AC342/SQRT(V342)*AD342,""))))),"")</f>
        <v>0.088415985958921</v>
      </c>
      <c r="AF342" s="7" t="n">
        <f aca="false">IF(AE342="","",IF(AB342="t_paired",1-3/(4*(V342-1)-1),1-3/(4*(V342+Y342)-9)))</f>
        <v>0.994854202401372</v>
      </c>
      <c r="AG342" s="7" t="n">
        <f aca="false">IF(AE342="","",AE342*AF342)</f>
        <v>0.0879610151906932</v>
      </c>
      <c r="AH342" s="7" t="n">
        <f aca="false">IF(AG342="","",IF(AB342="t_paired",1/V342+AG342^2/(2*V342),(V342+Y342)/(V342*Y342)+AG342^2/(2*(V342+Y342))))</f>
        <v>0.0270581024574594</v>
      </c>
      <c r="AI342" s="7" t="n">
        <f aca="false">IF(AH342="","",SQRT(AH342))</f>
        <v>0.164493472385561</v>
      </c>
      <c r="AJ342" s="7" t="n">
        <f aca="false">IF(AI342="","",AG342-1.96*AI342)</f>
        <v>-0.234446190685007</v>
      </c>
      <c r="AK342" s="7" t="n">
        <f aca="false">IF(AI342="","",AG342+1.96*AI342)</f>
        <v>0.410368221066393</v>
      </c>
      <c r="AL342" s="7" t="n">
        <f aca="false">IF(AI342="","",AG342/AI342)</f>
        <v>0.534738636828814</v>
      </c>
      <c r="AM342" s="8" t="n">
        <f aca="false">IF(AL342="","",2*(1-NORMSDIST(ABS(AL342))))</f>
        <v>0.59283060043277</v>
      </c>
      <c r="AN342" s="9" t="n">
        <f aca="false">IF(COUNT(V342)=0,"",IF(AB342="t_paired",V342,V342+N(Y342)))</f>
        <v>148</v>
      </c>
      <c r="AO342" s="7" t="n">
        <f aca="false">IF(AH342="","",1/AH342)</f>
        <v>36.9575065942704</v>
      </c>
      <c r="AP342" s="5" t="s">
        <v>100</v>
      </c>
      <c r="AQ342" s="5" t="s">
        <v>210</v>
      </c>
      <c r="AR342" s="5"/>
      <c r="AS342" s="9" t="n">
        <f aca="false">IF(AND(AP342="Y",ISNUMBER(AO342)),AO342,0)</f>
        <v>0</v>
      </c>
      <c r="AT342" s="7" t="n">
        <f aca="false">IF(AS342&gt;0,AS342*AG342,0)</f>
        <v>0</v>
      </c>
      <c r="AU342" s="7" t="n">
        <f aca="false">IF(AS342&gt;0,AS342*AG342^2,0)</f>
        <v>0</v>
      </c>
      <c r="AV342" s="9" t="n">
        <f aca="false">IF(AS342&gt;0,AS342^2,0)</f>
        <v>0</v>
      </c>
      <c r="AW342" s="7" t="n">
        <f aca="false">IF(AS342&gt;0,AG342,0)</f>
        <v>0</v>
      </c>
      <c r="AX342" s="7" t="n">
        <f aca="false">IF(AS342&gt;0,AH342,1)</f>
        <v>1</v>
      </c>
    </row>
    <row r="343" customFormat="false" ht="15" hidden="false" customHeight="false" outlineLevel="0" collapsed="false">
      <c r="A343" s="5" t="s">
        <v>1069</v>
      </c>
      <c r="B343" s="5" t="s">
        <v>1036</v>
      </c>
      <c r="C343" s="5" t="s">
        <v>1037</v>
      </c>
      <c r="D343" s="5" t="n">
        <v>2025</v>
      </c>
      <c r="E343" s="5" t="s">
        <v>221</v>
      </c>
      <c r="F343" s="5" t="s">
        <v>173</v>
      </c>
      <c r="G343" s="5" t="s">
        <v>160</v>
      </c>
      <c r="H343" s="5" t="s">
        <v>131</v>
      </c>
      <c r="I343" s="5" t="s">
        <v>247</v>
      </c>
      <c r="J343" s="5" t="s">
        <v>162</v>
      </c>
      <c r="K343" s="5" t="s">
        <v>163</v>
      </c>
      <c r="L343" s="5" t="s">
        <v>164</v>
      </c>
      <c r="M343" s="5" t="s">
        <v>1038</v>
      </c>
      <c r="N343" s="5" t="n">
        <v>90</v>
      </c>
      <c r="O343" s="5" t="s">
        <v>190</v>
      </c>
      <c r="P343" s="6" t="s">
        <v>82</v>
      </c>
      <c r="Q343" s="6" t="s">
        <v>191</v>
      </c>
      <c r="R343" s="5"/>
      <c r="S343" s="6" t="s">
        <v>1068</v>
      </c>
      <c r="T343" s="5"/>
      <c r="U343" s="6" t="s">
        <v>86</v>
      </c>
      <c r="V343" s="5" t="n">
        <v>73</v>
      </c>
      <c r="W343" s="5" t="n">
        <v>39.9</v>
      </c>
      <c r="X343" s="5" t="n">
        <v>3.812</v>
      </c>
      <c r="Y343" s="5" t="n">
        <v>75</v>
      </c>
      <c r="Z343" s="5" t="n">
        <v>22.77</v>
      </c>
      <c r="AA343" s="5" t="n">
        <v>4.578</v>
      </c>
      <c r="AB343" s="5" t="s">
        <v>99</v>
      </c>
      <c r="AC343" s="5"/>
      <c r="AD343" s="5" t="n">
        <v>1</v>
      </c>
      <c r="AE343" s="7" t="n">
        <f aca="false">IFERROR(IF(AB343="MSD",IF(COUNT(V343,W343,X343,Y343,Z343,AA343)&lt;6,"",(W343-Z343)/SQRT(((V343-1)*X343^2+(Y343-1)*AA343^2)/(V343+Y343-2))*AD343),IF(AB343="t",AC343*SQRT(1/V343+1/Y343)*AD343,IF(AB343="F",SQRT(AC343)*SQRT(1/V343+1/Y343)*AD343,IF(AB343="z",2*(AC343/SQRT(V343+Y343))/SQRT(1-(AC343/SQRT(V343+Y343))^2)*AD343,IF(AB343="t_paired",AC343/SQRT(V343)*AD343,""))))),"")</f>
        <v>4.06148503622375</v>
      </c>
      <c r="AF343" s="7" t="n">
        <f aca="false">IF(AE343="","",IF(AB343="t_paired",1-3/(4*(V343-1)-1),1-3/(4*(V343+Y343)-9)))</f>
        <v>0.994854202401372</v>
      </c>
      <c r="AG343" s="7" t="n">
        <f aca="false">IF(AE343="","",AE343*AF343)</f>
        <v>4.04058545627749</v>
      </c>
      <c r="AH343" s="7" t="n">
        <f aca="false">IF(AG343="","",IF(AB343="t_paired",1/V343+AG343^2/(2*V343),(V343+Y343)/(V343*Y343)+AG343^2/(2*(V343+Y343))))</f>
        <v>0.0821884865428911</v>
      </c>
      <c r="AI343" s="7" t="n">
        <f aca="false">IF(AH343="","",SQRT(AH343))</f>
        <v>0.286685344136897</v>
      </c>
      <c r="AJ343" s="7" t="n">
        <f aca="false">IF(AI343="","",AG343-1.96*AI343)</f>
        <v>3.47868218176917</v>
      </c>
      <c r="AK343" s="7" t="n">
        <f aca="false">IF(AI343="","",AG343+1.96*AI343)</f>
        <v>4.60248873078581</v>
      </c>
      <c r="AL343" s="7" t="n">
        <f aca="false">IF(AI343="","",AG343/AI343)</f>
        <v>14.0941472555641</v>
      </c>
      <c r="AM343" s="8" t="n">
        <f aca="false">IF(AL343="","",2*(1-NORMSDIST(ABS(AL343))))</f>
        <v>0</v>
      </c>
      <c r="AN343" s="9" t="n">
        <f aca="false">IF(COUNT(V343)=0,"",IF(AB343="t_paired",V343,V343+N(Y343)))</f>
        <v>148</v>
      </c>
      <c r="AO343" s="7" t="n">
        <f aca="false">IF(AH343="","",1/AH343)</f>
        <v>12.1671543310161</v>
      </c>
      <c r="AP343" s="5" t="s">
        <v>88</v>
      </c>
      <c r="AQ343" s="5" t="s">
        <v>210</v>
      </c>
      <c r="AR343" s="5"/>
      <c r="AS343" s="7" t="n">
        <f aca="false">IF(AND(AP343="Y",ISNUMBER(AO343)),AO343,0)</f>
        <v>12.1671543310161</v>
      </c>
      <c r="AT343" s="7" t="n">
        <f aca="false">IF(AS343&gt;0,AS343*AG343,0)</f>
        <v>49.1624268341875</v>
      </c>
      <c r="AU343" s="7" t="n">
        <f aca="false">IF(AS343&gt;0,AS343*AG343^2,0)</f>
        <v>198.644986861524</v>
      </c>
      <c r="AV343" s="9" t="n">
        <f aca="false">IF(AS343&gt;0,AS343^2,0)</f>
        <v>148.039644514765</v>
      </c>
      <c r="AW343" s="7" t="n">
        <f aca="false">IF(AS343&gt;0,AG343,0)</f>
        <v>4.04058545627749</v>
      </c>
      <c r="AX343" s="7" t="n">
        <f aca="false">IF(AS343&gt;0,AH343,1)</f>
        <v>0.0821884865428911</v>
      </c>
    </row>
    <row r="344" customFormat="false" ht="15" hidden="false" customHeight="false" outlineLevel="0" collapsed="false">
      <c r="A344" s="5" t="s">
        <v>1070</v>
      </c>
      <c r="B344" s="5" t="s">
        <v>1071</v>
      </c>
      <c r="C344" s="5" t="s">
        <v>1072</v>
      </c>
      <c r="D344" s="5" t="n">
        <v>2020</v>
      </c>
      <c r="E344" s="5" t="s">
        <v>1073</v>
      </c>
      <c r="F344" s="5" t="s">
        <v>199</v>
      </c>
      <c r="G344" s="5" t="s">
        <v>160</v>
      </c>
      <c r="H344" s="5" t="s">
        <v>161</v>
      </c>
      <c r="I344" s="5" t="s">
        <v>161</v>
      </c>
      <c r="J344" s="5" t="s">
        <v>162</v>
      </c>
      <c r="K344" s="5" t="s">
        <v>163</v>
      </c>
      <c r="L344" s="5" t="s">
        <v>164</v>
      </c>
      <c r="M344" s="5"/>
      <c r="N344" s="5" t="n">
        <v>30</v>
      </c>
      <c r="O344" s="5" t="s">
        <v>162</v>
      </c>
      <c r="P344" s="10" t="s">
        <v>82</v>
      </c>
      <c r="Q344" s="10" t="s">
        <v>103</v>
      </c>
      <c r="R344" s="5"/>
      <c r="S344" s="10" t="s">
        <v>1074</v>
      </c>
      <c r="T344" s="5" t="s">
        <v>1075</v>
      </c>
      <c r="U344" s="10" t="s">
        <v>98</v>
      </c>
      <c r="V344" s="5" t="n">
        <v>21</v>
      </c>
      <c r="W344" s="5" t="n">
        <v>11.64</v>
      </c>
      <c r="X344" s="5" t="n">
        <v>5.17</v>
      </c>
      <c r="Y344" s="5" t="n">
        <v>20</v>
      </c>
      <c r="Z344" s="5" t="n">
        <v>10.59</v>
      </c>
      <c r="AA344" s="5" t="n">
        <v>4.67</v>
      </c>
      <c r="AB344" s="5" t="s">
        <v>99</v>
      </c>
      <c r="AC344" s="5"/>
      <c r="AD344" s="5" t="n">
        <v>1</v>
      </c>
      <c r="AE344" s="7" t="n">
        <f aca="false">IFERROR(IF(AB344="MSD",IF(COUNT(V344,W344,X344,Y344,Z344,AA344)&lt;6,"",(W344-Z344)/SQRT(((V344-1)*X344^2+(Y344-1)*AA344^2)/(V344+Y344-2))*AD344),IF(AB344="t",AC344*SQRT(1/V344+1/Y344)*AD344,IF(AB344="F",SQRT(AC344)*SQRT(1/V344+1/Y344)*AD344,IF(AB344="z",2*(AC344/SQRT(V344+Y344))/SQRT(1-(AC344/SQRT(V344+Y344))^2)*AD344,IF(AB344="t_paired",AC344/SQRT(V344)*AD344,""))))),"")</f>
        <v>0.212863207083395</v>
      </c>
      <c r="AF344" s="7" t="n">
        <f aca="false">IF(AE344="","",IF(AB344="t_paired",1-3/(4*(V344-1)-1),1-3/(4*(V344+Y344)-9)))</f>
        <v>0.980645161290323</v>
      </c>
      <c r="AG344" s="7" t="n">
        <f aca="false">IF(AE344="","",AE344*AF344)</f>
        <v>0.208743274043071</v>
      </c>
      <c r="AH344" s="7" t="n">
        <f aca="false">IF(AG344="","",IF(AB344="t_paired",1/V344+AG344^2/(2*V344),(V344+Y344)/(V344*Y344)+AG344^2/(2*(V344+Y344))))</f>
        <v>0.0981504348685381</v>
      </c>
      <c r="AI344" s="7" t="n">
        <f aca="false">IF(AH344="","",SQRT(AH344))</f>
        <v>0.313289697992989</v>
      </c>
      <c r="AJ344" s="7" t="n">
        <f aca="false">IF(AI344="","",AG344-1.96*AI344)</f>
        <v>-0.405304534023187</v>
      </c>
      <c r="AK344" s="7" t="n">
        <f aca="false">IF(AI344="","",AG344+1.96*AI344)</f>
        <v>0.822791082109329</v>
      </c>
      <c r="AL344" s="7" t="n">
        <f aca="false">IF(AI344="","",AG344/AI344)</f>
        <v>0.666294727788152</v>
      </c>
      <c r="AM344" s="8" t="n">
        <f aca="false">IF(AL344="","",2*(1-NORMSDIST(ABS(AL344))))</f>
        <v>0.505222734817948</v>
      </c>
      <c r="AN344" s="9" t="n">
        <f aca="false">IF(COUNT(V344)=0,"",IF(AB344="t_paired",V344,V344+N(Y344)))</f>
        <v>41</v>
      </c>
      <c r="AO344" s="7" t="n">
        <f aca="false">IF(AH344="","",1/AH344)</f>
        <v>10.1884418682341</v>
      </c>
      <c r="AP344" s="5" t="s">
        <v>100</v>
      </c>
      <c r="AQ344" s="5" t="s">
        <v>167</v>
      </c>
      <c r="AR344" s="5"/>
      <c r="AS344" s="9" t="n">
        <f aca="false">IF(AND(AP344="Y",ISNUMBER(AO344)),AO344,0)</f>
        <v>0</v>
      </c>
      <c r="AT344" s="7" t="n">
        <f aca="false">IF(AS344&gt;0,AS344*AG344,0)</f>
        <v>0</v>
      </c>
      <c r="AU344" s="7" t="n">
        <f aca="false">IF(AS344&gt;0,AS344*AG344^2,0)</f>
        <v>0</v>
      </c>
      <c r="AV344" s="9" t="n">
        <f aca="false">IF(AS344&gt;0,AS344^2,0)</f>
        <v>0</v>
      </c>
      <c r="AW344" s="7" t="n">
        <f aca="false">IF(AS344&gt;0,AG344,0)</f>
        <v>0</v>
      </c>
      <c r="AX344" s="7" t="n">
        <f aca="false">IF(AS344&gt;0,AH344,1)</f>
        <v>1</v>
      </c>
    </row>
    <row r="345" customFormat="false" ht="15" hidden="false" customHeight="false" outlineLevel="0" collapsed="false">
      <c r="A345" s="5" t="s">
        <v>1076</v>
      </c>
      <c r="B345" s="5" t="s">
        <v>1071</v>
      </c>
      <c r="C345" s="5" t="s">
        <v>1072</v>
      </c>
      <c r="D345" s="5" t="n">
        <v>2020</v>
      </c>
      <c r="E345" s="5" t="s">
        <v>1073</v>
      </c>
      <c r="F345" s="5" t="s">
        <v>199</v>
      </c>
      <c r="G345" s="5" t="s">
        <v>160</v>
      </c>
      <c r="H345" s="5" t="s">
        <v>161</v>
      </c>
      <c r="I345" s="5" t="s">
        <v>161</v>
      </c>
      <c r="J345" s="5" t="s">
        <v>162</v>
      </c>
      <c r="K345" s="5" t="s">
        <v>163</v>
      </c>
      <c r="L345" s="5" t="s">
        <v>164</v>
      </c>
      <c r="M345" s="5"/>
      <c r="N345" s="5" t="n">
        <v>30</v>
      </c>
      <c r="O345" s="5" t="s">
        <v>162</v>
      </c>
      <c r="P345" s="6" t="s">
        <v>82</v>
      </c>
      <c r="Q345" s="6" t="s">
        <v>103</v>
      </c>
      <c r="R345" s="5"/>
      <c r="S345" s="6" t="s">
        <v>1074</v>
      </c>
      <c r="T345" s="5" t="s">
        <v>1075</v>
      </c>
      <c r="U345" s="6" t="s">
        <v>86</v>
      </c>
      <c r="V345" s="5" t="n">
        <v>21</v>
      </c>
      <c r="W345" s="5" t="n">
        <v>15.25</v>
      </c>
      <c r="X345" s="5" t="n">
        <v>5.08</v>
      </c>
      <c r="Y345" s="5" t="n">
        <v>20</v>
      </c>
      <c r="Z345" s="5" t="n">
        <v>14.6</v>
      </c>
      <c r="AA345" s="5" t="n">
        <v>5.36</v>
      </c>
      <c r="AB345" s="5" t="s">
        <v>99</v>
      </c>
      <c r="AC345" s="5"/>
      <c r="AD345" s="5" t="n">
        <v>1</v>
      </c>
      <c r="AE345" s="7" t="n">
        <f aca="false">IFERROR(IF(AB345="MSD",IF(COUNT(V345,W345,X345,Y345,Z345,AA345)&lt;6,"",(W345-Z345)/SQRT(((V345-1)*X345^2+(Y345-1)*AA345^2)/(V345+Y345-2))*AD345),IF(AB345="t",AC345*SQRT(1/V345+1/Y345)*AD345,IF(AB345="F",SQRT(AC345)*SQRT(1/V345+1/Y345)*AD345,IF(AB345="z",2*(AC345/SQRT(V345+Y345))/SQRT(1-(AC345/SQRT(V345+Y345))^2)*AD345,IF(AB345="t_paired",AC345/SQRT(V345)*AD345,""))))),"")</f>
        <v>0.124561940326373</v>
      </c>
      <c r="AF345" s="7" t="n">
        <f aca="false">IF(AE345="","",IF(AB345="t_paired",1-3/(4*(V345-1)-1),1-3/(4*(V345+Y345)-9)))</f>
        <v>0.980645161290323</v>
      </c>
      <c r="AG345" s="7" t="n">
        <f aca="false">IF(AE345="","",AE345*AF345)</f>
        <v>0.122151064061992</v>
      </c>
      <c r="AH345" s="7" t="n">
        <f aca="false">IF(AG345="","",IF(AB345="t_paired",1/V345+AG345^2/(2*V345),(V345+Y345)/(V345*Y345)+AG345^2/(2*(V345+Y345))))</f>
        <v>0.0978010096001632</v>
      </c>
      <c r="AI345" s="7" t="n">
        <f aca="false">IF(AH345="","",SQRT(AH345))</f>
        <v>0.312731529590739</v>
      </c>
      <c r="AJ345" s="7" t="n">
        <f aca="false">IF(AI345="","",AG345-1.96*AI345)</f>
        <v>-0.490802733935856</v>
      </c>
      <c r="AK345" s="7" t="n">
        <f aca="false">IF(AI345="","",AG345+1.96*AI345)</f>
        <v>0.73510486205984</v>
      </c>
      <c r="AL345" s="7" t="n">
        <f aca="false">IF(AI345="","",AG345/AI345)</f>
        <v>0.390594015965857</v>
      </c>
      <c r="AM345" s="8" t="n">
        <f aca="false">IF(AL345="","",2*(1-NORMSDIST(ABS(AL345))))</f>
        <v>0.696097349534668</v>
      </c>
      <c r="AN345" s="9" t="n">
        <f aca="false">IF(COUNT(V345)=0,"",IF(AB345="t_paired",V345,V345+N(Y345)))</f>
        <v>41</v>
      </c>
      <c r="AO345" s="7" t="n">
        <f aca="false">IF(AH345="","",1/AH345)</f>
        <v>10.2248433230727</v>
      </c>
      <c r="AP345" s="5" t="s">
        <v>88</v>
      </c>
      <c r="AQ345" s="5" t="s">
        <v>167</v>
      </c>
      <c r="AR345" s="5"/>
      <c r="AS345" s="7" t="n">
        <f aca="false">IF(AND(AP345="Y",ISNUMBER(AO345)),AO345,0)</f>
        <v>10.2248433230727</v>
      </c>
      <c r="AT345" s="7" t="n">
        <f aca="false">IF(AS345&gt;0,AS345*AG345,0)</f>
        <v>1.24897549178049</v>
      </c>
      <c r="AU345" s="7" t="n">
        <f aca="false">IF(AS345&gt;0,AS345*AG345^2,0)</f>
        <v>0.152563685308336</v>
      </c>
      <c r="AV345" s="9" t="n">
        <f aca="false">IF(AS345&gt;0,AS345^2,0)</f>
        <v>104.547420981385</v>
      </c>
      <c r="AW345" s="7" t="n">
        <f aca="false">IF(AS345&gt;0,AG345,0)</f>
        <v>0.122151064061992</v>
      </c>
      <c r="AX345" s="7" t="n">
        <f aca="false">IF(AS345&gt;0,AH345,1)</f>
        <v>0.0978010096001632</v>
      </c>
    </row>
    <row r="346" customFormat="false" ht="15" hidden="false" customHeight="false" outlineLevel="0" collapsed="false">
      <c r="A346" s="5" t="s">
        <v>1077</v>
      </c>
      <c r="B346" s="5" t="s">
        <v>1078</v>
      </c>
      <c r="C346" s="5" t="s">
        <v>1079</v>
      </c>
      <c r="D346" s="5" t="n">
        <v>2025</v>
      </c>
      <c r="E346" s="5" t="s">
        <v>221</v>
      </c>
      <c r="F346" s="5" t="s">
        <v>173</v>
      </c>
      <c r="G346" s="5" t="s">
        <v>160</v>
      </c>
      <c r="H346" s="5" t="s">
        <v>74</v>
      </c>
      <c r="I346" s="5" t="s">
        <v>207</v>
      </c>
      <c r="J346" s="5" t="s">
        <v>162</v>
      </c>
      <c r="K346" s="5" t="s">
        <v>163</v>
      </c>
      <c r="L346" s="5" t="s">
        <v>164</v>
      </c>
      <c r="M346" s="5" t="n">
        <v>8</v>
      </c>
      <c r="N346" s="5"/>
      <c r="O346" s="5" t="s">
        <v>261</v>
      </c>
      <c r="P346" s="10" t="s">
        <v>82</v>
      </c>
      <c r="Q346" s="10" t="s">
        <v>191</v>
      </c>
      <c r="R346" s="5"/>
      <c r="S346" s="10" t="s">
        <v>1080</v>
      </c>
      <c r="T346" s="5" t="s">
        <v>1081</v>
      </c>
      <c r="U346" s="10" t="s">
        <v>98</v>
      </c>
      <c r="V346" s="5" t="n">
        <v>36</v>
      </c>
      <c r="W346" s="5" t="n">
        <v>7.69</v>
      </c>
      <c r="X346" s="5" t="n">
        <v>1.04</v>
      </c>
      <c r="Y346" s="5" t="n">
        <v>36</v>
      </c>
      <c r="Z346" s="5" t="n">
        <v>8.03</v>
      </c>
      <c r="AA346" s="5" t="n">
        <v>1.13</v>
      </c>
      <c r="AB346" s="5" t="s">
        <v>99</v>
      </c>
      <c r="AC346" s="5"/>
      <c r="AD346" s="5" t="n">
        <v>1</v>
      </c>
      <c r="AE346" s="7" t="n">
        <f aca="false">IFERROR(IF(AB346="MSD",IF(COUNT(V346,W346,X346,Y346,Z346,AA346)&lt;6,"",(W346-Z346)/SQRT(((V346-1)*X346^2+(Y346-1)*AA346^2)/(V346+Y346-2))*AD346),IF(AB346="t",AC346*SQRT(1/V346+1/Y346)*AD346,IF(AB346="F",SQRT(AC346)*SQRT(1/V346+1/Y346)*AD346,IF(AB346="z",2*(AC346/SQRT(V346+Y346))/SQRT(1-(AC346/SQRT(V346+Y346))^2)*AD346,IF(AB346="t_paired",AC346/SQRT(V346)*AD346,""))))),"")</f>
        <v>-0.313094886394473</v>
      </c>
      <c r="AF346" s="7" t="n">
        <f aca="false">IF(AE346="","",IF(AB346="t_paired",1-3/(4*(V346-1)-1),1-3/(4*(V346+Y346)-9)))</f>
        <v>0.989247311827957</v>
      </c>
      <c r="AG346" s="7" t="n">
        <f aca="false">IF(AE346="","",AE346*AF346)</f>
        <v>-0.309728274712812</v>
      </c>
      <c r="AH346" s="7" t="n">
        <f aca="false">IF(AG346="","",IF(AB346="t_paired",1/V346+AG346^2/(2*V346),(V346+Y346)/(V346*Y346)+AG346^2/(2*(V346+Y346))))</f>
        <v>0.0562217472510873</v>
      </c>
      <c r="AI346" s="7" t="n">
        <f aca="false">IF(AH346="","",SQRT(AH346))</f>
        <v>0.237111255007196</v>
      </c>
      <c r="AJ346" s="7" t="n">
        <f aca="false">IF(AI346="","",AG346-1.96*AI346)</f>
        <v>-0.774466334526915</v>
      </c>
      <c r="AK346" s="7" t="n">
        <f aca="false">IF(AI346="","",AG346+1.96*AI346)</f>
        <v>0.155009785101291</v>
      </c>
      <c r="AL346" s="7" t="n">
        <f aca="false">IF(AI346="","",AG346/AI346)</f>
        <v>-1.30625716060342</v>
      </c>
      <c r="AM346" s="8" t="n">
        <f aca="false">IF(AL346="","",2*(1-NORMSDIST(ABS(AL346))))</f>
        <v>0.191465120135703</v>
      </c>
      <c r="AN346" s="9" t="n">
        <f aca="false">IF(COUNT(V346)=0,"",IF(AB346="t_paired",V346,V346+N(Y346)))</f>
        <v>72</v>
      </c>
      <c r="AO346" s="7" t="n">
        <f aca="false">IF(AH346="","",1/AH346)</f>
        <v>17.7867115287965</v>
      </c>
      <c r="AP346" s="5" t="s">
        <v>100</v>
      </c>
      <c r="AQ346" s="5" t="s">
        <v>178</v>
      </c>
      <c r="AR346" s="5" t="s">
        <v>1082</v>
      </c>
      <c r="AS346" s="9" t="n">
        <f aca="false">IF(AND(AP346="Y",ISNUMBER(AO346)),AO346,0)</f>
        <v>0</v>
      </c>
      <c r="AT346" s="7" t="n">
        <f aca="false">IF(AS346&gt;0,AS346*AG346,0)</f>
        <v>0</v>
      </c>
      <c r="AU346" s="7" t="n">
        <f aca="false">IF(AS346&gt;0,AS346*AG346^2,0)</f>
        <v>0</v>
      </c>
      <c r="AV346" s="9" t="n">
        <f aca="false">IF(AS346&gt;0,AS346^2,0)</f>
        <v>0</v>
      </c>
      <c r="AW346" s="7" t="n">
        <f aca="false">IF(AS346&gt;0,AG346,0)</f>
        <v>0</v>
      </c>
      <c r="AX346" s="7" t="n">
        <f aca="false">IF(AS346&gt;0,AH346,1)</f>
        <v>1</v>
      </c>
    </row>
    <row r="347" customFormat="false" ht="15" hidden="false" customHeight="false" outlineLevel="0" collapsed="false">
      <c r="A347" s="5" t="s">
        <v>1083</v>
      </c>
      <c r="B347" s="5" t="s">
        <v>1078</v>
      </c>
      <c r="C347" s="5" t="s">
        <v>1079</v>
      </c>
      <c r="D347" s="5" t="n">
        <v>2025</v>
      </c>
      <c r="E347" s="5" t="s">
        <v>221</v>
      </c>
      <c r="F347" s="5" t="s">
        <v>173</v>
      </c>
      <c r="G347" s="5" t="s">
        <v>160</v>
      </c>
      <c r="H347" s="5" t="s">
        <v>74</v>
      </c>
      <c r="I347" s="5" t="s">
        <v>207</v>
      </c>
      <c r="J347" s="5" t="s">
        <v>162</v>
      </c>
      <c r="K347" s="5" t="s">
        <v>163</v>
      </c>
      <c r="L347" s="5" t="s">
        <v>164</v>
      </c>
      <c r="M347" s="5" t="n">
        <v>8</v>
      </c>
      <c r="N347" s="5"/>
      <c r="O347" s="5" t="s">
        <v>261</v>
      </c>
      <c r="P347" s="6" t="s">
        <v>82</v>
      </c>
      <c r="Q347" s="6" t="s">
        <v>191</v>
      </c>
      <c r="R347" s="5"/>
      <c r="S347" s="6" t="s">
        <v>1080</v>
      </c>
      <c r="T347" s="5" t="s">
        <v>1081</v>
      </c>
      <c r="U347" s="6" t="s">
        <v>86</v>
      </c>
      <c r="V347" s="5" t="n">
        <v>36</v>
      </c>
      <c r="W347" s="5" t="n">
        <v>8.67</v>
      </c>
      <c r="X347" s="5" t="n">
        <v>1.04</v>
      </c>
      <c r="Y347" s="5" t="n">
        <v>36</v>
      </c>
      <c r="Z347" s="5" t="n">
        <v>8.06</v>
      </c>
      <c r="AA347" s="5" t="n">
        <v>0.92</v>
      </c>
      <c r="AB347" s="5" t="s">
        <v>99</v>
      </c>
      <c r="AC347" s="5"/>
      <c r="AD347" s="5" t="n">
        <v>1</v>
      </c>
      <c r="AE347" s="7" t="n">
        <f aca="false">IFERROR(IF(AB347="MSD",IF(COUNT(V347,W347,X347,Y347,Z347,AA347)&lt;6,"",(W347-Z347)/SQRT(((V347-1)*X347^2+(Y347-1)*AA347^2)/(V347+Y347-2))*AD347),IF(AB347="t",AC347*SQRT(1/V347+1/Y347)*AD347,IF(AB347="F",SQRT(AC347)*SQRT(1/V347+1/Y347)*AD347,IF(AB347="z",2*(AC347/SQRT(V347+Y347))/SQRT(1-(AC347/SQRT(V347+Y347))^2)*AD347,IF(AB347="t_paired",AC347/SQRT(V347)*AD347,""))))),"")</f>
        <v>0.621285643341616</v>
      </c>
      <c r="AF347" s="7" t="n">
        <f aca="false">IF(AE347="","",IF(AB347="t_paired",1-3/(4*(V347-1)-1),1-3/(4*(V347+Y347)-9)))</f>
        <v>0.989247311827957</v>
      </c>
      <c r="AG347" s="7" t="n">
        <f aca="false">IF(AE347="","",AE347*AF347)</f>
        <v>0.614605152552997</v>
      </c>
      <c r="AH347" s="7" t="n">
        <f aca="false">IF(AG347="","",IF(AB347="t_paired",1/V347+AG347^2/(2*V347),(V347+Y347)/(V347*Y347)+AG347^2/(2*(V347+Y347))))</f>
        <v>0.0581787464829492</v>
      </c>
      <c r="AI347" s="7" t="n">
        <f aca="false">IF(AH347="","",SQRT(AH347))</f>
        <v>0.241202708282783</v>
      </c>
      <c r="AJ347" s="7" t="n">
        <f aca="false">IF(AI347="","",AG347-1.96*AI347)</f>
        <v>0.141847844318742</v>
      </c>
      <c r="AK347" s="7" t="n">
        <f aca="false">IF(AI347="","",AG347+1.96*AI347)</f>
        <v>1.08736246078725</v>
      </c>
      <c r="AL347" s="7" t="n">
        <f aca="false">IF(AI347="","",AG347/AI347)</f>
        <v>2.54808562030092</v>
      </c>
      <c r="AM347" s="8" t="n">
        <f aca="false">IF(AL347="","",2*(1-NORMSDIST(ABS(AL347))))</f>
        <v>0.0108315883199439</v>
      </c>
      <c r="AN347" s="9" t="n">
        <f aca="false">IF(COUNT(V347)=0,"",IF(AB347="t_paired",V347,V347+N(Y347)))</f>
        <v>72</v>
      </c>
      <c r="AO347" s="7" t="n">
        <f aca="false">IF(AH347="","",1/AH347)</f>
        <v>17.188407458952</v>
      </c>
      <c r="AP347" s="5" t="s">
        <v>88</v>
      </c>
      <c r="AQ347" s="5" t="s">
        <v>178</v>
      </c>
      <c r="AR347" s="5" t="s">
        <v>1082</v>
      </c>
      <c r="AS347" s="7" t="n">
        <f aca="false">IF(AND(AP347="Y",ISNUMBER(AO347)),AO347,0)</f>
        <v>17.188407458952</v>
      </c>
      <c r="AT347" s="7" t="n">
        <f aca="false">IF(AS347&gt;0,AS347*AG347,0)</f>
        <v>10.5640837884522</v>
      </c>
      <c r="AU347" s="7" t="n">
        <f aca="false">IF(AS347&gt;0,AS347*AG347^2,0)</f>
        <v>6.49274032838433</v>
      </c>
      <c r="AV347" s="9" t="n">
        <f aca="false">IF(AS347&gt;0,AS347^2,0)</f>
        <v>295.441350974955</v>
      </c>
      <c r="AW347" s="7" t="n">
        <f aca="false">IF(AS347&gt;0,AG347,0)</f>
        <v>0.614605152552997</v>
      </c>
      <c r="AX347" s="7" t="n">
        <f aca="false">IF(AS347&gt;0,AH347,1)</f>
        <v>0.0581787464829492</v>
      </c>
    </row>
  </sheetData>
  <autoFilter ref="A1:AX347"/>
  <dataValidations count="3">
    <dataValidation allowBlank="true" errorStyle="stop" operator="between" showDropDown="false" showErrorMessage="false" showInputMessage="false" sqref="AB2:AB547" type="list">
      <formula1>"MSD,t,F,z,t_paired"</formula1>
      <formula2>0</formula2>
    </dataValidation>
    <dataValidation allowBlank="false" errorStyle="stop" operator="between" showDropDown="false" showErrorMessage="false" showInputMessage="false" sqref="AP2:AP547" type="list">
      <formula1>"Y,N"</formula1>
      <formula2>0</formula2>
    </dataValidation>
    <dataValidation allowBlank="false" errorStyle="stop" operator="between" showDropDown="false" showErrorMessage="false" showInputMessage="false" sqref="AD2:AD547" type="list">
      <formula1>"1,-1"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24"/>
    <col collapsed="false" customWidth="true" hidden="false" outlineLevel="0" max="11" min="11" style="0" width="32"/>
    <col collapsed="false" customWidth="true" hidden="false" outlineLevel="0" max="12" min="12" style="0" width="11"/>
    <col collapsed="false" customWidth="true" hidden="false" outlineLevel="0" max="14" min="13" style="0" width="30"/>
    <col collapsed="false" customWidth="true" hidden="false" outlineLevel="0" max="15" min="15" style="0" width="8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6"/>
    <col collapsed="false" customWidth="true" hidden="false" outlineLevel="0" max="19" min="19" style="0" width="8"/>
    <col collapsed="false" customWidth="true" hidden="false" outlineLevel="0" max="22" min="20" style="0" width="10"/>
    <col collapsed="false" customWidth="true" hidden="false" outlineLevel="0" max="23" min="23" style="0" width="40"/>
    <col collapsed="false" customWidth="true" hidden="false" outlineLevel="0" max="24" min="24" style="0" width="32"/>
  </cols>
  <sheetData>
    <row r="1" customFormat="false" ht="42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1084</v>
      </c>
      <c r="E1" s="4" t="s">
        <v>1085</v>
      </c>
      <c r="F1" s="4" t="s">
        <v>1086</v>
      </c>
      <c r="G1" s="4" t="s">
        <v>22</v>
      </c>
      <c r="H1" s="4" t="s">
        <v>23</v>
      </c>
      <c r="I1" s="4" t="s">
        <v>24</v>
      </c>
      <c r="J1" s="4" t="s">
        <v>25</v>
      </c>
      <c r="K1" s="4" t="s">
        <v>26</v>
      </c>
      <c r="L1" s="4" t="s">
        <v>27</v>
      </c>
      <c r="M1" s="4" t="s">
        <v>28</v>
      </c>
      <c r="N1" s="4" t="s">
        <v>29</v>
      </c>
      <c r="O1" s="4" t="s">
        <v>1087</v>
      </c>
      <c r="P1" s="4" t="s">
        <v>30</v>
      </c>
      <c r="Q1" s="4" t="s">
        <v>31</v>
      </c>
      <c r="R1" s="4" t="s">
        <v>32</v>
      </c>
      <c r="S1" s="4" t="s">
        <v>1088</v>
      </c>
      <c r="T1" s="4" t="s">
        <v>1089</v>
      </c>
      <c r="U1" s="4" t="s">
        <v>1090</v>
      </c>
      <c r="V1" s="4" t="s">
        <v>1091</v>
      </c>
      <c r="W1" s="4" t="s">
        <v>60</v>
      </c>
      <c r="X1" s="4" t="s">
        <v>1092</v>
      </c>
    </row>
    <row r="2" customFormat="false" ht="15" hidden="false" customHeight="false" outlineLevel="0" collapsed="false">
      <c r="A2" s="5" t="s">
        <v>69</v>
      </c>
      <c r="B2" s="5" t="s">
        <v>70</v>
      </c>
      <c r="C2" s="5" t="n">
        <v>2022</v>
      </c>
      <c r="D2" s="5" t="s">
        <v>1093</v>
      </c>
      <c r="E2" s="5" t="s">
        <v>1094</v>
      </c>
      <c r="F2" s="5" t="s">
        <v>1095</v>
      </c>
      <c r="G2" s="5" t="s">
        <v>71</v>
      </c>
      <c r="H2" s="5" t="s">
        <v>72</v>
      </c>
      <c r="I2" s="5" t="s">
        <v>73</v>
      </c>
      <c r="J2" s="5" t="s">
        <v>74</v>
      </c>
      <c r="K2" s="5" t="s">
        <v>75</v>
      </c>
      <c r="L2" s="5" t="s">
        <v>76</v>
      </c>
      <c r="M2" s="5" t="s">
        <v>77</v>
      </c>
      <c r="N2" s="5" t="s">
        <v>78</v>
      </c>
      <c r="O2" s="5" t="n">
        <v>51</v>
      </c>
      <c r="P2" s="5" t="s">
        <v>79</v>
      </c>
      <c r="Q2" s="5" t="s">
        <v>80</v>
      </c>
      <c r="R2" s="5" t="s">
        <v>81</v>
      </c>
      <c r="S2" s="12" t="n">
        <f aca="false">COUNTIF(ES_Data!$B$2:$B$347,A2)</f>
        <v>8</v>
      </c>
      <c r="T2" s="12" t="n">
        <f aca="false">COUNTIFS(ES_Data!$B$2:$B$347,A2,ES_Data!$AP$2:$AP$347,"Y")</f>
        <v>4</v>
      </c>
      <c r="U2" s="12" t="n">
        <f aca="false">COUNTIFS(ES_Data!$B$2:$B$347,A2,ES_Data!$AP$2:$AP$347,"Y",ES_Data!$P$2:$P$347,"Cognitive")</f>
        <v>3</v>
      </c>
      <c r="V2" s="12" t="n">
        <f aca="false">COUNTIFS(ES_Data!$B$2:$B$347,A2,ES_Data!$AP$2:$AP$347,"Y",ES_Data!$P$2:$P$347,"Non-cognitive")</f>
        <v>1</v>
      </c>
      <c r="W2" s="5" t="s">
        <v>89</v>
      </c>
      <c r="X2" s="5" t="s">
        <v>1096</v>
      </c>
    </row>
    <row r="3" customFormat="false" ht="15" hidden="false" customHeight="false" outlineLevel="0" collapsed="false">
      <c r="A3" s="5" t="s">
        <v>129</v>
      </c>
      <c r="B3" s="5" t="s">
        <v>130</v>
      </c>
      <c r="C3" s="5" t="n">
        <v>2024</v>
      </c>
      <c r="D3" s="5" t="s">
        <v>1097</v>
      </c>
      <c r="E3" s="5" t="s">
        <v>1098</v>
      </c>
      <c r="F3" s="5" t="s">
        <v>1095</v>
      </c>
      <c r="G3" s="5" t="s">
        <v>71</v>
      </c>
      <c r="H3" s="5" t="s">
        <v>72</v>
      </c>
      <c r="I3" s="5" t="s">
        <v>73</v>
      </c>
      <c r="J3" s="5" t="s">
        <v>131</v>
      </c>
      <c r="K3" s="5" t="s">
        <v>132</v>
      </c>
      <c r="L3" s="5" t="s">
        <v>76</v>
      </c>
      <c r="M3" s="5" t="s">
        <v>133</v>
      </c>
      <c r="N3" s="5" t="s">
        <v>134</v>
      </c>
      <c r="O3" s="5" t="n">
        <v>75</v>
      </c>
      <c r="P3" s="5" t="s">
        <v>135</v>
      </c>
      <c r="Q3" s="5" t="s">
        <v>136</v>
      </c>
      <c r="R3" s="5" t="s">
        <v>81</v>
      </c>
      <c r="S3" s="12" t="n">
        <f aca="false">COUNTIF(ES_Data!$B$2:$B$347,A3)</f>
        <v>6</v>
      </c>
      <c r="T3" s="12" t="n">
        <f aca="false">COUNTIFS(ES_Data!$B$2:$B$347,A3,ES_Data!$AP$2:$AP$347,"Y")</f>
        <v>3</v>
      </c>
      <c r="U3" s="12" t="n">
        <f aca="false">COUNTIFS(ES_Data!$B$2:$B$347,A3,ES_Data!$AP$2:$AP$347,"Y",ES_Data!$P$2:$P$347,"Cognitive")</f>
        <v>3</v>
      </c>
      <c r="V3" s="12" t="n">
        <f aca="false">COUNTIFS(ES_Data!$B$2:$B$347,A3,ES_Data!$AP$2:$AP$347,"Y",ES_Data!$P$2:$P$347,"Non-cognitive")</f>
        <v>0</v>
      </c>
      <c r="W3" s="5" t="s">
        <v>89</v>
      </c>
      <c r="X3" s="5" t="s">
        <v>1099</v>
      </c>
    </row>
    <row r="4" customFormat="false" ht="15" hidden="false" customHeight="false" outlineLevel="0" collapsed="false">
      <c r="A4" s="5" t="s">
        <v>156</v>
      </c>
      <c r="B4" s="5" t="s">
        <v>157</v>
      </c>
      <c r="C4" s="5" t="n">
        <v>2021</v>
      </c>
      <c r="D4" s="5" t="s">
        <v>1100</v>
      </c>
      <c r="E4" s="5"/>
      <c r="F4" s="5" t="s">
        <v>1101</v>
      </c>
      <c r="G4" s="5" t="s">
        <v>158</v>
      </c>
      <c r="H4" s="5" t="s">
        <v>159</v>
      </c>
      <c r="I4" s="5" t="s">
        <v>160</v>
      </c>
      <c r="J4" s="5" t="s">
        <v>161</v>
      </c>
      <c r="K4" s="5" t="s">
        <v>161</v>
      </c>
      <c r="L4" s="5" t="s">
        <v>162</v>
      </c>
      <c r="M4" s="5" t="s">
        <v>163</v>
      </c>
      <c r="N4" s="5" t="s">
        <v>164</v>
      </c>
      <c r="O4" s="5" t="n">
        <v>67</v>
      </c>
      <c r="P4" s="5"/>
      <c r="Q4" s="5"/>
      <c r="R4" s="5" t="s">
        <v>162</v>
      </c>
      <c r="S4" s="12" t="n">
        <f aca="false">COUNTIF(ES_Data!$B$2:$B$347,A4)</f>
        <v>2</v>
      </c>
      <c r="T4" s="12" t="n">
        <f aca="false">COUNTIFS(ES_Data!$B$2:$B$347,A4,ES_Data!$AP$2:$AP$347,"Y")</f>
        <v>2</v>
      </c>
      <c r="U4" s="12" t="n">
        <f aca="false">COUNTIFS(ES_Data!$B$2:$B$347,A4,ES_Data!$AP$2:$AP$347,"Y",ES_Data!$P$2:$P$347,"Cognitive")</f>
        <v>2</v>
      </c>
      <c r="V4" s="12" t="n">
        <f aca="false">COUNTIFS(ES_Data!$B$2:$B$347,A4,ES_Data!$AP$2:$AP$347,"Y",ES_Data!$P$2:$P$347,"Non-cognitive")</f>
        <v>0</v>
      </c>
      <c r="W4" s="5" t="s">
        <v>1102</v>
      </c>
      <c r="X4" s="5"/>
    </row>
    <row r="5" customFormat="false" ht="15" hidden="false" customHeight="false" outlineLevel="0" collapsed="false">
      <c r="A5" s="5" t="s">
        <v>171</v>
      </c>
      <c r="B5" s="5" t="s">
        <v>172</v>
      </c>
      <c r="C5" s="5" t="n">
        <v>2023</v>
      </c>
      <c r="D5" s="5" t="s">
        <v>1103</v>
      </c>
      <c r="E5" s="5"/>
      <c r="F5" s="5" t="s">
        <v>1101</v>
      </c>
      <c r="G5" s="5" t="s">
        <v>158</v>
      </c>
      <c r="H5" s="5" t="s">
        <v>173</v>
      </c>
      <c r="I5" s="5" t="s">
        <v>160</v>
      </c>
      <c r="J5" s="5" t="s">
        <v>174</v>
      </c>
      <c r="K5" s="5" t="s">
        <v>175</v>
      </c>
      <c r="L5" s="5" t="s">
        <v>162</v>
      </c>
      <c r="M5" s="5" t="s">
        <v>163</v>
      </c>
      <c r="N5" s="5" t="s">
        <v>164</v>
      </c>
      <c r="O5" s="5" t="n">
        <v>84</v>
      </c>
      <c r="P5" s="5"/>
      <c r="Q5" s="5"/>
      <c r="R5" s="5" t="s">
        <v>162</v>
      </c>
      <c r="S5" s="12" t="n">
        <f aca="false">COUNTIF(ES_Data!$B$2:$B$347,A5)</f>
        <v>2</v>
      </c>
      <c r="T5" s="12" t="n">
        <f aca="false">COUNTIFS(ES_Data!$B$2:$B$347,A5,ES_Data!$AP$2:$AP$347,"Y")</f>
        <v>2</v>
      </c>
      <c r="U5" s="12" t="n">
        <f aca="false">COUNTIFS(ES_Data!$B$2:$B$347,A5,ES_Data!$AP$2:$AP$347,"Y",ES_Data!$P$2:$P$347,"Cognitive")</f>
        <v>2</v>
      </c>
      <c r="V5" s="12" t="n">
        <f aca="false">COUNTIFS(ES_Data!$B$2:$B$347,A5,ES_Data!$AP$2:$AP$347,"Y",ES_Data!$P$2:$P$347,"Non-cognitive")</f>
        <v>0</v>
      </c>
      <c r="W5" s="5" t="s">
        <v>1104</v>
      </c>
      <c r="X5" s="5"/>
    </row>
    <row r="6" customFormat="false" ht="15" hidden="false" customHeight="false" outlineLevel="0" collapsed="false">
      <c r="A6" s="5" t="s">
        <v>184</v>
      </c>
      <c r="B6" s="5" t="s">
        <v>185</v>
      </c>
      <c r="C6" s="5" t="n">
        <v>2023</v>
      </c>
      <c r="D6" s="5" t="s">
        <v>1105</v>
      </c>
      <c r="E6" s="5"/>
      <c r="F6" s="5" t="s">
        <v>1101</v>
      </c>
      <c r="G6" s="5" t="s">
        <v>186</v>
      </c>
      <c r="H6" s="5" t="s">
        <v>72</v>
      </c>
      <c r="I6" s="5" t="s">
        <v>187</v>
      </c>
      <c r="J6" s="5" t="s">
        <v>131</v>
      </c>
      <c r="K6" s="5" t="s">
        <v>188</v>
      </c>
      <c r="L6" s="5" t="s">
        <v>189</v>
      </c>
      <c r="M6" s="5" t="s">
        <v>163</v>
      </c>
      <c r="N6" s="5" t="s">
        <v>164</v>
      </c>
      <c r="O6" s="5" t="n">
        <v>100</v>
      </c>
      <c r="P6" s="5" t="n">
        <v>3</v>
      </c>
      <c r="Q6" s="5"/>
      <c r="R6" s="5" t="s">
        <v>190</v>
      </c>
      <c r="S6" s="12" t="n">
        <f aca="false">COUNTIF(ES_Data!$B$2:$B$347,A6)</f>
        <v>2</v>
      </c>
      <c r="T6" s="12" t="n">
        <f aca="false">COUNTIFS(ES_Data!$B$2:$B$347,A6,ES_Data!$AP$2:$AP$347,"Y")</f>
        <v>1</v>
      </c>
      <c r="U6" s="12" t="n">
        <f aca="false">COUNTIFS(ES_Data!$B$2:$B$347,A6,ES_Data!$AP$2:$AP$347,"Y",ES_Data!$P$2:$P$347,"Cognitive")</f>
        <v>1</v>
      </c>
      <c r="V6" s="12" t="n">
        <f aca="false">COUNTIFS(ES_Data!$B$2:$B$347,A6,ES_Data!$AP$2:$AP$347,"Y",ES_Data!$P$2:$P$347,"Non-cognitive")</f>
        <v>0</v>
      </c>
      <c r="W6" s="5" t="s">
        <v>1106</v>
      </c>
      <c r="X6" s="5"/>
    </row>
    <row r="7" customFormat="false" ht="15" hidden="false" customHeight="false" outlineLevel="0" collapsed="false">
      <c r="A7" s="5" t="s">
        <v>197</v>
      </c>
      <c r="B7" s="5" t="s">
        <v>198</v>
      </c>
      <c r="C7" s="5" t="n">
        <v>2023</v>
      </c>
      <c r="D7" s="5" t="s">
        <v>1107</v>
      </c>
      <c r="E7" s="5"/>
      <c r="F7" s="5" t="s">
        <v>1101</v>
      </c>
      <c r="G7" s="5" t="s">
        <v>186</v>
      </c>
      <c r="H7" s="5" t="s">
        <v>199</v>
      </c>
      <c r="I7" s="5" t="s">
        <v>160</v>
      </c>
      <c r="J7" s="5" t="s">
        <v>74</v>
      </c>
      <c r="K7" s="5" t="s">
        <v>200</v>
      </c>
      <c r="L7" s="5" t="s">
        <v>162</v>
      </c>
      <c r="M7" s="5" t="s">
        <v>163</v>
      </c>
      <c r="N7" s="5" t="s">
        <v>164</v>
      </c>
      <c r="O7" s="5" t="n">
        <v>72</v>
      </c>
      <c r="P7" s="5"/>
      <c r="Q7" s="5" t="n">
        <v>120</v>
      </c>
      <c r="R7" s="5" t="s">
        <v>162</v>
      </c>
      <c r="S7" s="12" t="n">
        <f aca="false">COUNTIF(ES_Data!$B$2:$B$347,A7)</f>
        <v>1</v>
      </c>
      <c r="T7" s="12" t="n">
        <f aca="false">COUNTIFS(ES_Data!$B$2:$B$347,A7,ES_Data!$AP$2:$AP$347,"Y")</f>
        <v>1</v>
      </c>
      <c r="U7" s="12" t="n">
        <f aca="false">COUNTIFS(ES_Data!$B$2:$B$347,A7,ES_Data!$AP$2:$AP$347,"Y",ES_Data!$P$2:$P$347,"Cognitive")</f>
        <v>1</v>
      </c>
      <c r="V7" s="12" t="n">
        <f aca="false">COUNTIFS(ES_Data!$B$2:$B$347,A7,ES_Data!$AP$2:$AP$347,"Y",ES_Data!$P$2:$P$347,"Non-cognitive")</f>
        <v>0</v>
      </c>
      <c r="W7" s="5" t="s">
        <v>1102</v>
      </c>
      <c r="X7" s="5"/>
    </row>
    <row r="8" customFormat="false" ht="15" hidden="false" customHeight="false" outlineLevel="0" collapsed="false">
      <c r="A8" s="5" t="s">
        <v>204</v>
      </c>
      <c r="B8" s="5" t="s">
        <v>205</v>
      </c>
      <c r="C8" s="5" t="n">
        <v>2022</v>
      </c>
      <c r="D8" s="5" t="s">
        <v>1108</v>
      </c>
      <c r="E8" s="5"/>
      <c r="F8" s="5" t="s">
        <v>1101</v>
      </c>
      <c r="G8" s="5" t="s">
        <v>206</v>
      </c>
      <c r="H8" s="5" t="s">
        <v>173</v>
      </c>
      <c r="I8" s="5" t="s">
        <v>160</v>
      </c>
      <c r="J8" s="5" t="s">
        <v>74</v>
      </c>
      <c r="K8" s="5" t="s">
        <v>207</v>
      </c>
      <c r="L8" s="5" t="s">
        <v>162</v>
      </c>
      <c r="M8" s="5" t="s">
        <v>163</v>
      </c>
      <c r="N8" s="5" t="s">
        <v>164</v>
      </c>
      <c r="O8" s="5" t="n">
        <v>32</v>
      </c>
      <c r="P8" s="5" t="s">
        <v>208</v>
      </c>
      <c r="Q8" s="5" t="n">
        <v>50</v>
      </c>
      <c r="R8" s="5" t="s">
        <v>190</v>
      </c>
      <c r="S8" s="12" t="n">
        <f aca="false">COUNTIF(ES_Data!$B$2:$B$347,A8)</f>
        <v>2</v>
      </c>
      <c r="T8" s="12" t="n">
        <f aca="false">COUNTIFS(ES_Data!$B$2:$B$347,A8,ES_Data!$AP$2:$AP$347,"Y")</f>
        <v>2</v>
      </c>
      <c r="U8" s="12" t="n">
        <f aca="false">COUNTIFS(ES_Data!$B$2:$B$347,A8,ES_Data!$AP$2:$AP$347,"Y",ES_Data!$P$2:$P$347,"Cognitive")</f>
        <v>2</v>
      </c>
      <c r="V8" s="12" t="n">
        <f aca="false">COUNTIFS(ES_Data!$B$2:$B$347,A8,ES_Data!$AP$2:$AP$347,"Y",ES_Data!$P$2:$P$347,"Non-cognitive")</f>
        <v>0</v>
      </c>
      <c r="W8" s="5" t="s">
        <v>1104</v>
      </c>
      <c r="X8" s="5"/>
    </row>
    <row r="9" customFormat="false" ht="15" hidden="false" customHeight="false" outlineLevel="0" collapsed="false">
      <c r="A9" s="5" t="s">
        <v>216</v>
      </c>
      <c r="B9" s="5" t="s">
        <v>205</v>
      </c>
      <c r="C9" s="5" t="n">
        <v>2022</v>
      </c>
      <c r="D9" s="5" t="s">
        <v>1109</v>
      </c>
      <c r="E9" s="5"/>
      <c r="F9" s="5" t="s">
        <v>1101</v>
      </c>
      <c r="G9" s="5" t="s">
        <v>206</v>
      </c>
      <c r="H9" s="5" t="s">
        <v>173</v>
      </c>
      <c r="I9" s="5" t="s">
        <v>160</v>
      </c>
      <c r="J9" s="5" t="s">
        <v>74</v>
      </c>
      <c r="K9" s="5" t="s">
        <v>207</v>
      </c>
      <c r="L9" s="5" t="s">
        <v>162</v>
      </c>
      <c r="M9" s="5" t="s">
        <v>163</v>
      </c>
      <c r="N9" s="5" t="s">
        <v>164</v>
      </c>
      <c r="O9" s="5" t="n">
        <v>36</v>
      </c>
      <c r="P9" s="5" t="n">
        <v>2</v>
      </c>
      <c r="Q9" s="5" t="n">
        <v>200</v>
      </c>
      <c r="R9" s="5" t="s">
        <v>190</v>
      </c>
      <c r="S9" s="12" t="n">
        <f aca="false">COUNTIF(ES_Data!$B$2:$B$347,A9)</f>
        <v>1</v>
      </c>
      <c r="T9" s="12" t="n">
        <f aca="false">COUNTIFS(ES_Data!$B$2:$B$347,A9,ES_Data!$AP$2:$AP$347,"Y")</f>
        <v>1</v>
      </c>
      <c r="U9" s="12" t="n">
        <f aca="false">COUNTIFS(ES_Data!$B$2:$B$347,A9,ES_Data!$AP$2:$AP$347,"Y",ES_Data!$P$2:$P$347,"Cognitive")</f>
        <v>1</v>
      </c>
      <c r="V9" s="12" t="n">
        <f aca="false">COUNTIFS(ES_Data!$B$2:$B$347,A9,ES_Data!$AP$2:$AP$347,"Y",ES_Data!$P$2:$P$347,"Non-cognitive")</f>
        <v>0</v>
      </c>
      <c r="W9" s="5" t="s">
        <v>1104</v>
      </c>
      <c r="X9" s="5"/>
    </row>
    <row r="10" customFormat="false" ht="15" hidden="false" customHeight="false" outlineLevel="0" collapsed="false">
      <c r="A10" s="5" t="s">
        <v>219</v>
      </c>
      <c r="B10" s="5" t="s">
        <v>220</v>
      </c>
      <c r="C10" s="5" t="n">
        <v>2024</v>
      </c>
      <c r="D10" s="5" t="s">
        <v>1110</v>
      </c>
      <c r="E10" s="5"/>
      <c r="F10" s="5" t="s">
        <v>1101</v>
      </c>
      <c r="G10" s="5" t="s">
        <v>221</v>
      </c>
      <c r="H10" s="5" t="s">
        <v>222</v>
      </c>
      <c r="I10" s="5" t="s">
        <v>187</v>
      </c>
      <c r="J10" s="5" t="s">
        <v>131</v>
      </c>
      <c r="K10" s="5" t="s">
        <v>188</v>
      </c>
      <c r="L10" s="5" t="s">
        <v>76</v>
      </c>
      <c r="M10" s="5" t="s">
        <v>163</v>
      </c>
      <c r="N10" s="5" t="s">
        <v>164</v>
      </c>
      <c r="O10" s="5" t="n">
        <v>139</v>
      </c>
      <c r="P10" s="5" t="s">
        <v>223</v>
      </c>
      <c r="Q10" s="5" t="n">
        <v>60</v>
      </c>
      <c r="R10" s="5" t="s">
        <v>190</v>
      </c>
      <c r="S10" s="12" t="n">
        <f aca="false">COUNTIF(ES_Data!$B$2:$B$347,A10)</f>
        <v>3</v>
      </c>
      <c r="T10" s="12" t="n">
        <f aca="false">COUNTIFS(ES_Data!$B$2:$B$347,A10,ES_Data!$AP$2:$AP$347,"Y")</f>
        <v>2</v>
      </c>
      <c r="U10" s="12" t="n">
        <f aca="false">COUNTIFS(ES_Data!$B$2:$B$347,A10,ES_Data!$AP$2:$AP$347,"Y",ES_Data!$P$2:$P$347,"Cognitive")</f>
        <v>1</v>
      </c>
      <c r="V10" s="12" t="n">
        <f aca="false">COUNTIFS(ES_Data!$B$2:$B$347,A10,ES_Data!$AP$2:$AP$347,"Y",ES_Data!$P$2:$P$347,"Non-cognitive")</f>
        <v>1</v>
      </c>
      <c r="W10" s="5" t="s">
        <v>1106</v>
      </c>
      <c r="X10" s="5"/>
    </row>
    <row r="11" customFormat="false" ht="15" hidden="false" customHeight="false" outlineLevel="0" collapsed="false">
      <c r="A11" s="5" t="s">
        <v>229</v>
      </c>
      <c r="B11" s="5" t="s">
        <v>230</v>
      </c>
      <c r="C11" s="5" t="n">
        <v>2024</v>
      </c>
      <c r="D11" s="5" t="s">
        <v>1111</v>
      </c>
      <c r="E11" s="5"/>
      <c r="F11" s="5" t="s">
        <v>1101</v>
      </c>
      <c r="G11" s="5" t="s">
        <v>221</v>
      </c>
      <c r="H11" s="5" t="s">
        <v>222</v>
      </c>
      <c r="I11" s="5" t="s">
        <v>187</v>
      </c>
      <c r="J11" s="5" t="s">
        <v>74</v>
      </c>
      <c r="K11" s="5" t="s">
        <v>207</v>
      </c>
      <c r="L11" s="5" t="s">
        <v>189</v>
      </c>
      <c r="M11" s="5" t="s">
        <v>163</v>
      </c>
      <c r="N11" s="5" t="s">
        <v>164</v>
      </c>
      <c r="O11" s="5" t="n">
        <v>81</v>
      </c>
      <c r="P11" s="5" t="n">
        <v>2</v>
      </c>
      <c r="Q11" s="5" t="n">
        <v>135</v>
      </c>
      <c r="R11" s="5" t="s">
        <v>190</v>
      </c>
      <c r="S11" s="12" t="n">
        <f aca="false">COUNTIF(ES_Data!$B$2:$B$347,A11)</f>
        <v>4</v>
      </c>
      <c r="T11" s="12" t="n">
        <f aca="false">COUNTIFS(ES_Data!$B$2:$B$347,A11,ES_Data!$AP$2:$AP$347,"Y")</f>
        <v>2</v>
      </c>
      <c r="U11" s="12" t="n">
        <f aca="false">COUNTIFS(ES_Data!$B$2:$B$347,A11,ES_Data!$AP$2:$AP$347,"Y",ES_Data!$P$2:$P$347,"Cognitive")</f>
        <v>1</v>
      </c>
      <c r="V11" s="12" t="n">
        <f aca="false">COUNTIFS(ES_Data!$B$2:$B$347,A11,ES_Data!$AP$2:$AP$347,"Y",ES_Data!$P$2:$P$347,"Non-cognitive")</f>
        <v>1</v>
      </c>
      <c r="W11" s="5" t="s">
        <v>1106</v>
      </c>
      <c r="X11" s="5"/>
    </row>
    <row r="12" customFormat="false" ht="15" hidden="false" customHeight="false" outlineLevel="0" collapsed="false">
      <c r="A12" s="5" t="s">
        <v>238</v>
      </c>
      <c r="B12" s="5" t="s">
        <v>239</v>
      </c>
      <c r="C12" s="5" t="n">
        <v>2022</v>
      </c>
      <c r="D12" s="5" t="s">
        <v>1112</v>
      </c>
      <c r="E12" s="5"/>
      <c r="F12" s="5" t="s">
        <v>1101</v>
      </c>
      <c r="G12" s="5" t="s">
        <v>206</v>
      </c>
      <c r="H12" s="5" t="s">
        <v>159</v>
      </c>
      <c r="I12" s="5" t="s">
        <v>160</v>
      </c>
      <c r="J12" s="5" t="s">
        <v>174</v>
      </c>
      <c r="K12" s="5" t="s">
        <v>240</v>
      </c>
      <c r="L12" s="5" t="s">
        <v>162</v>
      </c>
      <c r="M12" s="5" t="s">
        <v>163</v>
      </c>
      <c r="N12" s="5" t="s">
        <v>164</v>
      </c>
      <c r="O12" s="5" t="n">
        <v>60</v>
      </c>
      <c r="P12" s="5"/>
      <c r="Q12" s="5"/>
      <c r="R12" s="5" t="s">
        <v>162</v>
      </c>
      <c r="S12" s="12" t="n">
        <f aca="false">COUNTIF(ES_Data!$B$2:$B$347,A12)</f>
        <v>2</v>
      </c>
      <c r="T12" s="12" t="n">
        <f aca="false">COUNTIFS(ES_Data!$B$2:$B$347,A12,ES_Data!$AP$2:$AP$347,"Y")</f>
        <v>1</v>
      </c>
      <c r="U12" s="12" t="n">
        <f aca="false">COUNTIFS(ES_Data!$B$2:$B$347,A12,ES_Data!$AP$2:$AP$347,"Y",ES_Data!$P$2:$P$347,"Cognitive")</f>
        <v>1</v>
      </c>
      <c r="V12" s="12" t="n">
        <f aca="false">COUNTIFS(ES_Data!$B$2:$B$347,A12,ES_Data!$AP$2:$AP$347,"Y",ES_Data!$P$2:$P$347,"Non-cognitive")</f>
        <v>0</v>
      </c>
      <c r="W12" s="5" t="s">
        <v>1102</v>
      </c>
      <c r="X12" s="5"/>
    </row>
    <row r="13" customFormat="false" ht="15" hidden="false" customHeight="false" outlineLevel="0" collapsed="false">
      <c r="A13" s="5" t="s">
        <v>245</v>
      </c>
      <c r="B13" s="5" t="s">
        <v>246</v>
      </c>
      <c r="C13" s="5" t="n">
        <v>2024</v>
      </c>
      <c r="D13" s="5" t="s">
        <v>1113</v>
      </c>
      <c r="E13" s="5"/>
      <c r="F13" s="5" t="s">
        <v>1101</v>
      </c>
      <c r="G13" s="5" t="s">
        <v>221</v>
      </c>
      <c r="H13" s="5" t="s">
        <v>199</v>
      </c>
      <c r="I13" s="5" t="s">
        <v>160</v>
      </c>
      <c r="J13" s="5" t="s">
        <v>131</v>
      </c>
      <c r="K13" s="5" t="s">
        <v>247</v>
      </c>
      <c r="L13" s="5" t="s">
        <v>162</v>
      </c>
      <c r="M13" s="5" t="s">
        <v>163</v>
      </c>
      <c r="N13" s="5" t="s">
        <v>164</v>
      </c>
      <c r="O13" s="5" t="n">
        <v>80</v>
      </c>
      <c r="P13" s="5" t="n">
        <v>4</v>
      </c>
      <c r="Q13" s="5" t="n">
        <v>20</v>
      </c>
      <c r="R13" s="5" t="s">
        <v>190</v>
      </c>
      <c r="S13" s="12" t="n">
        <f aca="false">COUNTIF(ES_Data!$B$2:$B$347,A13)</f>
        <v>2</v>
      </c>
      <c r="T13" s="12" t="n">
        <f aca="false">COUNTIFS(ES_Data!$B$2:$B$347,A13,ES_Data!$AP$2:$AP$347,"Y")</f>
        <v>2</v>
      </c>
      <c r="U13" s="12" t="n">
        <f aca="false">COUNTIFS(ES_Data!$B$2:$B$347,A13,ES_Data!$AP$2:$AP$347,"Y",ES_Data!$P$2:$P$347,"Cognitive")</f>
        <v>2</v>
      </c>
      <c r="V13" s="12" t="n">
        <f aca="false">COUNTIFS(ES_Data!$B$2:$B$347,A13,ES_Data!$AP$2:$AP$347,"Y",ES_Data!$P$2:$P$347,"Non-cognitive")</f>
        <v>0</v>
      </c>
      <c r="W13" s="5" t="s">
        <v>1102</v>
      </c>
      <c r="X13" s="5"/>
    </row>
    <row r="14" customFormat="false" ht="15" hidden="false" customHeight="false" outlineLevel="0" collapsed="false">
      <c r="A14" s="5" t="s">
        <v>251</v>
      </c>
      <c r="B14" s="5" t="s">
        <v>252</v>
      </c>
      <c r="C14" s="5" t="n">
        <v>2025</v>
      </c>
      <c r="D14" s="5" t="s">
        <v>1114</v>
      </c>
      <c r="E14" s="5"/>
      <c r="F14" s="5" t="s">
        <v>1101</v>
      </c>
      <c r="G14" s="5" t="s">
        <v>221</v>
      </c>
      <c r="H14" s="5" t="s">
        <v>173</v>
      </c>
      <c r="I14" s="5" t="s">
        <v>253</v>
      </c>
      <c r="J14" s="5" t="s">
        <v>131</v>
      </c>
      <c r="K14" s="5" t="s">
        <v>247</v>
      </c>
      <c r="L14" s="5" t="s">
        <v>189</v>
      </c>
      <c r="M14" s="5" t="s">
        <v>163</v>
      </c>
      <c r="N14" s="5" t="s">
        <v>164</v>
      </c>
      <c r="O14" s="5" t="n">
        <v>63</v>
      </c>
      <c r="P14" s="5" t="s">
        <v>254</v>
      </c>
      <c r="Q14" s="5" t="n">
        <v>90</v>
      </c>
      <c r="R14" s="5" t="s">
        <v>81</v>
      </c>
      <c r="S14" s="12" t="n">
        <f aca="false">COUNTIF(ES_Data!$B$2:$B$347,A14)</f>
        <v>3</v>
      </c>
      <c r="T14" s="12" t="n">
        <f aca="false">COUNTIFS(ES_Data!$B$2:$B$347,A14,ES_Data!$AP$2:$AP$347,"Y")</f>
        <v>2</v>
      </c>
      <c r="U14" s="12" t="n">
        <f aca="false">COUNTIFS(ES_Data!$B$2:$B$347,A14,ES_Data!$AP$2:$AP$347,"Y",ES_Data!$P$2:$P$347,"Cognitive")</f>
        <v>1</v>
      </c>
      <c r="V14" s="12" t="n">
        <f aca="false">COUNTIFS(ES_Data!$B$2:$B$347,A14,ES_Data!$AP$2:$AP$347,"Y",ES_Data!$P$2:$P$347,"Non-cognitive")</f>
        <v>1</v>
      </c>
      <c r="W14" s="5" t="s">
        <v>1115</v>
      </c>
      <c r="X14" s="5"/>
    </row>
    <row r="15" customFormat="false" ht="15" hidden="false" customHeight="false" outlineLevel="0" collapsed="false">
      <c r="A15" s="5" t="s">
        <v>259</v>
      </c>
      <c r="B15" s="5" t="s">
        <v>252</v>
      </c>
      <c r="C15" s="5" t="n">
        <v>2025</v>
      </c>
      <c r="D15" s="5" t="s">
        <v>1116</v>
      </c>
      <c r="E15" s="5"/>
      <c r="F15" s="5" t="s">
        <v>1101</v>
      </c>
      <c r="G15" s="5" t="s">
        <v>221</v>
      </c>
      <c r="H15" s="5" t="s">
        <v>260</v>
      </c>
      <c r="I15" s="5" t="s">
        <v>160</v>
      </c>
      <c r="J15" s="5" t="s">
        <v>131</v>
      </c>
      <c r="K15" s="5" t="s">
        <v>247</v>
      </c>
      <c r="L15" s="5" t="s">
        <v>162</v>
      </c>
      <c r="M15" s="5" t="s">
        <v>163</v>
      </c>
      <c r="N15" s="5" t="s">
        <v>164</v>
      </c>
      <c r="O15" s="5" t="n">
        <v>66</v>
      </c>
      <c r="P15" s="5" t="n">
        <v>8</v>
      </c>
      <c r="Q15" s="5"/>
      <c r="R15" s="5" t="s">
        <v>261</v>
      </c>
      <c r="S15" s="12" t="n">
        <f aca="false">COUNTIF(ES_Data!$B$2:$B$347,A15)</f>
        <v>1</v>
      </c>
      <c r="T15" s="12" t="n">
        <f aca="false">COUNTIFS(ES_Data!$B$2:$B$347,A15,ES_Data!$AP$2:$AP$347,"Y")</f>
        <v>1</v>
      </c>
      <c r="U15" s="12" t="n">
        <f aca="false">COUNTIFS(ES_Data!$B$2:$B$347,A15,ES_Data!$AP$2:$AP$347,"Y",ES_Data!$P$2:$P$347,"Cognitive")</f>
        <v>1</v>
      </c>
      <c r="V15" s="12" t="n">
        <f aca="false">COUNTIFS(ES_Data!$B$2:$B$347,A15,ES_Data!$AP$2:$AP$347,"Y",ES_Data!$P$2:$P$347,"Non-cognitive")</f>
        <v>0</v>
      </c>
      <c r="W15" s="5" t="s">
        <v>1102</v>
      </c>
      <c r="X15" s="5"/>
    </row>
    <row r="16" customFormat="false" ht="15" hidden="false" customHeight="false" outlineLevel="0" collapsed="false">
      <c r="A16" s="5" t="s">
        <v>263</v>
      </c>
      <c r="B16" s="5" t="s">
        <v>264</v>
      </c>
      <c r="C16" s="5" t="n">
        <v>2020</v>
      </c>
      <c r="D16" s="5" t="s">
        <v>1117</v>
      </c>
      <c r="E16" s="5"/>
      <c r="F16" s="5" t="s">
        <v>1101</v>
      </c>
      <c r="G16" s="5" t="s">
        <v>206</v>
      </c>
      <c r="H16" s="5" t="s">
        <v>173</v>
      </c>
      <c r="I16" s="5" t="s">
        <v>160</v>
      </c>
      <c r="J16" s="5" t="s">
        <v>265</v>
      </c>
      <c r="K16" s="5" t="s">
        <v>266</v>
      </c>
      <c r="L16" s="5" t="s">
        <v>162</v>
      </c>
      <c r="M16" s="5" t="s">
        <v>163</v>
      </c>
      <c r="N16" s="5" t="s">
        <v>164</v>
      </c>
      <c r="O16" s="5" t="n">
        <v>30</v>
      </c>
      <c r="P16" s="5"/>
      <c r="Q16" s="5"/>
      <c r="R16" s="5" t="s">
        <v>162</v>
      </c>
      <c r="S16" s="12" t="n">
        <f aca="false">COUNTIF(ES_Data!$B$2:$B$347,A16)</f>
        <v>6</v>
      </c>
      <c r="T16" s="12" t="n">
        <f aca="false">COUNTIFS(ES_Data!$B$2:$B$347,A16,ES_Data!$AP$2:$AP$347,"Y")</f>
        <v>3</v>
      </c>
      <c r="U16" s="12" t="n">
        <f aca="false">COUNTIFS(ES_Data!$B$2:$B$347,A16,ES_Data!$AP$2:$AP$347,"Y",ES_Data!$P$2:$P$347,"Cognitive")</f>
        <v>3</v>
      </c>
      <c r="V16" s="12" t="n">
        <f aca="false">COUNTIFS(ES_Data!$B$2:$B$347,A16,ES_Data!$AP$2:$AP$347,"Y",ES_Data!$P$2:$P$347,"Non-cognitive")</f>
        <v>0</v>
      </c>
      <c r="W16" s="5" t="s">
        <v>1104</v>
      </c>
      <c r="X16" s="5"/>
    </row>
    <row r="17" customFormat="false" ht="15" hidden="false" customHeight="false" outlineLevel="0" collapsed="false">
      <c r="A17" s="5" t="s">
        <v>279</v>
      </c>
      <c r="B17" s="5" t="s">
        <v>280</v>
      </c>
      <c r="C17" s="5" t="n">
        <v>2025</v>
      </c>
      <c r="D17" s="5" t="s">
        <v>1118</v>
      </c>
      <c r="E17" s="5" t="s">
        <v>1119</v>
      </c>
      <c r="F17" s="5" t="s">
        <v>1095</v>
      </c>
      <c r="G17" s="5" t="s">
        <v>206</v>
      </c>
      <c r="H17" s="5" t="s">
        <v>173</v>
      </c>
      <c r="I17" s="5" t="s">
        <v>281</v>
      </c>
      <c r="J17" s="5" t="s">
        <v>174</v>
      </c>
      <c r="K17" s="5" t="s">
        <v>282</v>
      </c>
      <c r="L17" s="5" t="s">
        <v>189</v>
      </c>
      <c r="M17" s="5" t="s">
        <v>283</v>
      </c>
      <c r="N17" s="5" t="s">
        <v>284</v>
      </c>
      <c r="O17" s="5" t="n">
        <v>45</v>
      </c>
      <c r="P17" s="5" t="s">
        <v>285</v>
      </c>
      <c r="Q17" s="5" t="s">
        <v>286</v>
      </c>
      <c r="R17" s="5" t="s">
        <v>261</v>
      </c>
      <c r="S17" s="12" t="n">
        <f aca="false">COUNTIF(ES_Data!$B$2:$B$347,A17)</f>
        <v>12</v>
      </c>
      <c r="T17" s="12" t="n">
        <f aca="false">COUNTIFS(ES_Data!$B$2:$B$347,A17,ES_Data!$AP$2:$AP$347,"Y")</f>
        <v>12</v>
      </c>
      <c r="U17" s="12" t="n">
        <f aca="false">COUNTIFS(ES_Data!$B$2:$B$347,A17,ES_Data!$AP$2:$AP$347,"Y",ES_Data!$P$2:$P$347,"Cognitive")</f>
        <v>8</v>
      </c>
      <c r="V17" s="12" t="n">
        <f aca="false">COUNTIFS(ES_Data!$B$2:$B$347,A17,ES_Data!$AP$2:$AP$347,"Y",ES_Data!$P$2:$P$347,"Non-cognitive")</f>
        <v>4</v>
      </c>
      <c r="W17" s="5" t="s">
        <v>290</v>
      </c>
      <c r="X17" s="5" t="s">
        <v>1120</v>
      </c>
    </row>
    <row r="18" customFormat="false" ht="15" hidden="false" customHeight="false" outlineLevel="0" collapsed="false">
      <c r="A18" s="5" t="s">
        <v>327</v>
      </c>
      <c r="B18" s="5" t="s">
        <v>328</v>
      </c>
      <c r="C18" s="5" t="n">
        <v>2025</v>
      </c>
      <c r="D18" s="5" t="s">
        <v>1121</v>
      </c>
      <c r="E18" s="5"/>
      <c r="F18" s="5" t="s">
        <v>1101</v>
      </c>
      <c r="G18" s="5" t="s">
        <v>329</v>
      </c>
      <c r="H18" s="5" t="s">
        <v>159</v>
      </c>
      <c r="I18" s="5" t="s">
        <v>160</v>
      </c>
      <c r="J18" s="5" t="s">
        <v>74</v>
      </c>
      <c r="K18" s="5" t="s">
        <v>200</v>
      </c>
      <c r="L18" s="5" t="s">
        <v>162</v>
      </c>
      <c r="M18" s="5" t="s">
        <v>163</v>
      </c>
      <c r="N18" s="5" t="s">
        <v>164</v>
      </c>
      <c r="O18" s="5" t="n">
        <v>90</v>
      </c>
      <c r="P18" s="5"/>
      <c r="Q18" s="5"/>
      <c r="R18" s="5" t="s">
        <v>162</v>
      </c>
      <c r="S18" s="12" t="n">
        <f aca="false">COUNTIF(ES_Data!$B$2:$B$347,A18)</f>
        <v>8</v>
      </c>
      <c r="T18" s="12" t="n">
        <f aca="false">COUNTIFS(ES_Data!$B$2:$B$347,A18,ES_Data!$AP$2:$AP$347,"Y")</f>
        <v>4</v>
      </c>
      <c r="U18" s="12" t="n">
        <f aca="false">COUNTIFS(ES_Data!$B$2:$B$347,A18,ES_Data!$AP$2:$AP$347,"Y",ES_Data!$P$2:$P$347,"Cognitive")</f>
        <v>4</v>
      </c>
      <c r="V18" s="12" t="n">
        <f aca="false">COUNTIFS(ES_Data!$B$2:$B$347,A18,ES_Data!$AP$2:$AP$347,"Y",ES_Data!$P$2:$P$347,"Non-cognitive")</f>
        <v>0</v>
      </c>
      <c r="W18" s="5" t="s">
        <v>1102</v>
      </c>
      <c r="X18" s="5"/>
    </row>
    <row r="19" customFormat="false" ht="15" hidden="false" customHeight="false" outlineLevel="0" collapsed="false">
      <c r="A19" s="5" t="s">
        <v>343</v>
      </c>
      <c r="B19" s="5" t="s">
        <v>344</v>
      </c>
      <c r="C19" s="5" t="n">
        <v>2022</v>
      </c>
      <c r="D19" s="5" t="s">
        <v>1122</v>
      </c>
      <c r="E19" s="5"/>
      <c r="F19" s="5" t="s">
        <v>1101</v>
      </c>
      <c r="G19" s="5" t="s">
        <v>345</v>
      </c>
      <c r="H19" s="5" t="s">
        <v>173</v>
      </c>
      <c r="I19" s="5" t="s">
        <v>160</v>
      </c>
      <c r="J19" s="5" t="s">
        <v>74</v>
      </c>
      <c r="K19" s="5" t="s">
        <v>207</v>
      </c>
      <c r="L19" s="5" t="s">
        <v>162</v>
      </c>
      <c r="M19" s="5" t="s">
        <v>163</v>
      </c>
      <c r="N19" s="5" t="s">
        <v>164</v>
      </c>
      <c r="O19" s="5" t="n">
        <v>68</v>
      </c>
      <c r="P19" s="5" t="n">
        <v>16</v>
      </c>
      <c r="Q19" s="5"/>
      <c r="R19" s="5" t="s">
        <v>261</v>
      </c>
      <c r="S19" s="12" t="n">
        <f aca="false">COUNTIF(ES_Data!$B$2:$B$347,A19)</f>
        <v>2</v>
      </c>
      <c r="T19" s="12" t="n">
        <f aca="false">COUNTIFS(ES_Data!$B$2:$B$347,A19,ES_Data!$AP$2:$AP$347,"Y")</f>
        <v>1</v>
      </c>
      <c r="U19" s="12" t="n">
        <f aca="false">COUNTIFS(ES_Data!$B$2:$B$347,A19,ES_Data!$AP$2:$AP$347,"Y",ES_Data!$P$2:$P$347,"Cognitive")</f>
        <v>1</v>
      </c>
      <c r="V19" s="12" t="n">
        <f aca="false">COUNTIFS(ES_Data!$B$2:$B$347,A19,ES_Data!$AP$2:$AP$347,"Y",ES_Data!$P$2:$P$347,"Non-cognitive")</f>
        <v>0</v>
      </c>
      <c r="W19" s="5" t="s">
        <v>1104</v>
      </c>
      <c r="X19" s="5"/>
    </row>
    <row r="20" customFormat="false" ht="15" hidden="false" customHeight="false" outlineLevel="0" collapsed="false">
      <c r="A20" s="5" t="s">
        <v>350</v>
      </c>
      <c r="B20" s="5" t="s">
        <v>351</v>
      </c>
      <c r="C20" s="5" t="n">
        <v>2025</v>
      </c>
      <c r="D20" s="5" t="s">
        <v>1123</v>
      </c>
      <c r="E20" s="5"/>
      <c r="F20" s="5" t="s">
        <v>1101</v>
      </c>
      <c r="G20" s="5" t="s">
        <v>221</v>
      </c>
      <c r="H20" s="5" t="s">
        <v>260</v>
      </c>
      <c r="I20" s="5" t="s">
        <v>160</v>
      </c>
      <c r="J20" s="5" t="s">
        <v>131</v>
      </c>
      <c r="K20" s="5" t="s">
        <v>247</v>
      </c>
      <c r="L20" s="5" t="s">
        <v>162</v>
      </c>
      <c r="M20" s="5" t="s">
        <v>163</v>
      </c>
      <c r="N20" s="5" t="s">
        <v>164</v>
      </c>
      <c r="O20" s="5" t="n">
        <v>80</v>
      </c>
      <c r="P20" s="5" t="s">
        <v>352</v>
      </c>
      <c r="Q20" s="5" t="n">
        <v>40</v>
      </c>
      <c r="R20" s="5" t="s">
        <v>190</v>
      </c>
      <c r="S20" s="12" t="n">
        <f aca="false">COUNTIF(ES_Data!$B$2:$B$347,A20)</f>
        <v>2</v>
      </c>
      <c r="T20" s="12" t="n">
        <f aca="false">COUNTIFS(ES_Data!$B$2:$B$347,A20,ES_Data!$AP$2:$AP$347,"Y")</f>
        <v>2</v>
      </c>
      <c r="U20" s="12" t="n">
        <f aca="false">COUNTIFS(ES_Data!$B$2:$B$347,A20,ES_Data!$AP$2:$AP$347,"Y",ES_Data!$P$2:$P$347,"Cognitive")</f>
        <v>2</v>
      </c>
      <c r="V20" s="12" t="n">
        <f aca="false">COUNTIFS(ES_Data!$B$2:$B$347,A20,ES_Data!$AP$2:$AP$347,"Y",ES_Data!$P$2:$P$347,"Non-cognitive")</f>
        <v>0</v>
      </c>
      <c r="W20" s="5" t="s">
        <v>1102</v>
      </c>
      <c r="X20" s="5"/>
    </row>
    <row r="21" customFormat="false" ht="15" hidden="false" customHeight="false" outlineLevel="0" collapsed="false">
      <c r="A21" s="5" t="s">
        <v>358</v>
      </c>
      <c r="B21" s="5" t="s">
        <v>359</v>
      </c>
      <c r="C21" s="5" t="n">
        <v>2024</v>
      </c>
      <c r="D21" s="5" t="s">
        <v>1124</v>
      </c>
      <c r="E21" s="5"/>
      <c r="F21" s="5" t="s">
        <v>1101</v>
      </c>
      <c r="G21" s="5" t="s">
        <v>360</v>
      </c>
      <c r="H21" s="5" t="s">
        <v>173</v>
      </c>
      <c r="I21" s="5" t="s">
        <v>160</v>
      </c>
      <c r="J21" s="5" t="s">
        <v>131</v>
      </c>
      <c r="K21" s="5" t="s">
        <v>247</v>
      </c>
      <c r="L21" s="5" t="s">
        <v>162</v>
      </c>
      <c r="M21" s="5" t="s">
        <v>163</v>
      </c>
      <c r="N21" s="5" t="s">
        <v>164</v>
      </c>
      <c r="O21" s="5" t="n">
        <v>65</v>
      </c>
      <c r="P21" s="5" t="s">
        <v>361</v>
      </c>
      <c r="Q21" s="5" t="n">
        <v>20</v>
      </c>
      <c r="R21" s="5" t="s">
        <v>261</v>
      </c>
      <c r="S21" s="12" t="n">
        <f aca="false">COUNTIF(ES_Data!$B$2:$B$347,A21)</f>
        <v>8</v>
      </c>
      <c r="T21" s="12" t="n">
        <f aca="false">COUNTIFS(ES_Data!$B$2:$B$347,A21,ES_Data!$AP$2:$AP$347,"Y")</f>
        <v>4</v>
      </c>
      <c r="U21" s="12" t="n">
        <f aca="false">COUNTIFS(ES_Data!$B$2:$B$347,A21,ES_Data!$AP$2:$AP$347,"Y",ES_Data!$P$2:$P$347,"Cognitive")</f>
        <v>4</v>
      </c>
      <c r="V21" s="12" t="n">
        <f aca="false">COUNTIFS(ES_Data!$B$2:$B$347,A21,ES_Data!$AP$2:$AP$347,"Y",ES_Data!$P$2:$P$347,"Non-cognitive")</f>
        <v>0</v>
      </c>
      <c r="W21" s="5" t="s">
        <v>1104</v>
      </c>
      <c r="X21" s="5"/>
    </row>
    <row r="22" customFormat="false" ht="15" hidden="false" customHeight="false" outlineLevel="0" collapsed="false">
      <c r="A22" s="5" t="s">
        <v>378</v>
      </c>
      <c r="B22" s="5" t="s">
        <v>379</v>
      </c>
      <c r="C22" s="5" t="n">
        <v>2023</v>
      </c>
      <c r="D22" s="5" t="s">
        <v>1125</v>
      </c>
      <c r="E22" s="5"/>
      <c r="F22" s="5" t="s">
        <v>1101</v>
      </c>
      <c r="G22" s="5" t="s">
        <v>221</v>
      </c>
      <c r="H22" s="5" t="s">
        <v>159</v>
      </c>
      <c r="I22" s="5" t="s">
        <v>160</v>
      </c>
      <c r="J22" s="5" t="s">
        <v>161</v>
      </c>
      <c r="K22" s="5" t="s">
        <v>161</v>
      </c>
      <c r="L22" s="5" t="s">
        <v>162</v>
      </c>
      <c r="M22" s="5" t="s">
        <v>163</v>
      </c>
      <c r="N22" s="5" t="s">
        <v>164</v>
      </c>
      <c r="O22" s="5" t="n">
        <v>85</v>
      </c>
      <c r="P22" s="5" t="s">
        <v>380</v>
      </c>
      <c r="Q22" s="5" t="n">
        <v>112</v>
      </c>
      <c r="R22" s="5" t="s">
        <v>381</v>
      </c>
      <c r="S22" s="12" t="n">
        <f aca="false">COUNTIF(ES_Data!$B$2:$B$347,A22)</f>
        <v>6</v>
      </c>
      <c r="T22" s="12" t="n">
        <f aca="false">COUNTIFS(ES_Data!$B$2:$B$347,A22,ES_Data!$AP$2:$AP$347,"Y")</f>
        <v>3</v>
      </c>
      <c r="U22" s="12" t="n">
        <f aca="false">COUNTIFS(ES_Data!$B$2:$B$347,A22,ES_Data!$AP$2:$AP$347,"Y",ES_Data!$P$2:$P$347,"Cognitive")</f>
        <v>3</v>
      </c>
      <c r="V22" s="12" t="n">
        <f aca="false">COUNTIFS(ES_Data!$B$2:$B$347,A22,ES_Data!$AP$2:$AP$347,"Y",ES_Data!$P$2:$P$347,"Non-cognitive")</f>
        <v>0</v>
      </c>
      <c r="W22" s="5" t="s">
        <v>1102</v>
      </c>
      <c r="X22" s="5"/>
    </row>
    <row r="23" customFormat="false" ht="15" hidden="false" customHeight="false" outlineLevel="0" collapsed="false">
      <c r="A23" s="5" t="s">
        <v>393</v>
      </c>
      <c r="B23" s="5" t="s">
        <v>394</v>
      </c>
      <c r="C23" s="5" t="n">
        <v>2025</v>
      </c>
      <c r="D23" s="5" t="s">
        <v>1126</v>
      </c>
      <c r="E23" s="5"/>
      <c r="F23" s="5" t="s">
        <v>1101</v>
      </c>
      <c r="G23" s="5" t="s">
        <v>221</v>
      </c>
      <c r="H23" s="5" t="s">
        <v>72</v>
      </c>
      <c r="I23" s="5" t="s">
        <v>395</v>
      </c>
      <c r="J23" s="5" t="s">
        <v>174</v>
      </c>
      <c r="K23" s="5" t="s">
        <v>396</v>
      </c>
      <c r="L23" s="5" t="s">
        <v>189</v>
      </c>
      <c r="M23" s="5" t="s">
        <v>163</v>
      </c>
      <c r="N23" s="5" t="s">
        <v>164</v>
      </c>
      <c r="O23" s="5" t="n">
        <v>62</v>
      </c>
      <c r="P23" s="5"/>
      <c r="Q23" s="5"/>
      <c r="R23" s="5" t="s">
        <v>81</v>
      </c>
      <c r="S23" s="12" t="n">
        <f aca="false">COUNTIF(ES_Data!$B$2:$B$347,A23)</f>
        <v>2</v>
      </c>
      <c r="T23" s="12" t="n">
        <f aca="false">COUNTIFS(ES_Data!$B$2:$B$347,A23,ES_Data!$AP$2:$AP$347,"Y")</f>
        <v>2</v>
      </c>
      <c r="U23" s="12" t="n">
        <f aca="false">COUNTIFS(ES_Data!$B$2:$B$347,A23,ES_Data!$AP$2:$AP$347,"Y",ES_Data!$P$2:$P$347,"Cognitive")</f>
        <v>0</v>
      </c>
      <c r="V23" s="12" t="n">
        <f aca="false">COUNTIFS(ES_Data!$B$2:$B$347,A23,ES_Data!$AP$2:$AP$347,"Y",ES_Data!$P$2:$P$347,"Non-cognitive")</f>
        <v>2</v>
      </c>
      <c r="W23" s="5" t="s">
        <v>1127</v>
      </c>
      <c r="X23" s="5"/>
    </row>
    <row r="24" customFormat="false" ht="15" hidden="false" customHeight="false" outlineLevel="0" collapsed="false">
      <c r="A24" s="5" t="s">
        <v>400</v>
      </c>
      <c r="B24" s="5" t="s">
        <v>401</v>
      </c>
      <c r="C24" s="5" t="n">
        <v>2022</v>
      </c>
      <c r="D24" s="5" t="s">
        <v>1128</v>
      </c>
      <c r="E24" s="5" t="s">
        <v>1129</v>
      </c>
      <c r="F24" s="5" t="s">
        <v>1095</v>
      </c>
      <c r="G24" s="5" t="s">
        <v>402</v>
      </c>
      <c r="H24" s="5" t="s">
        <v>173</v>
      </c>
      <c r="I24" s="5" t="s">
        <v>403</v>
      </c>
      <c r="J24" s="5" t="s">
        <v>74</v>
      </c>
      <c r="K24" s="5" t="s">
        <v>404</v>
      </c>
      <c r="L24" s="5" t="s">
        <v>76</v>
      </c>
      <c r="M24" s="5" t="s">
        <v>405</v>
      </c>
      <c r="N24" s="5" t="s">
        <v>406</v>
      </c>
      <c r="O24" s="5" t="n">
        <v>61</v>
      </c>
      <c r="P24" s="5" t="s">
        <v>407</v>
      </c>
      <c r="Q24" s="5" t="s">
        <v>408</v>
      </c>
      <c r="R24" s="5" t="s">
        <v>190</v>
      </c>
      <c r="S24" s="12" t="n">
        <f aca="false">COUNTIF(ES_Data!$B$2:$B$347,A24)</f>
        <v>11</v>
      </c>
      <c r="T24" s="12" t="n">
        <f aca="false">COUNTIFS(ES_Data!$B$2:$B$347,A24,ES_Data!$AP$2:$AP$347,"Y")</f>
        <v>6</v>
      </c>
      <c r="U24" s="12" t="n">
        <f aca="false">COUNTIFS(ES_Data!$B$2:$B$347,A24,ES_Data!$AP$2:$AP$347,"Y",ES_Data!$P$2:$P$347,"Cognitive")</f>
        <v>2</v>
      </c>
      <c r="V24" s="12" t="n">
        <f aca="false">COUNTIFS(ES_Data!$B$2:$B$347,A24,ES_Data!$AP$2:$AP$347,"Y",ES_Data!$P$2:$P$347,"Non-cognitive")</f>
        <v>4</v>
      </c>
      <c r="W24" s="5" t="s">
        <v>89</v>
      </c>
      <c r="X24" s="5" t="s">
        <v>1130</v>
      </c>
    </row>
    <row r="25" customFormat="false" ht="15" hidden="false" customHeight="false" outlineLevel="0" collapsed="false">
      <c r="A25" s="5" t="s">
        <v>435</v>
      </c>
      <c r="B25" s="5" t="s">
        <v>436</v>
      </c>
      <c r="C25" s="5" t="n">
        <v>2025</v>
      </c>
      <c r="D25" s="5" t="s">
        <v>1131</v>
      </c>
      <c r="E25" s="5" t="s">
        <v>1132</v>
      </c>
      <c r="F25" s="5" t="s">
        <v>1095</v>
      </c>
      <c r="G25" s="5" t="s">
        <v>437</v>
      </c>
      <c r="H25" s="5" t="s">
        <v>173</v>
      </c>
      <c r="I25" s="5" t="s">
        <v>438</v>
      </c>
      <c r="J25" s="5" t="s">
        <v>161</v>
      </c>
      <c r="K25" s="5" t="s">
        <v>439</v>
      </c>
      <c r="L25" s="5" t="s">
        <v>189</v>
      </c>
      <c r="M25" s="5" t="s">
        <v>163</v>
      </c>
      <c r="N25" s="5" t="s">
        <v>164</v>
      </c>
      <c r="O25" s="5" t="n">
        <v>70</v>
      </c>
      <c r="P25" s="5"/>
      <c r="Q25" s="5"/>
      <c r="R25" s="5" t="s">
        <v>190</v>
      </c>
      <c r="S25" s="12" t="n">
        <f aca="false">COUNTIF(ES_Data!$B$2:$B$347,A25)</f>
        <v>3</v>
      </c>
      <c r="T25" s="12" t="n">
        <f aca="false">COUNTIFS(ES_Data!$B$2:$B$347,A25,ES_Data!$AP$2:$AP$347,"Y")</f>
        <v>3</v>
      </c>
      <c r="U25" s="12" t="n">
        <f aca="false">COUNTIFS(ES_Data!$B$2:$B$347,A25,ES_Data!$AP$2:$AP$347,"Y",ES_Data!$P$2:$P$347,"Cognitive")</f>
        <v>0</v>
      </c>
      <c r="V25" s="12" t="n">
        <f aca="false">COUNTIFS(ES_Data!$B$2:$B$347,A25,ES_Data!$AP$2:$AP$347,"Y",ES_Data!$P$2:$P$347,"Non-cognitive")</f>
        <v>3</v>
      </c>
      <c r="W25" s="5" t="s">
        <v>1133</v>
      </c>
      <c r="X25" s="5"/>
    </row>
    <row r="26" customFormat="false" ht="15" hidden="false" customHeight="false" outlineLevel="0" collapsed="false">
      <c r="A26" s="5" t="s">
        <v>447</v>
      </c>
      <c r="B26" s="5" t="s">
        <v>448</v>
      </c>
      <c r="C26" s="5" t="n">
        <v>2025</v>
      </c>
      <c r="D26" s="5" t="s">
        <v>1134</v>
      </c>
      <c r="E26" s="5"/>
      <c r="F26" s="5" t="s">
        <v>1101</v>
      </c>
      <c r="G26" s="5" t="s">
        <v>221</v>
      </c>
      <c r="H26" s="5" t="s">
        <v>173</v>
      </c>
      <c r="I26" s="5" t="s">
        <v>395</v>
      </c>
      <c r="J26" s="5" t="s">
        <v>174</v>
      </c>
      <c r="K26" s="5" t="s">
        <v>449</v>
      </c>
      <c r="L26" s="5" t="s">
        <v>76</v>
      </c>
      <c r="M26" s="5" t="s">
        <v>163</v>
      </c>
      <c r="N26" s="5" t="s">
        <v>164</v>
      </c>
      <c r="O26" s="5" t="n">
        <v>153</v>
      </c>
      <c r="P26" s="5"/>
      <c r="Q26" s="5"/>
      <c r="R26" s="5" t="s">
        <v>190</v>
      </c>
      <c r="S26" s="12" t="n">
        <f aca="false">COUNTIF(ES_Data!$B$2:$B$347,A26)</f>
        <v>8</v>
      </c>
      <c r="T26" s="12" t="n">
        <f aca="false">COUNTIFS(ES_Data!$B$2:$B$347,A26,ES_Data!$AP$2:$AP$347,"Y")</f>
        <v>4</v>
      </c>
      <c r="U26" s="12" t="n">
        <f aca="false">COUNTIFS(ES_Data!$B$2:$B$347,A26,ES_Data!$AP$2:$AP$347,"Y",ES_Data!$P$2:$P$347,"Cognitive")</f>
        <v>3</v>
      </c>
      <c r="V26" s="12" t="n">
        <f aca="false">COUNTIFS(ES_Data!$B$2:$B$347,A26,ES_Data!$AP$2:$AP$347,"Y",ES_Data!$P$2:$P$347,"Non-cognitive")</f>
        <v>1</v>
      </c>
      <c r="W26" s="5" t="s">
        <v>1135</v>
      </c>
      <c r="X26" s="5"/>
    </row>
    <row r="27" customFormat="false" ht="15" hidden="false" customHeight="false" outlineLevel="0" collapsed="false">
      <c r="A27" s="5" t="s">
        <v>464</v>
      </c>
      <c r="B27" s="5" t="s">
        <v>465</v>
      </c>
      <c r="C27" s="5" t="n">
        <v>2025</v>
      </c>
      <c r="D27" s="5" t="s">
        <v>1136</v>
      </c>
      <c r="E27" s="5"/>
      <c r="F27" s="5" t="s">
        <v>1101</v>
      </c>
      <c r="G27" s="5" t="s">
        <v>221</v>
      </c>
      <c r="H27" s="5" t="s">
        <v>199</v>
      </c>
      <c r="I27" s="5" t="s">
        <v>160</v>
      </c>
      <c r="J27" s="5" t="s">
        <v>131</v>
      </c>
      <c r="K27" s="5" t="s">
        <v>247</v>
      </c>
      <c r="L27" s="5" t="s">
        <v>162</v>
      </c>
      <c r="M27" s="5" t="s">
        <v>163</v>
      </c>
      <c r="N27" s="5" t="s">
        <v>164</v>
      </c>
      <c r="O27" s="5" t="n">
        <v>56</v>
      </c>
      <c r="P27" s="5"/>
      <c r="Q27" s="5" t="n">
        <v>620</v>
      </c>
      <c r="R27" s="5" t="s">
        <v>162</v>
      </c>
      <c r="S27" s="12" t="n">
        <f aca="false">COUNTIF(ES_Data!$B$2:$B$347,A27)</f>
        <v>2</v>
      </c>
      <c r="T27" s="12" t="n">
        <f aca="false">COUNTIFS(ES_Data!$B$2:$B$347,A27,ES_Data!$AP$2:$AP$347,"Y")</f>
        <v>2</v>
      </c>
      <c r="U27" s="12" t="n">
        <f aca="false">COUNTIFS(ES_Data!$B$2:$B$347,A27,ES_Data!$AP$2:$AP$347,"Y",ES_Data!$P$2:$P$347,"Cognitive")</f>
        <v>2</v>
      </c>
      <c r="V27" s="12" t="n">
        <f aca="false">COUNTIFS(ES_Data!$B$2:$B$347,A27,ES_Data!$AP$2:$AP$347,"Y",ES_Data!$P$2:$P$347,"Non-cognitive")</f>
        <v>0</v>
      </c>
      <c r="W27" s="5" t="s">
        <v>1102</v>
      </c>
      <c r="X27" s="5"/>
    </row>
    <row r="28" customFormat="false" ht="15" hidden="false" customHeight="false" outlineLevel="0" collapsed="false">
      <c r="A28" s="5" t="s">
        <v>468</v>
      </c>
      <c r="B28" s="5" t="s">
        <v>469</v>
      </c>
      <c r="C28" s="5" t="n">
        <v>2024</v>
      </c>
      <c r="D28" s="5" t="s">
        <v>1137</v>
      </c>
      <c r="E28" s="5"/>
      <c r="F28" s="5" t="s">
        <v>1101</v>
      </c>
      <c r="G28" s="5" t="s">
        <v>221</v>
      </c>
      <c r="H28" s="5" t="s">
        <v>222</v>
      </c>
      <c r="I28" s="5" t="s">
        <v>187</v>
      </c>
      <c r="J28" s="5" t="s">
        <v>174</v>
      </c>
      <c r="K28" s="5" t="s">
        <v>449</v>
      </c>
      <c r="L28" s="5" t="s">
        <v>76</v>
      </c>
      <c r="M28" s="5" t="s">
        <v>163</v>
      </c>
      <c r="N28" s="5" t="s">
        <v>164</v>
      </c>
      <c r="O28" s="5" t="n">
        <v>136</v>
      </c>
      <c r="P28" s="5" t="n">
        <v>12</v>
      </c>
      <c r="Q28" s="5" t="n">
        <v>40</v>
      </c>
      <c r="R28" s="5" t="s">
        <v>261</v>
      </c>
      <c r="S28" s="12" t="n">
        <f aca="false">COUNTIF(ES_Data!$B$2:$B$347,A28)</f>
        <v>4</v>
      </c>
      <c r="T28" s="12" t="n">
        <f aca="false">COUNTIFS(ES_Data!$B$2:$B$347,A28,ES_Data!$AP$2:$AP$347,"Y")</f>
        <v>2</v>
      </c>
      <c r="U28" s="12" t="n">
        <f aca="false">COUNTIFS(ES_Data!$B$2:$B$347,A28,ES_Data!$AP$2:$AP$347,"Y",ES_Data!$P$2:$P$347,"Cognitive")</f>
        <v>1</v>
      </c>
      <c r="V28" s="12" t="n">
        <f aca="false">COUNTIFS(ES_Data!$B$2:$B$347,A28,ES_Data!$AP$2:$AP$347,"Y",ES_Data!$P$2:$P$347,"Non-cognitive")</f>
        <v>1</v>
      </c>
      <c r="W28" s="5" t="s">
        <v>1106</v>
      </c>
      <c r="X28" s="5"/>
    </row>
    <row r="29" customFormat="false" ht="15" hidden="false" customHeight="false" outlineLevel="0" collapsed="false">
      <c r="A29" s="5" t="s">
        <v>474</v>
      </c>
      <c r="B29" s="5" t="s">
        <v>475</v>
      </c>
      <c r="C29" s="5" t="n">
        <v>2023</v>
      </c>
      <c r="D29" s="5" t="s">
        <v>1138</v>
      </c>
      <c r="E29" s="5"/>
      <c r="F29" s="5" t="s">
        <v>1101</v>
      </c>
      <c r="G29" s="5" t="s">
        <v>206</v>
      </c>
      <c r="H29" s="5" t="s">
        <v>173</v>
      </c>
      <c r="I29" s="5" t="s">
        <v>476</v>
      </c>
      <c r="J29" s="5" t="s">
        <v>174</v>
      </c>
      <c r="K29" s="5" t="s">
        <v>477</v>
      </c>
      <c r="L29" s="5" t="s">
        <v>76</v>
      </c>
      <c r="M29" s="5" t="s">
        <v>163</v>
      </c>
      <c r="N29" s="5" t="s">
        <v>164</v>
      </c>
      <c r="O29" s="5" t="n">
        <v>102</v>
      </c>
      <c r="P29" s="5" t="n">
        <v>9</v>
      </c>
      <c r="Q29" s="5" t="n">
        <v>60</v>
      </c>
      <c r="R29" s="5" t="s">
        <v>261</v>
      </c>
      <c r="S29" s="12" t="n">
        <f aca="false">COUNTIF(ES_Data!$B$2:$B$347,A29)</f>
        <v>3</v>
      </c>
      <c r="T29" s="12" t="n">
        <f aca="false">COUNTIFS(ES_Data!$B$2:$B$347,A29,ES_Data!$AP$2:$AP$347,"Y")</f>
        <v>2</v>
      </c>
      <c r="U29" s="12" t="n">
        <f aca="false">COUNTIFS(ES_Data!$B$2:$B$347,A29,ES_Data!$AP$2:$AP$347,"Y",ES_Data!$P$2:$P$347,"Cognitive")</f>
        <v>1</v>
      </c>
      <c r="V29" s="12" t="n">
        <f aca="false">COUNTIFS(ES_Data!$B$2:$B$347,A29,ES_Data!$AP$2:$AP$347,"Y",ES_Data!$P$2:$P$347,"Non-cognitive")</f>
        <v>1</v>
      </c>
      <c r="W29" s="5" t="s">
        <v>1139</v>
      </c>
      <c r="X29" s="5"/>
    </row>
    <row r="30" customFormat="false" ht="15" hidden="false" customHeight="false" outlineLevel="0" collapsed="false">
      <c r="A30" s="5" t="s">
        <v>482</v>
      </c>
      <c r="B30" s="5" t="s">
        <v>483</v>
      </c>
      <c r="C30" s="5" t="n">
        <v>2024</v>
      </c>
      <c r="D30" s="5" t="s">
        <v>1140</v>
      </c>
      <c r="E30" s="5"/>
      <c r="F30" s="5" t="s">
        <v>1101</v>
      </c>
      <c r="G30" s="5" t="s">
        <v>221</v>
      </c>
      <c r="H30" s="5" t="s">
        <v>199</v>
      </c>
      <c r="I30" s="5" t="s">
        <v>160</v>
      </c>
      <c r="J30" s="5" t="s">
        <v>162</v>
      </c>
      <c r="K30" s="5"/>
      <c r="L30" s="5" t="s">
        <v>162</v>
      </c>
      <c r="M30" s="5" t="s">
        <v>163</v>
      </c>
      <c r="N30" s="5" t="s">
        <v>164</v>
      </c>
      <c r="O30" s="5" t="n">
        <v>59</v>
      </c>
      <c r="P30" s="5"/>
      <c r="Q30" s="5"/>
      <c r="R30" s="5" t="s">
        <v>162</v>
      </c>
      <c r="S30" s="12" t="n">
        <f aca="false">COUNTIF(ES_Data!$B$2:$B$347,A30)</f>
        <v>2</v>
      </c>
      <c r="T30" s="12" t="n">
        <f aca="false">COUNTIFS(ES_Data!$B$2:$B$347,A30,ES_Data!$AP$2:$AP$347,"Y")</f>
        <v>0</v>
      </c>
      <c r="U30" s="12" t="n">
        <f aca="false">COUNTIFS(ES_Data!$B$2:$B$347,A30,ES_Data!$AP$2:$AP$347,"Y",ES_Data!$P$2:$P$347,"Cognitive")</f>
        <v>0</v>
      </c>
      <c r="V30" s="12" t="n">
        <f aca="false">COUNTIFS(ES_Data!$B$2:$B$347,A30,ES_Data!$AP$2:$AP$347,"Y",ES_Data!$P$2:$P$347,"Non-cognitive")</f>
        <v>0</v>
      </c>
      <c r="W30" s="5" t="s">
        <v>1141</v>
      </c>
      <c r="X30" s="5"/>
    </row>
    <row r="31" customFormat="false" ht="15" hidden="false" customHeight="false" outlineLevel="0" collapsed="false">
      <c r="A31" s="5" t="s">
        <v>488</v>
      </c>
      <c r="B31" s="5" t="s">
        <v>489</v>
      </c>
      <c r="C31" s="5" t="n">
        <v>2024</v>
      </c>
      <c r="D31" s="5" t="s">
        <v>1142</v>
      </c>
      <c r="E31" s="5" t="s">
        <v>1143</v>
      </c>
      <c r="F31" s="5" t="s">
        <v>1095</v>
      </c>
      <c r="G31" s="5" t="s">
        <v>221</v>
      </c>
      <c r="H31" s="5" t="s">
        <v>490</v>
      </c>
      <c r="I31" s="5" t="s">
        <v>491</v>
      </c>
      <c r="J31" s="5" t="s">
        <v>131</v>
      </c>
      <c r="K31" s="5" t="s">
        <v>492</v>
      </c>
      <c r="L31" s="5" t="s">
        <v>189</v>
      </c>
      <c r="M31" s="5" t="s">
        <v>493</v>
      </c>
      <c r="N31" s="5" t="s">
        <v>494</v>
      </c>
      <c r="O31" s="5" t="n">
        <v>44</v>
      </c>
      <c r="P31" s="5" t="s">
        <v>495</v>
      </c>
      <c r="Q31" s="5" t="s">
        <v>408</v>
      </c>
      <c r="R31" s="5" t="s">
        <v>190</v>
      </c>
      <c r="S31" s="12" t="n">
        <f aca="false">COUNTIF(ES_Data!$B$2:$B$347,A31)</f>
        <v>4</v>
      </c>
      <c r="T31" s="12" t="n">
        <f aca="false">COUNTIFS(ES_Data!$B$2:$B$347,A31,ES_Data!$AP$2:$AP$347,"Y")</f>
        <v>4</v>
      </c>
      <c r="U31" s="12" t="n">
        <f aca="false">COUNTIFS(ES_Data!$B$2:$B$347,A31,ES_Data!$AP$2:$AP$347,"Y",ES_Data!$P$2:$P$347,"Cognitive")</f>
        <v>1</v>
      </c>
      <c r="V31" s="12" t="n">
        <f aca="false">COUNTIFS(ES_Data!$B$2:$B$347,A31,ES_Data!$AP$2:$AP$347,"Y",ES_Data!$P$2:$P$347,"Non-cognitive")</f>
        <v>3</v>
      </c>
      <c r="W31" s="5" t="s">
        <v>290</v>
      </c>
      <c r="X31" s="5" t="s">
        <v>1144</v>
      </c>
    </row>
    <row r="32" customFormat="false" ht="15" hidden="false" customHeight="false" outlineLevel="0" collapsed="false">
      <c r="A32" s="5" t="s">
        <v>512</v>
      </c>
      <c r="B32" s="5" t="s">
        <v>513</v>
      </c>
      <c r="C32" s="5" t="n">
        <v>2025</v>
      </c>
      <c r="D32" s="5" t="s">
        <v>1145</v>
      </c>
      <c r="E32" s="5"/>
      <c r="F32" s="5" t="s">
        <v>1101</v>
      </c>
      <c r="G32" s="5" t="s">
        <v>514</v>
      </c>
      <c r="H32" s="5" t="s">
        <v>173</v>
      </c>
      <c r="I32" s="5" t="s">
        <v>160</v>
      </c>
      <c r="J32" s="5" t="s">
        <v>174</v>
      </c>
      <c r="K32" s="5" t="s">
        <v>477</v>
      </c>
      <c r="L32" s="5" t="s">
        <v>162</v>
      </c>
      <c r="M32" s="5" t="s">
        <v>163</v>
      </c>
      <c r="N32" s="5" t="s">
        <v>164</v>
      </c>
      <c r="O32" s="5" t="n">
        <v>120</v>
      </c>
      <c r="P32" s="5" t="n">
        <v>13</v>
      </c>
      <c r="Q32" s="5"/>
      <c r="R32" s="5" t="s">
        <v>261</v>
      </c>
      <c r="S32" s="12" t="n">
        <f aca="false">COUNTIF(ES_Data!$B$2:$B$347,A32)</f>
        <v>2</v>
      </c>
      <c r="T32" s="12" t="n">
        <f aca="false">COUNTIFS(ES_Data!$B$2:$B$347,A32,ES_Data!$AP$2:$AP$347,"Y")</f>
        <v>1</v>
      </c>
      <c r="U32" s="12" t="n">
        <f aca="false">COUNTIFS(ES_Data!$B$2:$B$347,A32,ES_Data!$AP$2:$AP$347,"Y",ES_Data!$P$2:$P$347,"Cognitive")</f>
        <v>1</v>
      </c>
      <c r="V32" s="12" t="n">
        <f aca="false">COUNTIFS(ES_Data!$B$2:$B$347,A32,ES_Data!$AP$2:$AP$347,"Y",ES_Data!$P$2:$P$347,"Non-cognitive")</f>
        <v>0</v>
      </c>
      <c r="W32" s="5" t="s">
        <v>1104</v>
      </c>
      <c r="X32" s="5"/>
    </row>
    <row r="33" customFormat="false" ht="15" hidden="false" customHeight="false" outlineLevel="0" collapsed="false">
      <c r="A33" s="5" t="s">
        <v>517</v>
      </c>
      <c r="B33" s="5" t="s">
        <v>518</v>
      </c>
      <c r="C33" s="5" t="n">
        <v>2025</v>
      </c>
      <c r="D33" s="5" t="s">
        <v>1146</v>
      </c>
      <c r="E33" s="5"/>
      <c r="F33" s="5" t="s">
        <v>1101</v>
      </c>
      <c r="G33" s="5" t="s">
        <v>158</v>
      </c>
      <c r="H33" s="5" t="s">
        <v>199</v>
      </c>
      <c r="I33" s="5" t="s">
        <v>160</v>
      </c>
      <c r="J33" s="5" t="s">
        <v>174</v>
      </c>
      <c r="K33" s="5" t="s">
        <v>519</v>
      </c>
      <c r="L33" s="5" t="s">
        <v>162</v>
      </c>
      <c r="M33" s="5" t="s">
        <v>163</v>
      </c>
      <c r="N33" s="5" t="s">
        <v>164</v>
      </c>
      <c r="O33" s="5" t="n">
        <v>58</v>
      </c>
      <c r="P33" s="5" t="s">
        <v>520</v>
      </c>
      <c r="Q33" s="5" t="n">
        <v>50</v>
      </c>
      <c r="R33" s="5" t="s">
        <v>261</v>
      </c>
      <c r="S33" s="12" t="n">
        <f aca="false">COUNTIF(ES_Data!$B$2:$B$347,A33)</f>
        <v>2</v>
      </c>
      <c r="T33" s="12" t="n">
        <f aca="false">COUNTIFS(ES_Data!$B$2:$B$347,A33,ES_Data!$AP$2:$AP$347,"Y")</f>
        <v>1</v>
      </c>
      <c r="U33" s="12" t="n">
        <f aca="false">COUNTIFS(ES_Data!$B$2:$B$347,A33,ES_Data!$AP$2:$AP$347,"Y",ES_Data!$P$2:$P$347,"Cognitive")</f>
        <v>1</v>
      </c>
      <c r="V33" s="12" t="n">
        <f aca="false">COUNTIFS(ES_Data!$B$2:$B$347,A33,ES_Data!$AP$2:$AP$347,"Y",ES_Data!$P$2:$P$347,"Non-cognitive")</f>
        <v>0</v>
      </c>
      <c r="W33" s="5" t="s">
        <v>1102</v>
      </c>
      <c r="X33" s="5"/>
    </row>
    <row r="34" customFormat="false" ht="15" hidden="false" customHeight="false" outlineLevel="0" collapsed="false">
      <c r="A34" s="5" t="s">
        <v>524</v>
      </c>
      <c r="B34" s="5" t="s">
        <v>525</v>
      </c>
      <c r="C34" s="5" t="n">
        <v>2026</v>
      </c>
      <c r="D34" s="5" t="s">
        <v>1147</v>
      </c>
      <c r="E34" s="5"/>
      <c r="F34" s="5" t="s">
        <v>1101</v>
      </c>
      <c r="G34" s="5" t="s">
        <v>158</v>
      </c>
      <c r="H34" s="5" t="s">
        <v>173</v>
      </c>
      <c r="I34" s="5" t="s">
        <v>476</v>
      </c>
      <c r="J34" s="5" t="s">
        <v>131</v>
      </c>
      <c r="K34" s="5" t="s">
        <v>188</v>
      </c>
      <c r="L34" s="5" t="s">
        <v>76</v>
      </c>
      <c r="M34" s="5" t="s">
        <v>163</v>
      </c>
      <c r="N34" s="5" t="s">
        <v>164</v>
      </c>
      <c r="O34" s="5" t="n">
        <v>223</v>
      </c>
      <c r="P34" s="5"/>
      <c r="Q34" s="5"/>
      <c r="R34" s="5" t="s">
        <v>81</v>
      </c>
      <c r="S34" s="12" t="n">
        <f aca="false">COUNTIF(ES_Data!$B$2:$B$347,A34)</f>
        <v>4</v>
      </c>
      <c r="T34" s="12" t="n">
        <f aca="false">COUNTIFS(ES_Data!$B$2:$B$347,A34,ES_Data!$AP$2:$AP$347,"Y")</f>
        <v>2</v>
      </c>
      <c r="U34" s="12" t="n">
        <f aca="false">COUNTIFS(ES_Data!$B$2:$B$347,A34,ES_Data!$AP$2:$AP$347,"Y",ES_Data!$P$2:$P$347,"Cognitive")</f>
        <v>0</v>
      </c>
      <c r="V34" s="12" t="n">
        <f aca="false">COUNTIFS(ES_Data!$B$2:$B$347,A34,ES_Data!$AP$2:$AP$347,"Y",ES_Data!$P$2:$P$347,"Non-cognitive")</f>
        <v>2</v>
      </c>
      <c r="W34" s="5" t="s">
        <v>1127</v>
      </c>
      <c r="X34" s="5"/>
    </row>
    <row r="35" customFormat="false" ht="15" hidden="false" customHeight="false" outlineLevel="0" collapsed="false">
      <c r="A35" s="5" t="s">
        <v>532</v>
      </c>
      <c r="B35" s="5" t="s">
        <v>533</v>
      </c>
      <c r="C35" s="5" t="n">
        <v>2023</v>
      </c>
      <c r="D35" s="5" t="s">
        <v>1148</v>
      </c>
      <c r="E35" s="5" t="s">
        <v>1149</v>
      </c>
      <c r="F35" s="5" t="s">
        <v>1095</v>
      </c>
      <c r="G35" s="5" t="s">
        <v>402</v>
      </c>
      <c r="H35" s="5" t="s">
        <v>173</v>
      </c>
      <c r="I35" s="5" t="s">
        <v>534</v>
      </c>
      <c r="J35" s="5" t="s">
        <v>265</v>
      </c>
      <c r="K35" s="5" t="s">
        <v>535</v>
      </c>
      <c r="L35" s="5" t="s">
        <v>76</v>
      </c>
      <c r="M35" s="5" t="s">
        <v>536</v>
      </c>
      <c r="N35" s="5" t="s">
        <v>537</v>
      </c>
      <c r="O35" s="5" t="n">
        <v>20</v>
      </c>
      <c r="P35" s="5" t="s">
        <v>538</v>
      </c>
      <c r="Q35" s="5" t="s">
        <v>408</v>
      </c>
      <c r="R35" s="5" t="s">
        <v>81</v>
      </c>
      <c r="S35" s="12" t="n">
        <f aca="false">COUNTIF(ES_Data!$B$2:$B$347,A35)</f>
        <v>4</v>
      </c>
      <c r="T35" s="12" t="n">
        <f aca="false">COUNTIFS(ES_Data!$B$2:$B$347,A35,ES_Data!$AP$2:$AP$347,"Y")</f>
        <v>4</v>
      </c>
      <c r="U35" s="12" t="n">
        <f aca="false">COUNTIFS(ES_Data!$B$2:$B$347,A35,ES_Data!$AP$2:$AP$347,"Y",ES_Data!$P$2:$P$347,"Cognitive")</f>
        <v>4</v>
      </c>
      <c r="V35" s="12" t="n">
        <f aca="false">COUNTIFS(ES_Data!$B$2:$B$347,A35,ES_Data!$AP$2:$AP$347,"Y",ES_Data!$P$2:$P$347,"Non-cognitive")</f>
        <v>0</v>
      </c>
      <c r="W35" s="5" t="s">
        <v>290</v>
      </c>
      <c r="X35" s="5" t="s">
        <v>1150</v>
      </c>
    </row>
    <row r="36" customFormat="false" ht="15" hidden="false" customHeight="false" outlineLevel="0" collapsed="false">
      <c r="A36" s="5" t="s">
        <v>551</v>
      </c>
      <c r="B36" s="5" t="s">
        <v>552</v>
      </c>
      <c r="C36" s="5" t="n">
        <v>2025</v>
      </c>
      <c r="D36" s="5" t="s">
        <v>1151</v>
      </c>
      <c r="E36" s="5"/>
      <c r="F36" s="5" t="s">
        <v>1101</v>
      </c>
      <c r="G36" s="5" t="s">
        <v>553</v>
      </c>
      <c r="H36" s="5" t="s">
        <v>199</v>
      </c>
      <c r="I36" s="5" t="s">
        <v>160</v>
      </c>
      <c r="J36" s="5" t="s">
        <v>74</v>
      </c>
      <c r="K36" s="5" t="s">
        <v>200</v>
      </c>
      <c r="L36" s="5" t="s">
        <v>162</v>
      </c>
      <c r="M36" s="5" t="s">
        <v>163</v>
      </c>
      <c r="N36" s="5" t="s">
        <v>164</v>
      </c>
      <c r="O36" s="5" t="n">
        <v>106</v>
      </c>
      <c r="P36" s="5"/>
      <c r="Q36" s="5" t="n">
        <v>20</v>
      </c>
      <c r="R36" s="5" t="s">
        <v>162</v>
      </c>
      <c r="S36" s="12" t="n">
        <f aca="false">COUNTIF(ES_Data!$B$2:$B$347,A36)</f>
        <v>1</v>
      </c>
      <c r="T36" s="12" t="n">
        <f aca="false">COUNTIFS(ES_Data!$B$2:$B$347,A36,ES_Data!$AP$2:$AP$347,"Y")</f>
        <v>1</v>
      </c>
      <c r="U36" s="12" t="n">
        <f aca="false">COUNTIFS(ES_Data!$B$2:$B$347,A36,ES_Data!$AP$2:$AP$347,"Y",ES_Data!$P$2:$P$347,"Cognitive")</f>
        <v>1</v>
      </c>
      <c r="V36" s="12" t="n">
        <f aca="false">COUNTIFS(ES_Data!$B$2:$B$347,A36,ES_Data!$AP$2:$AP$347,"Y",ES_Data!$P$2:$P$347,"Non-cognitive")</f>
        <v>0</v>
      </c>
      <c r="W36" s="5" t="s">
        <v>1102</v>
      </c>
      <c r="X36" s="5"/>
    </row>
    <row r="37" customFormat="false" ht="15" hidden="false" customHeight="false" outlineLevel="0" collapsed="false">
      <c r="A37" s="5" t="s">
        <v>555</v>
      </c>
      <c r="B37" s="5" t="s">
        <v>556</v>
      </c>
      <c r="C37" s="5" t="n">
        <v>2024</v>
      </c>
      <c r="D37" s="5" t="s">
        <v>1152</v>
      </c>
      <c r="E37" s="5"/>
      <c r="F37" s="5" t="s">
        <v>1101</v>
      </c>
      <c r="G37" s="5" t="s">
        <v>557</v>
      </c>
      <c r="H37" s="5" t="s">
        <v>173</v>
      </c>
      <c r="I37" s="5" t="s">
        <v>395</v>
      </c>
      <c r="J37" s="5" t="s">
        <v>131</v>
      </c>
      <c r="K37" s="5" t="s">
        <v>188</v>
      </c>
      <c r="L37" s="5" t="s">
        <v>76</v>
      </c>
      <c r="M37" s="5" t="s">
        <v>163</v>
      </c>
      <c r="N37" s="5" t="s">
        <v>164</v>
      </c>
      <c r="O37" s="5" t="n">
        <v>29</v>
      </c>
      <c r="P37" s="5"/>
      <c r="Q37" s="5"/>
      <c r="R37" s="5" t="s">
        <v>81</v>
      </c>
      <c r="S37" s="12" t="n">
        <f aca="false">COUNTIF(ES_Data!$B$2:$B$347,A37)</f>
        <v>1</v>
      </c>
      <c r="T37" s="12" t="n">
        <f aca="false">COUNTIFS(ES_Data!$B$2:$B$347,A37,ES_Data!$AP$2:$AP$347,"Y")</f>
        <v>1</v>
      </c>
      <c r="U37" s="12" t="n">
        <f aca="false">COUNTIFS(ES_Data!$B$2:$B$347,A37,ES_Data!$AP$2:$AP$347,"Y",ES_Data!$P$2:$P$347,"Cognitive")</f>
        <v>0</v>
      </c>
      <c r="V37" s="12" t="n">
        <f aca="false">COUNTIFS(ES_Data!$B$2:$B$347,A37,ES_Data!$AP$2:$AP$347,"Y",ES_Data!$P$2:$P$347,"Non-cognitive")</f>
        <v>1</v>
      </c>
      <c r="W37" s="5" t="s">
        <v>1127</v>
      </c>
      <c r="X37" s="5"/>
    </row>
    <row r="38" customFormat="false" ht="15" hidden="false" customHeight="false" outlineLevel="0" collapsed="false">
      <c r="A38" s="5" t="s">
        <v>559</v>
      </c>
      <c r="B38" s="5" t="s">
        <v>560</v>
      </c>
      <c r="C38" s="5" t="n">
        <v>2023</v>
      </c>
      <c r="D38" s="5" t="s">
        <v>1153</v>
      </c>
      <c r="E38" s="5"/>
      <c r="F38" s="5" t="s">
        <v>1101</v>
      </c>
      <c r="G38" s="5" t="s">
        <v>402</v>
      </c>
      <c r="H38" s="5" t="s">
        <v>199</v>
      </c>
      <c r="I38" s="5" t="s">
        <v>160</v>
      </c>
      <c r="J38" s="5" t="s">
        <v>74</v>
      </c>
      <c r="K38" s="5" t="s">
        <v>200</v>
      </c>
      <c r="L38" s="5" t="s">
        <v>162</v>
      </c>
      <c r="M38" s="5" t="s">
        <v>163</v>
      </c>
      <c r="N38" s="5" t="s">
        <v>164</v>
      </c>
      <c r="O38" s="5" t="n">
        <v>75</v>
      </c>
      <c r="P38" s="5" t="s">
        <v>561</v>
      </c>
      <c r="Q38" s="5" t="n">
        <v>15</v>
      </c>
      <c r="R38" s="5" t="s">
        <v>261</v>
      </c>
      <c r="S38" s="12" t="n">
        <f aca="false">COUNTIF(ES_Data!$B$2:$B$347,A38)</f>
        <v>2</v>
      </c>
      <c r="T38" s="12" t="n">
        <f aca="false">COUNTIFS(ES_Data!$B$2:$B$347,A38,ES_Data!$AP$2:$AP$347,"Y")</f>
        <v>1</v>
      </c>
      <c r="U38" s="12" t="n">
        <f aca="false">COUNTIFS(ES_Data!$B$2:$B$347,A38,ES_Data!$AP$2:$AP$347,"Y",ES_Data!$P$2:$P$347,"Cognitive")</f>
        <v>1</v>
      </c>
      <c r="V38" s="12" t="n">
        <f aca="false">COUNTIFS(ES_Data!$B$2:$B$347,A38,ES_Data!$AP$2:$AP$347,"Y",ES_Data!$P$2:$P$347,"Non-cognitive")</f>
        <v>0</v>
      </c>
      <c r="W38" s="5" t="s">
        <v>1102</v>
      </c>
      <c r="X38" s="5"/>
    </row>
    <row r="39" customFormat="false" ht="15" hidden="false" customHeight="false" outlineLevel="0" collapsed="false">
      <c r="A39" s="5" t="s">
        <v>566</v>
      </c>
      <c r="B39" s="5" t="s">
        <v>567</v>
      </c>
      <c r="C39" s="5" t="n">
        <v>2025</v>
      </c>
      <c r="D39" s="5" t="s">
        <v>1154</v>
      </c>
      <c r="E39" s="5" t="s">
        <v>1155</v>
      </c>
      <c r="F39" s="5" t="s">
        <v>1101</v>
      </c>
      <c r="G39" s="5" t="s">
        <v>553</v>
      </c>
      <c r="H39" s="5" t="s">
        <v>568</v>
      </c>
      <c r="I39" s="5" t="s">
        <v>569</v>
      </c>
      <c r="J39" s="5" t="s">
        <v>74</v>
      </c>
      <c r="K39" s="5" t="s">
        <v>207</v>
      </c>
      <c r="L39" s="5" t="s">
        <v>189</v>
      </c>
      <c r="M39" s="5" t="s">
        <v>570</v>
      </c>
      <c r="N39" s="5" t="s">
        <v>571</v>
      </c>
      <c r="O39" s="5" t="n">
        <v>214</v>
      </c>
      <c r="P39" s="5"/>
      <c r="Q39" s="5"/>
      <c r="R39" s="5" t="s">
        <v>81</v>
      </c>
      <c r="S39" s="12" t="n">
        <f aca="false">COUNTIF(ES_Data!$B$2:$B$347,A39)</f>
        <v>1</v>
      </c>
      <c r="T39" s="12" t="n">
        <f aca="false">COUNTIFS(ES_Data!$B$2:$B$347,A39,ES_Data!$AP$2:$AP$347,"Y")</f>
        <v>1</v>
      </c>
      <c r="U39" s="12" t="n">
        <f aca="false">COUNTIFS(ES_Data!$B$2:$B$347,A39,ES_Data!$AP$2:$AP$347,"Y",ES_Data!$P$2:$P$347,"Cognitive")</f>
        <v>0</v>
      </c>
      <c r="V39" s="12" t="n">
        <f aca="false">COUNTIFS(ES_Data!$B$2:$B$347,A39,ES_Data!$AP$2:$AP$347,"Y",ES_Data!$P$2:$P$347,"Non-cognitive")</f>
        <v>1</v>
      </c>
      <c r="W39" s="5" t="s">
        <v>1156</v>
      </c>
      <c r="X39" s="5"/>
    </row>
    <row r="40" customFormat="false" ht="15" hidden="false" customHeight="false" outlineLevel="0" collapsed="false">
      <c r="A40" s="5" t="s">
        <v>575</v>
      </c>
      <c r="B40" s="5" t="s">
        <v>576</v>
      </c>
      <c r="C40" s="5" t="n">
        <v>2022</v>
      </c>
      <c r="D40" s="5" t="s">
        <v>1157</v>
      </c>
      <c r="E40" s="5"/>
      <c r="F40" s="5" t="s">
        <v>1101</v>
      </c>
      <c r="G40" s="5" t="s">
        <v>206</v>
      </c>
      <c r="H40" s="5" t="s">
        <v>173</v>
      </c>
      <c r="I40" s="5" t="s">
        <v>187</v>
      </c>
      <c r="J40" s="5" t="s">
        <v>74</v>
      </c>
      <c r="K40" s="5" t="s">
        <v>207</v>
      </c>
      <c r="L40" s="5" t="s">
        <v>189</v>
      </c>
      <c r="M40" s="5" t="s">
        <v>163</v>
      </c>
      <c r="N40" s="5" t="s">
        <v>164</v>
      </c>
      <c r="O40" s="5" t="n">
        <v>38</v>
      </c>
      <c r="P40" s="5"/>
      <c r="Q40" s="5"/>
      <c r="R40" s="5" t="s">
        <v>190</v>
      </c>
      <c r="S40" s="12" t="n">
        <f aca="false">COUNTIF(ES_Data!$B$2:$B$347,A40)</f>
        <v>2</v>
      </c>
      <c r="T40" s="12" t="n">
        <f aca="false">COUNTIFS(ES_Data!$B$2:$B$347,A40,ES_Data!$AP$2:$AP$347,"Y")</f>
        <v>2</v>
      </c>
      <c r="U40" s="12" t="n">
        <f aca="false">COUNTIFS(ES_Data!$B$2:$B$347,A40,ES_Data!$AP$2:$AP$347,"Y",ES_Data!$P$2:$P$347,"Cognitive")</f>
        <v>1</v>
      </c>
      <c r="V40" s="12" t="n">
        <f aca="false">COUNTIFS(ES_Data!$B$2:$B$347,A40,ES_Data!$AP$2:$AP$347,"Y",ES_Data!$P$2:$P$347,"Non-cognitive")</f>
        <v>1</v>
      </c>
      <c r="W40" s="5" t="s">
        <v>1135</v>
      </c>
      <c r="X40" s="5"/>
    </row>
    <row r="41" customFormat="false" ht="15" hidden="false" customHeight="false" outlineLevel="0" collapsed="false">
      <c r="A41" s="5" t="s">
        <v>579</v>
      </c>
      <c r="B41" s="5" t="s">
        <v>580</v>
      </c>
      <c r="C41" s="5" t="n">
        <v>2024</v>
      </c>
      <c r="D41" s="5" t="s">
        <v>1158</v>
      </c>
      <c r="E41" s="5"/>
      <c r="F41" s="5" t="s">
        <v>1101</v>
      </c>
      <c r="G41" s="5" t="s">
        <v>221</v>
      </c>
      <c r="H41" s="5" t="s">
        <v>199</v>
      </c>
      <c r="I41" s="5" t="s">
        <v>160</v>
      </c>
      <c r="J41" s="5" t="s">
        <v>74</v>
      </c>
      <c r="K41" s="5" t="s">
        <v>200</v>
      </c>
      <c r="L41" s="5" t="s">
        <v>162</v>
      </c>
      <c r="M41" s="5" t="s">
        <v>163</v>
      </c>
      <c r="N41" s="5" t="s">
        <v>164</v>
      </c>
      <c r="O41" s="5" t="n">
        <v>39</v>
      </c>
      <c r="P41" s="5"/>
      <c r="Q41" s="5" t="n">
        <v>60</v>
      </c>
      <c r="R41" s="5" t="s">
        <v>162</v>
      </c>
      <c r="S41" s="12" t="n">
        <f aca="false">COUNTIF(ES_Data!$B$2:$B$347,A41)</f>
        <v>1</v>
      </c>
      <c r="T41" s="12" t="n">
        <f aca="false">COUNTIFS(ES_Data!$B$2:$B$347,A41,ES_Data!$AP$2:$AP$347,"Y")</f>
        <v>1</v>
      </c>
      <c r="U41" s="12" t="n">
        <f aca="false">COUNTIFS(ES_Data!$B$2:$B$347,A41,ES_Data!$AP$2:$AP$347,"Y",ES_Data!$P$2:$P$347,"Cognitive")</f>
        <v>1</v>
      </c>
      <c r="V41" s="12" t="n">
        <f aca="false">COUNTIFS(ES_Data!$B$2:$B$347,A41,ES_Data!$AP$2:$AP$347,"Y",ES_Data!$P$2:$P$347,"Non-cognitive")</f>
        <v>0</v>
      </c>
      <c r="W41" s="5" t="s">
        <v>1102</v>
      </c>
      <c r="X41" s="5"/>
    </row>
    <row r="42" customFormat="false" ht="15" hidden="false" customHeight="false" outlineLevel="0" collapsed="false">
      <c r="A42" s="5" t="s">
        <v>582</v>
      </c>
      <c r="B42" s="5" t="s">
        <v>583</v>
      </c>
      <c r="C42" s="5" t="n">
        <v>2025</v>
      </c>
      <c r="D42" s="5" t="s">
        <v>1159</v>
      </c>
      <c r="E42" s="5"/>
      <c r="F42" s="5" t="s">
        <v>1101</v>
      </c>
      <c r="G42" s="5" t="s">
        <v>402</v>
      </c>
      <c r="H42" s="5" t="s">
        <v>199</v>
      </c>
      <c r="I42" s="5" t="s">
        <v>160</v>
      </c>
      <c r="J42" s="5" t="s">
        <v>162</v>
      </c>
      <c r="K42" s="5"/>
      <c r="L42" s="5" t="s">
        <v>162</v>
      </c>
      <c r="M42" s="5" t="s">
        <v>163</v>
      </c>
      <c r="N42" s="5" t="s">
        <v>164</v>
      </c>
      <c r="O42" s="5" t="n">
        <v>41</v>
      </c>
      <c r="P42" s="5"/>
      <c r="Q42" s="5"/>
      <c r="R42" s="5" t="s">
        <v>162</v>
      </c>
      <c r="S42" s="12" t="n">
        <f aca="false">COUNTIF(ES_Data!$B$2:$B$347,A42)</f>
        <v>12</v>
      </c>
      <c r="T42" s="12" t="n">
        <f aca="false">COUNTIFS(ES_Data!$B$2:$B$347,A42,ES_Data!$AP$2:$AP$347,"Y")</f>
        <v>6</v>
      </c>
      <c r="U42" s="12" t="n">
        <f aca="false">COUNTIFS(ES_Data!$B$2:$B$347,A42,ES_Data!$AP$2:$AP$347,"Y",ES_Data!$P$2:$P$347,"Cognitive")</f>
        <v>6</v>
      </c>
      <c r="V42" s="12" t="n">
        <f aca="false">COUNTIFS(ES_Data!$B$2:$B$347,A42,ES_Data!$AP$2:$AP$347,"Y",ES_Data!$P$2:$P$347,"Non-cognitive")</f>
        <v>0</v>
      </c>
      <c r="W42" s="5" t="s">
        <v>1141</v>
      </c>
      <c r="X42" s="5"/>
    </row>
    <row r="43" customFormat="false" ht="15" hidden="false" customHeight="false" outlineLevel="0" collapsed="false">
      <c r="A43" s="5" t="s">
        <v>602</v>
      </c>
      <c r="B43" s="5" t="s">
        <v>603</v>
      </c>
      <c r="C43" s="5" t="n">
        <v>2024</v>
      </c>
      <c r="D43" s="5" t="s">
        <v>1160</v>
      </c>
      <c r="E43" s="5"/>
      <c r="F43" s="5" t="s">
        <v>1101</v>
      </c>
      <c r="G43" s="5" t="s">
        <v>221</v>
      </c>
      <c r="H43" s="5" t="s">
        <v>72</v>
      </c>
      <c r="I43" s="5" t="s">
        <v>187</v>
      </c>
      <c r="J43" s="5" t="s">
        <v>74</v>
      </c>
      <c r="K43" s="5" t="s">
        <v>207</v>
      </c>
      <c r="L43" s="5" t="s">
        <v>76</v>
      </c>
      <c r="M43" s="5" t="s">
        <v>163</v>
      </c>
      <c r="N43" s="5" t="s">
        <v>164</v>
      </c>
      <c r="O43" s="5" t="n">
        <v>52</v>
      </c>
      <c r="P43" s="5" t="n">
        <v>5</v>
      </c>
      <c r="Q43" s="5" t="n">
        <v>40</v>
      </c>
      <c r="R43" s="5" t="s">
        <v>261</v>
      </c>
      <c r="S43" s="12" t="n">
        <f aca="false">COUNTIF(ES_Data!$B$2:$B$347,A43)</f>
        <v>2</v>
      </c>
      <c r="T43" s="12" t="n">
        <f aca="false">COUNTIFS(ES_Data!$B$2:$B$347,A43,ES_Data!$AP$2:$AP$347,"Y")</f>
        <v>2</v>
      </c>
      <c r="U43" s="12" t="n">
        <f aca="false">COUNTIFS(ES_Data!$B$2:$B$347,A43,ES_Data!$AP$2:$AP$347,"Y",ES_Data!$P$2:$P$347,"Cognitive")</f>
        <v>1</v>
      </c>
      <c r="V43" s="12" t="n">
        <f aca="false">COUNTIFS(ES_Data!$B$2:$B$347,A43,ES_Data!$AP$2:$AP$347,"Y",ES_Data!$P$2:$P$347,"Non-cognitive")</f>
        <v>1</v>
      </c>
      <c r="W43" s="5" t="s">
        <v>1106</v>
      </c>
      <c r="X43" s="5"/>
    </row>
    <row r="44" customFormat="false" ht="15" hidden="false" customHeight="false" outlineLevel="0" collapsed="false">
      <c r="A44" s="5" t="s">
        <v>606</v>
      </c>
      <c r="B44" s="5" t="s">
        <v>607</v>
      </c>
      <c r="C44" s="5" t="n">
        <v>2024</v>
      </c>
      <c r="D44" s="5" t="s">
        <v>1161</v>
      </c>
      <c r="E44" s="5"/>
      <c r="F44" s="5" t="s">
        <v>1101</v>
      </c>
      <c r="G44" s="5" t="s">
        <v>221</v>
      </c>
      <c r="H44" s="5" t="s">
        <v>173</v>
      </c>
      <c r="I44" s="5" t="s">
        <v>160</v>
      </c>
      <c r="J44" s="5" t="s">
        <v>74</v>
      </c>
      <c r="K44" s="5" t="s">
        <v>207</v>
      </c>
      <c r="L44" s="5" t="s">
        <v>162</v>
      </c>
      <c r="M44" s="5" t="s">
        <v>163</v>
      </c>
      <c r="N44" s="5" t="s">
        <v>164</v>
      </c>
      <c r="O44" s="5" t="n">
        <v>244</v>
      </c>
      <c r="P44" s="5" t="s">
        <v>608</v>
      </c>
      <c r="Q44" s="5" t="n">
        <v>90</v>
      </c>
      <c r="R44" s="5" t="s">
        <v>261</v>
      </c>
      <c r="S44" s="12" t="n">
        <f aca="false">COUNTIF(ES_Data!$B$2:$B$347,A44)</f>
        <v>6</v>
      </c>
      <c r="T44" s="12" t="n">
        <f aca="false">COUNTIFS(ES_Data!$B$2:$B$347,A44,ES_Data!$AP$2:$AP$347,"Y")</f>
        <v>3</v>
      </c>
      <c r="U44" s="12" t="n">
        <f aca="false">COUNTIFS(ES_Data!$B$2:$B$347,A44,ES_Data!$AP$2:$AP$347,"Y",ES_Data!$P$2:$P$347,"Cognitive")</f>
        <v>3</v>
      </c>
      <c r="V44" s="12" t="n">
        <f aca="false">COUNTIFS(ES_Data!$B$2:$B$347,A44,ES_Data!$AP$2:$AP$347,"Y",ES_Data!$P$2:$P$347,"Non-cognitive")</f>
        <v>0</v>
      </c>
      <c r="W44" s="5" t="s">
        <v>1104</v>
      </c>
      <c r="X44" s="5"/>
    </row>
    <row r="45" customFormat="false" ht="15" hidden="false" customHeight="false" outlineLevel="0" collapsed="false">
      <c r="A45" s="5" t="s">
        <v>622</v>
      </c>
      <c r="B45" s="5" t="s">
        <v>623</v>
      </c>
      <c r="C45" s="5" t="n">
        <v>2023</v>
      </c>
      <c r="D45" s="5" t="s">
        <v>1162</v>
      </c>
      <c r="E45" s="5"/>
      <c r="F45" s="5" t="s">
        <v>1101</v>
      </c>
      <c r="G45" s="5" t="s">
        <v>221</v>
      </c>
      <c r="H45" s="5" t="s">
        <v>199</v>
      </c>
      <c r="I45" s="5" t="s">
        <v>160</v>
      </c>
      <c r="J45" s="5" t="s">
        <v>265</v>
      </c>
      <c r="K45" s="5" t="s">
        <v>624</v>
      </c>
      <c r="L45" s="5" t="s">
        <v>162</v>
      </c>
      <c r="M45" s="5" t="s">
        <v>163</v>
      </c>
      <c r="N45" s="5" t="s">
        <v>164</v>
      </c>
      <c r="O45" s="5" t="n">
        <v>72</v>
      </c>
      <c r="P45" s="5" t="n">
        <v>11</v>
      </c>
      <c r="Q45" s="5" t="n">
        <v>90</v>
      </c>
      <c r="R45" s="5" t="s">
        <v>261</v>
      </c>
      <c r="S45" s="12" t="n">
        <f aca="false">COUNTIF(ES_Data!$B$2:$B$347,A45)</f>
        <v>2</v>
      </c>
      <c r="T45" s="12" t="n">
        <f aca="false">COUNTIFS(ES_Data!$B$2:$B$347,A45,ES_Data!$AP$2:$AP$347,"Y")</f>
        <v>1</v>
      </c>
      <c r="U45" s="12" t="n">
        <f aca="false">COUNTIFS(ES_Data!$B$2:$B$347,A45,ES_Data!$AP$2:$AP$347,"Y",ES_Data!$P$2:$P$347,"Cognitive")</f>
        <v>1</v>
      </c>
      <c r="V45" s="12" t="n">
        <f aca="false">COUNTIFS(ES_Data!$B$2:$B$347,A45,ES_Data!$AP$2:$AP$347,"Y",ES_Data!$P$2:$P$347,"Non-cognitive")</f>
        <v>0</v>
      </c>
      <c r="W45" s="5" t="s">
        <v>1102</v>
      </c>
      <c r="X45" s="5"/>
    </row>
    <row r="46" customFormat="false" ht="15" hidden="false" customHeight="false" outlineLevel="0" collapsed="false">
      <c r="A46" s="5" t="s">
        <v>629</v>
      </c>
      <c r="B46" s="5" t="s">
        <v>630</v>
      </c>
      <c r="C46" s="5" t="n">
        <v>2024</v>
      </c>
      <c r="D46" s="5" t="s">
        <v>1163</v>
      </c>
      <c r="E46" s="5"/>
      <c r="F46" s="5" t="s">
        <v>1101</v>
      </c>
      <c r="G46" s="5" t="s">
        <v>221</v>
      </c>
      <c r="H46" s="5" t="s">
        <v>199</v>
      </c>
      <c r="I46" s="5" t="s">
        <v>160</v>
      </c>
      <c r="J46" s="5" t="s">
        <v>131</v>
      </c>
      <c r="K46" s="5" t="s">
        <v>631</v>
      </c>
      <c r="L46" s="5" t="s">
        <v>162</v>
      </c>
      <c r="M46" s="5" t="s">
        <v>163</v>
      </c>
      <c r="N46" s="5" t="s">
        <v>164</v>
      </c>
      <c r="O46" s="5" t="n">
        <v>65</v>
      </c>
      <c r="P46" s="5" t="s">
        <v>632</v>
      </c>
      <c r="Q46" s="5"/>
      <c r="R46" s="5" t="s">
        <v>261</v>
      </c>
      <c r="S46" s="12" t="n">
        <f aca="false">COUNTIF(ES_Data!$B$2:$B$347,A46)</f>
        <v>2</v>
      </c>
      <c r="T46" s="12" t="n">
        <f aca="false">COUNTIFS(ES_Data!$B$2:$B$347,A46,ES_Data!$AP$2:$AP$347,"Y")</f>
        <v>1</v>
      </c>
      <c r="U46" s="12" t="n">
        <f aca="false">COUNTIFS(ES_Data!$B$2:$B$347,A46,ES_Data!$AP$2:$AP$347,"Y",ES_Data!$P$2:$P$347,"Cognitive")</f>
        <v>1</v>
      </c>
      <c r="V46" s="12" t="n">
        <f aca="false">COUNTIFS(ES_Data!$B$2:$B$347,A46,ES_Data!$AP$2:$AP$347,"Y",ES_Data!$P$2:$P$347,"Non-cognitive")</f>
        <v>0</v>
      </c>
      <c r="W46" s="5" t="s">
        <v>1102</v>
      </c>
      <c r="X46" s="5"/>
    </row>
    <row r="47" customFormat="false" ht="15" hidden="false" customHeight="false" outlineLevel="0" collapsed="false">
      <c r="A47" s="5" t="s">
        <v>637</v>
      </c>
      <c r="B47" s="5" t="s">
        <v>638</v>
      </c>
      <c r="C47" s="5" t="n">
        <v>2025</v>
      </c>
      <c r="D47" s="5" t="s">
        <v>1164</v>
      </c>
      <c r="E47" s="5" t="s">
        <v>1165</v>
      </c>
      <c r="F47" s="5" t="s">
        <v>1095</v>
      </c>
      <c r="G47" s="5" t="s">
        <v>639</v>
      </c>
      <c r="H47" s="5" t="s">
        <v>173</v>
      </c>
      <c r="I47" s="5" t="s">
        <v>253</v>
      </c>
      <c r="J47" s="5" t="s">
        <v>131</v>
      </c>
      <c r="K47" s="5" t="s">
        <v>188</v>
      </c>
      <c r="L47" s="5" t="s">
        <v>162</v>
      </c>
      <c r="M47" s="5" t="s">
        <v>163</v>
      </c>
      <c r="N47" s="5" t="s">
        <v>164</v>
      </c>
      <c r="O47" s="5" t="n">
        <v>92</v>
      </c>
      <c r="P47" s="5"/>
      <c r="Q47" s="5"/>
      <c r="R47" s="5" t="s">
        <v>81</v>
      </c>
      <c r="S47" s="12" t="n">
        <f aca="false">COUNTIF(ES_Data!$B$2:$B$347,A47)</f>
        <v>7</v>
      </c>
      <c r="T47" s="12" t="n">
        <f aca="false">COUNTIFS(ES_Data!$B$2:$B$347,A47,ES_Data!$AP$2:$AP$347,"Y")</f>
        <v>7</v>
      </c>
      <c r="U47" s="12" t="n">
        <f aca="false">COUNTIFS(ES_Data!$B$2:$B$347,A47,ES_Data!$AP$2:$AP$347,"Y",ES_Data!$P$2:$P$347,"Cognitive")</f>
        <v>0</v>
      </c>
      <c r="V47" s="12" t="n">
        <f aca="false">COUNTIFS(ES_Data!$B$2:$B$347,A47,ES_Data!$AP$2:$AP$347,"Y",ES_Data!$P$2:$P$347,"Non-cognitive")</f>
        <v>7</v>
      </c>
      <c r="W47" s="5" t="s">
        <v>1133</v>
      </c>
      <c r="X47" s="5"/>
    </row>
    <row r="48" customFormat="false" ht="15" hidden="false" customHeight="false" outlineLevel="0" collapsed="false">
      <c r="A48" s="5" t="s">
        <v>650</v>
      </c>
      <c r="B48" s="5" t="s">
        <v>651</v>
      </c>
      <c r="C48" s="5" t="n">
        <v>2022</v>
      </c>
      <c r="D48" s="5" t="s">
        <v>1166</v>
      </c>
      <c r="E48" s="5"/>
      <c r="F48" s="5" t="s">
        <v>1101</v>
      </c>
      <c r="G48" s="5" t="s">
        <v>652</v>
      </c>
      <c r="H48" s="5" t="s">
        <v>222</v>
      </c>
      <c r="I48" s="5" t="s">
        <v>395</v>
      </c>
      <c r="J48" s="5" t="s">
        <v>74</v>
      </c>
      <c r="K48" s="5" t="s">
        <v>207</v>
      </c>
      <c r="L48" s="5" t="s">
        <v>76</v>
      </c>
      <c r="M48" s="5" t="s">
        <v>163</v>
      </c>
      <c r="N48" s="5" t="s">
        <v>164</v>
      </c>
      <c r="O48" s="5" t="n">
        <v>35</v>
      </c>
      <c r="P48" s="5"/>
      <c r="Q48" s="5"/>
      <c r="R48" s="5" t="s">
        <v>81</v>
      </c>
      <c r="S48" s="12" t="n">
        <f aca="false">COUNTIF(ES_Data!$B$2:$B$347,A48)</f>
        <v>3</v>
      </c>
      <c r="T48" s="12" t="n">
        <f aca="false">COUNTIFS(ES_Data!$B$2:$B$347,A48,ES_Data!$AP$2:$AP$347,"Y")</f>
        <v>2</v>
      </c>
      <c r="U48" s="12" t="n">
        <f aca="false">COUNTIFS(ES_Data!$B$2:$B$347,A48,ES_Data!$AP$2:$AP$347,"Y",ES_Data!$P$2:$P$347,"Cognitive")</f>
        <v>2</v>
      </c>
      <c r="V48" s="12" t="n">
        <f aca="false">COUNTIFS(ES_Data!$B$2:$B$347,A48,ES_Data!$AP$2:$AP$347,"Y",ES_Data!$P$2:$P$347,"Non-cognitive")</f>
        <v>0</v>
      </c>
      <c r="W48" s="5" t="s">
        <v>1106</v>
      </c>
      <c r="X48" s="5"/>
    </row>
    <row r="49" customFormat="false" ht="15" hidden="false" customHeight="false" outlineLevel="0" collapsed="false">
      <c r="A49" s="5" t="s">
        <v>660</v>
      </c>
      <c r="B49" s="5" t="s">
        <v>661</v>
      </c>
      <c r="C49" s="5" t="n">
        <v>2025</v>
      </c>
      <c r="D49" s="5" t="s">
        <v>1167</v>
      </c>
      <c r="E49" s="5"/>
      <c r="F49" s="5" t="s">
        <v>1101</v>
      </c>
      <c r="G49" s="5" t="s">
        <v>158</v>
      </c>
      <c r="H49" s="5" t="s">
        <v>199</v>
      </c>
      <c r="I49" s="5" t="s">
        <v>160</v>
      </c>
      <c r="J49" s="5" t="s">
        <v>162</v>
      </c>
      <c r="K49" s="5"/>
      <c r="L49" s="5" t="s">
        <v>162</v>
      </c>
      <c r="M49" s="5" t="s">
        <v>163</v>
      </c>
      <c r="N49" s="5" t="s">
        <v>164</v>
      </c>
      <c r="O49" s="5" t="n">
        <v>41</v>
      </c>
      <c r="P49" s="5"/>
      <c r="Q49" s="5"/>
      <c r="R49" s="5" t="s">
        <v>162</v>
      </c>
      <c r="S49" s="12" t="n">
        <f aca="false">COUNTIF(ES_Data!$B$2:$B$347,A49)</f>
        <v>14</v>
      </c>
      <c r="T49" s="12" t="n">
        <f aca="false">COUNTIFS(ES_Data!$B$2:$B$347,A49,ES_Data!$AP$2:$AP$347,"Y")</f>
        <v>7</v>
      </c>
      <c r="U49" s="12" t="n">
        <f aca="false">COUNTIFS(ES_Data!$B$2:$B$347,A49,ES_Data!$AP$2:$AP$347,"Y",ES_Data!$P$2:$P$347,"Cognitive")</f>
        <v>7</v>
      </c>
      <c r="V49" s="12" t="n">
        <f aca="false">COUNTIFS(ES_Data!$B$2:$B$347,A49,ES_Data!$AP$2:$AP$347,"Y",ES_Data!$P$2:$P$347,"Non-cognitive")</f>
        <v>0</v>
      </c>
      <c r="W49" s="5" t="s">
        <v>1141</v>
      </c>
      <c r="X49" s="5"/>
    </row>
    <row r="50" customFormat="false" ht="15" hidden="false" customHeight="false" outlineLevel="0" collapsed="false">
      <c r="A50" s="5" t="s">
        <v>683</v>
      </c>
      <c r="B50" s="5" t="s">
        <v>684</v>
      </c>
      <c r="C50" s="5" t="n">
        <v>2025</v>
      </c>
      <c r="D50" s="5" t="s">
        <v>1168</v>
      </c>
      <c r="E50" s="5" t="s">
        <v>1169</v>
      </c>
      <c r="F50" s="5" t="s">
        <v>1095</v>
      </c>
      <c r="G50" s="5" t="s">
        <v>685</v>
      </c>
      <c r="H50" s="5" t="s">
        <v>173</v>
      </c>
      <c r="I50" s="5" t="s">
        <v>438</v>
      </c>
      <c r="J50" s="5" t="s">
        <v>131</v>
      </c>
      <c r="K50" s="5" t="s">
        <v>188</v>
      </c>
      <c r="L50" s="5" t="s">
        <v>162</v>
      </c>
      <c r="M50" s="5" t="s">
        <v>163</v>
      </c>
      <c r="N50" s="5" t="s">
        <v>164</v>
      </c>
      <c r="O50" s="5" t="n">
        <v>60</v>
      </c>
      <c r="P50" s="5"/>
      <c r="Q50" s="5"/>
      <c r="R50" s="5" t="s">
        <v>162</v>
      </c>
      <c r="S50" s="12" t="n">
        <f aca="false">COUNTIF(ES_Data!$B$2:$B$347,A50)</f>
        <v>1</v>
      </c>
      <c r="T50" s="12" t="n">
        <f aca="false">COUNTIFS(ES_Data!$B$2:$B$347,A50,ES_Data!$AP$2:$AP$347,"Y")</f>
        <v>0</v>
      </c>
      <c r="U50" s="12" t="n">
        <f aca="false">COUNTIFS(ES_Data!$B$2:$B$347,A50,ES_Data!$AP$2:$AP$347,"Y",ES_Data!$P$2:$P$347,"Cognitive")</f>
        <v>0</v>
      </c>
      <c r="V50" s="12" t="n">
        <f aca="false">COUNTIFS(ES_Data!$B$2:$B$347,A50,ES_Data!$AP$2:$AP$347,"Y",ES_Data!$P$2:$P$347,"Non-cognitive")</f>
        <v>0</v>
      </c>
      <c r="W50" s="5" t="s">
        <v>1133</v>
      </c>
      <c r="X50" s="5"/>
    </row>
    <row r="51" customFormat="false" ht="15" hidden="false" customHeight="false" outlineLevel="0" collapsed="false">
      <c r="A51" s="5" t="s">
        <v>688</v>
      </c>
      <c r="B51" s="5" t="s">
        <v>689</v>
      </c>
      <c r="C51" s="5" t="n">
        <v>2025</v>
      </c>
      <c r="D51" s="5" t="s">
        <v>1170</v>
      </c>
      <c r="E51" s="5"/>
      <c r="F51" s="5" t="s">
        <v>1101</v>
      </c>
      <c r="G51" s="5" t="s">
        <v>158</v>
      </c>
      <c r="H51" s="5" t="s">
        <v>173</v>
      </c>
      <c r="I51" s="5" t="s">
        <v>187</v>
      </c>
      <c r="J51" s="5" t="s">
        <v>131</v>
      </c>
      <c r="K51" s="5" t="s">
        <v>188</v>
      </c>
      <c r="L51" s="5" t="s">
        <v>189</v>
      </c>
      <c r="M51" s="5" t="s">
        <v>163</v>
      </c>
      <c r="N51" s="5" t="s">
        <v>164</v>
      </c>
      <c r="O51" s="5" t="n">
        <v>566</v>
      </c>
      <c r="P51" s="5"/>
      <c r="Q51" s="5"/>
      <c r="R51" s="5" t="s">
        <v>261</v>
      </c>
      <c r="S51" s="12" t="n">
        <f aca="false">COUNTIF(ES_Data!$B$2:$B$347,A51)</f>
        <v>2</v>
      </c>
      <c r="T51" s="12" t="n">
        <f aca="false">COUNTIFS(ES_Data!$B$2:$B$347,A51,ES_Data!$AP$2:$AP$347,"Y")</f>
        <v>1</v>
      </c>
      <c r="U51" s="12" t="n">
        <f aca="false">COUNTIFS(ES_Data!$B$2:$B$347,A51,ES_Data!$AP$2:$AP$347,"Y",ES_Data!$P$2:$P$347,"Cognitive")</f>
        <v>0</v>
      </c>
      <c r="V51" s="12" t="n">
        <f aca="false">COUNTIFS(ES_Data!$B$2:$B$347,A51,ES_Data!$AP$2:$AP$347,"Y",ES_Data!$P$2:$P$347,"Non-cognitive")</f>
        <v>1</v>
      </c>
      <c r="W51" s="5" t="s">
        <v>1127</v>
      </c>
      <c r="X51" s="5"/>
    </row>
    <row r="52" customFormat="false" ht="15" hidden="false" customHeight="false" outlineLevel="0" collapsed="false">
      <c r="A52" s="5" t="s">
        <v>693</v>
      </c>
      <c r="B52" s="5" t="s">
        <v>694</v>
      </c>
      <c r="C52" s="5" t="n">
        <v>2025</v>
      </c>
      <c r="D52" s="5" t="s">
        <v>1171</v>
      </c>
      <c r="E52" s="5"/>
      <c r="F52" s="5" t="s">
        <v>1101</v>
      </c>
      <c r="G52" s="5" t="s">
        <v>221</v>
      </c>
      <c r="H52" s="5" t="s">
        <v>173</v>
      </c>
      <c r="I52" s="5" t="s">
        <v>395</v>
      </c>
      <c r="J52" s="5" t="s">
        <v>131</v>
      </c>
      <c r="K52" s="5" t="s">
        <v>188</v>
      </c>
      <c r="L52" s="5" t="s">
        <v>189</v>
      </c>
      <c r="M52" s="5" t="s">
        <v>163</v>
      </c>
      <c r="N52" s="5" t="s">
        <v>164</v>
      </c>
      <c r="O52" s="5" t="n">
        <v>61</v>
      </c>
      <c r="P52" s="5"/>
      <c r="Q52" s="5"/>
      <c r="R52" s="5" t="s">
        <v>190</v>
      </c>
      <c r="S52" s="12" t="n">
        <f aca="false">COUNTIF(ES_Data!$B$2:$B$347,A52)</f>
        <v>6</v>
      </c>
      <c r="T52" s="12" t="n">
        <f aca="false">COUNTIFS(ES_Data!$B$2:$B$347,A52,ES_Data!$AP$2:$AP$347,"Y")</f>
        <v>3</v>
      </c>
      <c r="U52" s="12" t="n">
        <f aca="false">COUNTIFS(ES_Data!$B$2:$B$347,A52,ES_Data!$AP$2:$AP$347,"Y",ES_Data!$P$2:$P$347,"Cognitive")</f>
        <v>0</v>
      </c>
      <c r="V52" s="12" t="n">
        <f aca="false">COUNTIFS(ES_Data!$B$2:$B$347,A52,ES_Data!$AP$2:$AP$347,"Y",ES_Data!$P$2:$P$347,"Non-cognitive")</f>
        <v>3</v>
      </c>
      <c r="W52" s="5" t="s">
        <v>1135</v>
      </c>
      <c r="X52" s="5"/>
    </row>
    <row r="53" customFormat="false" ht="15" hidden="false" customHeight="false" outlineLevel="0" collapsed="false">
      <c r="A53" s="5" t="s">
        <v>703</v>
      </c>
      <c r="B53" s="5" t="s">
        <v>704</v>
      </c>
      <c r="C53" s="5" t="n">
        <v>2025</v>
      </c>
      <c r="D53" s="5" t="s">
        <v>1172</v>
      </c>
      <c r="E53" s="5"/>
      <c r="F53" s="5" t="s">
        <v>1101</v>
      </c>
      <c r="G53" s="5" t="s">
        <v>221</v>
      </c>
      <c r="H53" s="5" t="s">
        <v>260</v>
      </c>
      <c r="I53" s="5" t="s">
        <v>160</v>
      </c>
      <c r="J53" s="5" t="s">
        <v>131</v>
      </c>
      <c r="K53" s="5" t="s">
        <v>705</v>
      </c>
      <c r="L53" s="5" t="s">
        <v>162</v>
      </c>
      <c r="M53" s="5" t="s">
        <v>163</v>
      </c>
      <c r="N53" s="5" t="s">
        <v>164</v>
      </c>
      <c r="O53" s="5" t="n">
        <v>99</v>
      </c>
      <c r="P53" s="5" t="s">
        <v>706</v>
      </c>
      <c r="Q53" s="5" t="n">
        <v>40</v>
      </c>
      <c r="R53" s="5" t="s">
        <v>190</v>
      </c>
      <c r="S53" s="12" t="n">
        <f aca="false">COUNTIF(ES_Data!$B$2:$B$347,A53)</f>
        <v>1</v>
      </c>
      <c r="T53" s="12" t="n">
        <f aca="false">COUNTIFS(ES_Data!$B$2:$B$347,A53,ES_Data!$AP$2:$AP$347,"Y")</f>
        <v>1</v>
      </c>
      <c r="U53" s="12" t="n">
        <f aca="false">COUNTIFS(ES_Data!$B$2:$B$347,A53,ES_Data!$AP$2:$AP$347,"Y",ES_Data!$P$2:$P$347,"Cognitive")</f>
        <v>1</v>
      </c>
      <c r="V53" s="12" t="n">
        <f aca="false">COUNTIFS(ES_Data!$B$2:$B$347,A53,ES_Data!$AP$2:$AP$347,"Y",ES_Data!$P$2:$P$347,"Non-cognitive")</f>
        <v>0</v>
      </c>
      <c r="W53" s="5" t="s">
        <v>1102</v>
      </c>
      <c r="X53" s="5"/>
    </row>
    <row r="54" customFormat="false" ht="15" hidden="false" customHeight="false" outlineLevel="0" collapsed="false">
      <c r="A54" s="5" t="s">
        <v>708</v>
      </c>
      <c r="B54" s="5" t="s">
        <v>709</v>
      </c>
      <c r="C54" s="5" t="n">
        <v>2026</v>
      </c>
      <c r="D54" s="5" t="s">
        <v>1173</v>
      </c>
      <c r="E54" s="5" t="s">
        <v>1174</v>
      </c>
      <c r="F54" s="5" t="s">
        <v>1095</v>
      </c>
      <c r="G54" s="5" t="s">
        <v>221</v>
      </c>
      <c r="H54" s="5" t="s">
        <v>173</v>
      </c>
      <c r="I54" s="5" t="s">
        <v>395</v>
      </c>
      <c r="J54" s="5" t="s">
        <v>74</v>
      </c>
      <c r="K54" s="5" t="s">
        <v>207</v>
      </c>
      <c r="L54" s="5" t="s">
        <v>162</v>
      </c>
      <c r="M54" s="5" t="s">
        <v>163</v>
      </c>
      <c r="N54" s="5" t="s">
        <v>164</v>
      </c>
      <c r="O54" s="5" t="n">
        <v>372</v>
      </c>
      <c r="P54" s="5"/>
      <c r="Q54" s="5"/>
      <c r="R54" s="5" t="s">
        <v>81</v>
      </c>
      <c r="S54" s="12" t="n">
        <f aca="false">COUNTIF(ES_Data!$B$2:$B$347,A54)</f>
        <v>2</v>
      </c>
      <c r="T54" s="12" t="n">
        <f aca="false">COUNTIFS(ES_Data!$B$2:$B$347,A54,ES_Data!$AP$2:$AP$347,"Y")</f>
        <v>2</v>
      </c>
      <c r="U54" s="12" t="n">
        <f aca="false">COUNTIFS(ES_Data!$B$2:$B$347,A54,ES_Data!$AP$2:$AP$347,"Y",ES_Data!$P$2:$P$347,"Cognitive")</f>
        <v>0</v>
      </c>
      <c r="V54" s="12" t="n">
        <f aca="false">COUNTIFS(ES_Data!$B$2:$B$347,A54,ES_Data!$AP$2:$AP$347,"Y",ES_Data!$P$2:$P$347,"Non-cognitive")</f>
        <v>2</v>
      </c>
      <c r="W54" s="5" t="s">
        <v>1133</v>
      </c>
      <c r="X54" s="5"/>
    </row>
    <row r="55" customFormat="false" ht="15" hidden="false" customHeight="false" outlineLevel="0" collapsed="false">
      <c r="A55" s="5" t="s">
        <v>714</v>
      </c>
      <c r="B55" s="5" t="s">
        <v>715</v>
      </c>
      <c r="C55" s="5" t="n">
        <v>2025</v>
      </c>
      <c r="D55" s="5" t="s">
        <v>1175</v>
      </c>
      <c r="E55" s="5"/>
      <c r="F55" s="5" t="s">
        <v>1101</v>
      </c>
      <c r="G55" s="5" t="s">
        <v>360</v>
      </c>
      <c r="H55" s="5" t="s">
        <v>72</v>
      </c>
      <c r="I55" s="5" t="s">
        <v>395</v>
      </c>
      <c r="J55" s="5" t="s">
        <v>174</v>
      </c>
      <c r="K55" s="5" t="s">
        <v>396</v>
      </c>
      <c r="L55" s="5" t="s">
        <v>76</v>
      </c>
      <c r="M55" s="5" t="s">
        <v>163</v>
      </c>
      <c r="N55" s="5" t="s">
        <v>164</v>
      </c>
      <c r="O55" s="5" t="n">
        <v>60</v>
      </c>
      <c r="P55" s="5"/>
      <c r="Q55" s="5"/>
      <c r="R55" s="5" t="s">
        <v>261</v>
      </c>
      <c r="S55" s="12" t="n">
        <f aca="false">COUNTIF(ES_Data!$B$2:$B$347,A55)</f>
        <v>2</v>
      </c>
      <c r="T55" s="12" t="n">
        <f aca="false">COUNTIFS(ES_Data!$B$2:$B$347,A55,ES_Data!$AP$2:$AP$347,"Y")</f>
        <v>1</v>
      </c>
      <c r="U55" s="12" t="n">
        <f aca="false">COUNTIFS(ES_Data!$B$2:$B$347,A55,ES_Data!$AP$2:$AP$347,"Y",ES_Data!$P$2:$P$347,"Cognitive")</f>
        <v>0</v>
      </c>
      <c r="V55" s="12" t="n">
        <f aca="false">COUNTIFS(ES_Data!$B$2:$B$347,A55,ES_Data!$AP$2:$AP$347,"Y",ES_Data!$P$2:$P$347,"Non-cognitive")</f>
        <v>1</v>
      </c>
      <c r="W55" s="5" t="s">
        <v>1127</v>
      </c>
      <c r="X55" s="5"/>
    </row>
    <row r="56" customFormat="false" ht="15" hidden="false" customHeight="false" outlineLevel="0" collapsed="false">
      <c r="A56" s="5" t="s">
        <v>718</v>
      </c>
      <c r="B56" s="5" t="s">
        <v>719</v>
      </c>
      <c r="C56" s="5" t="n">
        <v>2023</v>
      </c>
      <c r="D56" s="5" t="s">
        <v>1176</v>
      </c>
      <c r="E56" s="5"/>
      <c r="F56" s="5" t="s">
        <v>1101</v>
      </c>
      <c r="G56" s="5" t="s">
        <v>720</v>
      </c>
      <c r="H56" s="5" t="s">
        <v>199</v>
      </c>
      <c r="I56" s="5" t="s">
        <v>160</v>
      </c>
      <c r="J56" s="5" t="s">
        <v>162</v>
      </c>
      <c r="K56" s="5"/>
      <c r="L56" s="5" t="s">
        <v>162</v>
      </c>
      <c r="M56" s="5" t="s">
        <v>163</v>
      </c>
      <c r="N56" s="5" t="s">
        <v>164</v>
      </c>
      <c r="O56" s="5" t="n">
        <v>45</v>
      </c>
      <c r="P56" s="5"/>
      <c r="Q56" s="5"/>
      <c r="R56" s="5" t="s">
        <v>162</v>
      </c>
      <c r="S56" s="12" t="n">
        <f aca="false">COUNTIF(ES_Data!$B$2:$B$347,A56)</f>
        <v>12</v>
      </c>
      <c r="T56" s="12" t="n">
        <f aca="false">COUNTIFS(ES_Data!$B$2:$B$347,A56,ES_Data!$AP$2:$AP$347,"Y")</f>
        <v>6</v>
      </c>
      <c r="U56" s="12" t="n">
        <f aca="false">COUNTIFS(ES_Data!$B$2:$B$347,A56,ES_Data!$AP$2:$AP$347,"Y",ES_Data!$P$2:$P$347,"Cognitive")</f>
        <v>5</v>
      </c>
      <c r="V56" s="12" t="n">
        <f aca="false">COUNTIFS(ES_Data!$B$2:$B$347,A56,ES_Data!$AP$2:$AP$347,"Y",ES_Data!$P$2:$P$347,"Non-cognitive")</f>
        <v>1</v>
      </c>
      <c r="W56" s="5" t="s">
        <v>1141</v>
      </c>
      <c r="X56" s="5"/>
    </row>
    <row r="57" customFormat="false" ht="15" hidden="false" customHeight="false" outlineLevel="0" collapsed="false">
      <c r="A57" s="5" t="s">
        <v>738</v>
      </c>
      <c r="B57" s="5" t="s">
        <v>739</v>
      </c>
      <c r="C57" s="5" t="n">
        <v>2024</v>
      </c>
      <c r="D57" s="5" t="s">
        <v>1177</v>
      </c>
      <c r="E57" s="5"/>
      <c r="F57" s="5" t="s">
        <v>1101</v>
      </c>
      <c r="G57" s="5" t="s">
        <v>720</v>
      </c>
      <c r="H57" s="5" t="s">
        <v>260</v>
      </c>
      <c r="I57" s="5" t="s">
        <v>160</v>
      </c>
      <c r="J57" s="5" t="s">
        <v>131</v>
      </c>
      <c r="K57" s="5" t="s">
        <v>705</v>
      </c>
      <c r="L57" s="5" t="s">
        <v>162</v>
      </c>
      <c r="M57" s="5" t="s">
        <v>163</v>
      </c>
      <c r="N57" s="5" t="s">
        <v>164</v>
      </c>
      <c r="O57" s="5" t="n">
        <v>66</v>
      </c>
      <c r="P57" s="5" t="s">
        <v>740</v>
      </c>
      <c r="Q57" s="5" t="n">
        <v>40</v>
      </c>
      <c r="R57" s="5" t="s">
        <v>190</v>
      </c>
      <c r="S57" s="12" t="n">
        <f aca="false">COUNTIF(ES_Data!$B$2:$B$347,A57)</f>
        <v>4</v>
      </c>
      <c r="T57" s="12" t="n">
        <f aca="false">COUNTIFS(ES_Data!$B$2:$B$347,A57,ES_Data!$AP$2:$AP$347,"Y")</f>
        <v>2</v>
      </c>
      <c r="U57" s="12" t="n">
        <f aca="false">COUNTIFS(ES_Data!$B$2:$B$347,A57,ES_Data!$AP$2:$AP$347,"Y",ES_Data!$P$2:$P$347,"Cognitive")</f>
        <v>2</v>
      </c>
      <c r="V57" s="12" t="n">
        <f aca="false">COUNTIFS(ES_Data!$B$2:$B$347,A57,ES_Data!$AP$2:$AP$347,"Y",ES_Data!$P$2:$P$347,"Non-cognitive")</f>
        <v>0</v>
      </c>
      <c r="W57" s="5" t="s">
        <v>1102</v>
      </c>
      <c r="X57" s="5"/>
    </row>
    <row r="58" customFormat="false" ht="15" hidden="false" customHeight="false" outlineLevel="0" collapsed="false">
      <c r="A58" s="5" t="s">
        <v>747</v>
      </c>
      <c r="B58" s="5" t="s">
        <v>748</v>
      </c>
      <c r="C58" s="5" t="n">
        <v>2026</v>
      </c>
      <c r="D58" s="5" t="s">
        <v>1178</v>
      </c>
      <c r="E58" s="5" t="s">
        <v>1179</v>
      </c>
      <c r="F58" s="5" t="s">
        <v>1095</v>
      </c>
      <c r="G58" s="5" t="s">
        <v>749</v>
      </c>
      <c r="H58" s="5" t="s">
        <v>750</v>
      </c>
      <c r="I58" s="5" t="s">
        <v>395</v>
      </c>
      <c r="J58" s="5" t="s">
        <v>161</v>
      </c>
      <c r="K58" s="5" t="s">
        <v>439</v>
      </c>
      <c r="L58" s="5" t="s">
        <v>162</v>
      </c>
      <c r="M58" s="5" t="s">
        <v>163</v>
      </c>
      <c r="N58" s="5" t="s">
        <v>164</v>
      </c>
      <c r="O58" s="5" t="n">
        <v>80</v>
      </c>
      <c r="P58" s="5"/>
      <c r="Q58" s="5"/>
      <c r="R58" s="5" t="s">
        <v>81</v>
      </c>
      <c r="S58" s="12" t="n">
        <f aca="false">COUNTIF(ES_Data!$B$2:$B$347,A58)</f>
        <v>3</v>
      </c>
      <c r="T58" s="12" t="n">
        <f aca="false">COUNTIFS(ES_Data!$B$2:$B$347,A58,ES_Data!$AP$2:$AP$347,"Y")</f>
        <v>3</v>
      </c>
      <c r="U58" s="12" t="n">
        <f aca="false">COUNTIFS(ES_Data!$B$2:$B$347,A58,ES_Data!$AP$2:$AP$347,"Y",ES_Data!$P$2:$P$347,"Cognitive")</f>
        <v>0</v>
      </c>
      <c r="V58" s="12" t="n">
        <f aca="false">COUNTIFS(ES_Data!$B$2:$B$347,A58,ES_Data!$AP$2:$AP$347,"Y",ES_Data!$P$2:$P$347,"Non-cognitive")</f>
        <v>3</v>
      </c>
      <c r="W58" s="5" t="s">
        <v>1133</v>
      </c>
      <c r="X58" s="5"/>
    </row>
    <row r="59" customFormat="false" ht="15" hidden="false" customHeight="false" outlineLevel="0" collapsed="false">
      <c r="A59" s="5" t="s">
        <v>756</v>
      </c>
      <c r="B59" s="5" t="s">
        <v>757</v>
      </c>
      <c r="C59" s="5" t="n">
        <v>2026</v>
      </c>
      <c r="D59" s="5" t="s">
        <v>1180</v>
      </c>
      <c r="E59" s="5" t="s">
        <v>1181</v>
      </c>
      <c r="F59" s="5" t="s">
        <v>1095</v>
      </c>
      <c r="G59" s="5" t="s">
        <v>557</v>
      </c>
      <c r="H59" s="5" t="s">
        <v>173</v>
      </c>
      <c r="I59" s="5" t="s">
        <v>438</v>
      </c>
      <c r="J59" s="5" t="s">
        <v>174</v>
      </c>
      <c r="K59" s="5" t="s">
        <v>396</v>
      </c>
      <c r="L59" s="5" t="s">
        <v>189</v>
      </c>
      <c r="M59" s="5" t="s">
        <v>163</v>
      </c>
      <c r="N59" s="5" t="s">
        <v>164</v>
      </c>
      <c r="O59" s="5" t="n">
        <v>384</v>
      </c>
      <c r="P59" s="5"/>
      <c r="Q59" s="5"/>
      <c r="R59" s="5" t="s">
        <v>261</v>
      </c>
      <c r="S59" s="12" t="n">
        <f aca="false">COUNTIF(ES_Data!$B$2:$B$347,A59)</f>
        <v>8</v>
      </c>
      <c r="T59" s="12" t="n">
        <f aca="false">COUNTIFS(ES_Data!$B$2:$B$347,A59,ES_Data!$AP$2:$AP$347,"Y")</f>
        <v>8</v>
      </c>
      <c r="U59" s="12" t="n">
        <f aca="false">COUNTIFS(ES_Data!$B$2:$B$347,A59,ES_Data!$AP$2:$AP$347,"Y",ES_Data!$P$2:$P$347,"Cognitive")</f>
        <v>0</v>
      </c>
      <c r="V59" s="12" t="n">
        <f aca="false">COUNTIFS(ES_Data!$B$2:$B$347,A59,ES_Data!$AP$2:$AP$347,"Y",ES_Data!$P$2:$P$347,"Non-cognitive")</f>
        <v>8</v>
      </c>
      <c r="W59" s="5" t="s">
        <v>1133</v>
      </c>
      <c r="X59" s="5"/>
    </row>
    <row r="60" customFormat="false" ht="15" hidden="false" customHeight="false" outlineLevel="0" collapsed="false">
      <c r="A60" s="5" t="s">
        <v>774</v>
      </c>
      <c r="B60" s="5" t="s">
        <v>775</v>
      </c>
      <c r="C60" s="5" t="n">
        <v>2026</v>
      </c>
      <c r="D60" s="5" t="s">
        <v>1182</v>
      </c>
      <c r="E60" s="5" t="s">
        <v>1183</v>
      </c>
      <c r="F60" s="5" t="s">
        <v>1095</v>
      </c>
      <c r="G60" s="5" t="s">
        <v>685</v>
      </c>
      <c r="H60" s="5" t="s">
        <v>173</v>
      </c>
      <c r="I60" s="5" t="s">
        <v>776</v>
      </c>
      <c r="J60" s="5" t="s">
        <v>131</v>
      </c>
      <c r="K60" s="5" t="s">
        <v>777</v>
      </c>
      <c r="L60" s="5" t="s">
        <v>778</v>
      </c>
      <c r="M60" s="5" t="s">
        <v>779</v>
      </c>
      <c r="N60" s="5" t="s">
        <v>780</v>
      </c>
      <c r="O60" s="5" t="n">
        <v>48</v>
      </c>
      <c r="P60" s="5" t="s">
        <v>781</v>
      </c>
      <c r="Q60" s="5" t="s">
        <v>408</v>
      </c>
      <c r="R60" s="5" t="s">
        <v>81</v>
      </c>
      <c r="S60" s="12" t="n">
        <f aca="false">COUNTIF(ES_Data!$B$2:$B$347,A60)</f>
        <v>3</v>
      </c>
      <c r="T60" s="12" t="n">
        <f aca="false">COUNTIFS(ES_Data!$B$2:$B$347,A60,ES_Data!$AP$2:$AP$347,"Y")</f>
        <v>2</v>
      </c>
      <c r="U60" s="12" t="n">
        <f aca="false">COUNTIFS(ES_Data!$B$2:$B$347,A60,ES_Data!$AP$2:$AP$347,"Y",ES_Data!$P$2:$P$347,"Cognitive")</f>
        <v>0</v>
      </c>
      <c r="V60" s="12" t="n">
        <f aca="false">COUNTIFS(ES_Data!$B$2:$B$347,A60,ES_Data!$AP$2:$AP$347,"Y",ES_Data!$P$2:$P$347,"Non-cognitive")</f>
        <v>2</v>
      </c>
      <c r="W60" s="5" t="s">
        <v>89</v>
      </c>
      <c r="X60" s="5" t="s">
        <v>1184</v>
      </c>
    </row>
    <row r="61" customFormat="false" ht="15" hidden="false" customHeight="false" outlineLevel="0" collapsed="false">
      <c r="A61" s="5" t="s">
        <v>793</v>
      </c>
      <c r="B61" s="5" t="s">
        <v>794</v>
      </c>
      <c r="C61" s="5" t="n">
        <v>2023</v>
      </c>
      <c r="D61" s="5" t="s">
        <v>1185</v>
      </c>
      <c r="E61" s="5" t="s">
        <v>1186</v>
      </c>
      <c r="F61" s="5" t="s">
        <v>1095</v>
      </c>
      <c r="G61" s="5" t="s">
        <v>221</v>
      </c>
      <c r="H61" s="5" t="s">
        <v>173</v>
      </c>
      <c r="I61" s="5" t="s">
        <v>281</v>
      </c>
      <c r="J61" s="5" t="s">
        <v>131</v>
      </c>
      <c r="K61" s="5" t="s">
        <v>795</v>
      </c>
      <c r="L61" s="5" t="s">
        <v>189</v>
      </c>
      <c r="M61" s="5" t="s">
        <v>796</v>
      </c>
      <c r="N61" s="5" t="s">
        <v>797</v>
      </c>
      <c r="O61" s="5" t="n">
        <v>50</v>
      </c>
      <c r="P61" s="5" t="s">
        <v>798</v>
      </c>
      <c r="Q61" s="5" t="s">
        <v>136</v>
      </c>
      <c r="R61" s="5" t="s">
        <v>261</v>
      </c>
      <c r="S61" s="12" t="n">
        <f aca="false">COUNTIF(ES_Data!$B$2:$B$347,A61)</f>
        <v>10</v>
      </c>
      <c r="T61" s="12" t="n">
        <f aca="false">COUNTIFS(ES_Data!$B$2:$B$347,A61,ES_Data!$AP$2:$AP$347,"Y")</f>
        <v>5</v>
      </c>
      <c r="U61" s="12" t="n">
        <f aca="false">COUNTIFS(ES_Data!$B$2:$B$347,A61,ES_Data!$AP$2:$AP$347,"Y",ES_Data!$P$2:$P$347,"Cognitive")</f>
        <v>4</v>
      </c>
      <c r="V61" s="12" t="n">
        <f aca="false">COUNTIFS(ES_Data!$B$2:$B$347,A61,ES_Data!$AP$2:$AP$347,"Y",ES_Data!$P$2:$P$347,"Non-cognitive")</f>
        <v>1</v>
      </c>
      <c r="W61" s="5" t="s">
        <v>290</v>
      </c>
      <c r="X61" s="5" t="s">
        <v>1187</v>
      </c>
    </row>
    <row r="62" customFormat="false" ht="15" hidden="false" customHeight="false" outlineLevel="0" collapsed="false">
      <c r="A62" s="5" t="s">
        <v>819</v>
      </c>
      <c r="B62" s="5" t="s">
        <v>820</v>
      </c>
      <c r="C62" s="5" t="n">
        <v>2025</v>
      </c>
      <c r="D62" s="5" t="s">
        <v>1188</v>
      </c>
      <c r="E62" s="5" t="s">
        <v>1189</v>
      </c>
      <c r="F62" s="5" t="s">
        <v>1095</v>
      </c>
      <c r="G62" s="5" t="s">
        <v>221</v>
      </c>
      <c r="H62" s="5" t="s">
        <v>821</v>
      </c>
      <c r="I62" s="5" t="s">
        <v>822</v>
      </c>
      <c r="J62" s="5" t="s">
        <v>131</v>
      </c>
      <c r="K62" s="5" t="s">
        <v>823</v>
      </c>
      <c r="L62" s="5" t="s">
        <v>76</v>
      </c>
      <c r="M62" s="5" t="s">
        <v>824</v>
      </c>
      <c r="N62" s="5" t="s">
        <v>825</v>
      </c>
      <c r="O62" s="5" t="n">
        <v>80</v>
      </c>
      <c r="P62" s="5" t="s">
        <v>826</v>
      </c>
      <c r="Q62" s="5" t="s">
        <v>827</v>
      </c>
      <c r="R62" s="5" t="s">
        <v>261</v>
      </c>
      <c r="S62" s="12" t="n">
        <f aca="false">COUNTIF(ES_Data!$B$2:$B$347,A62)</f>
        <v>7</v>
      </c>
      <c r="T62" s="12" t="n">
        <f aca="false">COUNTIFS(ES_Data!$B$2:$B$347,A62,ES_Data!$AP$2:$AP$347,"Y")</f>
        <v>7</v>
      </c>
      <c r="U62" s="12" t="n">
        <f aca="false">COUNTIFS(ES_Data!$B$2:$B$347,A62,ES_Data!$AP$2:$AP$347,"Y",ES_Data!$P$2:$P$347,"Cognitive")</f>
        <v>1</v>
      </c>
      <c r="V62" s="12" t="n">
        <f aca="false">COUNTIFS(ES_Data!$B$2:$B$347,A62,ES_Data!$AP$2:$AP$347,"Y",ES_Data!$P$2:$P$347,"Non-cognitive")</f>
        <v>6</v>
      </c>
      <c r="W62" s="5" t="s">
        <v>89</v>
      </c>
      <c r="X62" s="5" t="s">
        <v>1190</v>
      </c>
    </row>
    <row r="63" customFormat="false" ht="15" hidden="false" customHeight="false" outlineLevel="0" collapsed="false">
      <c r="A63" s="5" t="s">
        <v>850</v>
      </c>
      <c r="B63" s="5" t="s">
        <v>851</v>
      </c>
      <c r="C63" s="5" t="n">
        <v>2025</v>
      </c>
      <c r="D63" s="5" t="s">
        <v>1191</v>
      </c>
      <c r="E63" s="5"/>
      <c r="F63" s="5" t="s">
        <v>1101</v>
      </c>
      <c r="G63" s="5" t="s">
        <v>553</v>
      </c>
      <c r="H63" s="5" t="s">
        <v>72</v>
      </c>
      <c r="I63" s="5" t="s">
        <v>187</v>
      </c>
      <c r="J63" s="5" t="s">
        <v>131</v>
      </c>
      <c r="K63" s="5" t="s">
        <v>188</v>
      </c>
      <c r="L63" s="5" t="s">
        <v>76</v>
      </c>
      <c r="M63" s="5" t="s">
        <v>163</v>
      </c>
      <c r="N63" s="5" t="s">
        <v>164</v>
      </c>
      <c r="O63" s="5" t="n">
        <v>114</v>
      </c>
      <c r="P63" s="5"/>
      <c r="Q63" s="5" t="n">
        <v>60</v>
      </c>
      <c r="R63" s="5" t="s">
        <v>81</v>
      </c>
      <c r="S63" s="12" t="n">
        <f aca="false">COUNTIF(ES_Data!$B$2:$B$347,A63)</f>
        <v>6</v>
      </c>
      <c r="T63" s="12" t="n">
        <f aca="false">COUNTIFS(ES_Data!$B$2:$B$347,A63,ES_Data!$AP$2:$AP$347,"Y")</f>
        <v>3</v>
      </c>
      <c r="U63" s="12" t="n">
        <f aca="false">COUNTIFS(ES_Data!$B$2:$B$347,A63,ES_Data!$AP$2:$AP$347,"Y",ES_Data!$P$2:$P$347,"Cognitive")</f>
        <v>1</v>
      </c>
      <c r="V63" s="12" t="n">
        <f aca="false">COUNTIFS(ES_Data!$B$2:$B$347,A63,ES_Data!$AP$2:$AP$347,"Y",ES_Data!$P$2:$P$347,"Non-cognitive")</f>
        <v>2</v>
      </c>
      <c r="W63" s="5" t="s">
        <v>1106</v>
      </c>
      <c r="X63" s="5"/>
    </row>
    <row r="64" customFormat="false" ht="15" hidden="false" customHeight="false" outlineLevel="0" collapsed="false">
      <c r="A64" s="5" t="s">
        <v>859</v>
      </c>
      <c r="B64" s="5" t="s">
        <v>860</v>
      </c>
      <c r="C64" s="5" t="n">
        <v>2016</v>
      </c>
      <c r="D64" s="5" t="s">
        <v>1192</v>
      </c>
      <c r="E64" s="5"/>
      <c r="F64" s="5" t="s">
        <v>1101</v>
      </c>
      <c r="G64" s="5" t="s">
        <v>652</v>
      </c>
      <c r="H64" s="5" t="s">
        <v>199</v>
      </c>
      <c r="I64" s="5" t="s">
        <v>160</v>
      </c>
      <c r="J64" s="5" t="s">
        <v>162</v>
      </c>
      <c r="K64" s="5"/>
      <c r="L64" s="5" t="s">
        <v>162</v>
      </c>
      <c r="M64" s="5" t="s">
        <v>163</v>
      </c>
      <c r="N64" s="5" t="s">
        <v>164</v>
      </c>
      <c r="O64" s="5" t="n">
        <v>64</v>
      </c>
      <c r="P64" s="5"/>
      <c r="Q64" s="5"/>
      <c r="R64" s="5" t="s">
        <v>162</v>
      </c>
      <c r="S64" s="12" t="n">
        <f aca="false">COUNTIF(ES_Data!$B$2:$B$347,A64)</f>
        <v>4</v>
      </c>
      <c r="T64" s="12" t="n">
        <f aca="false">COUNTIFS(ES_Data!$B$2:$B$347,A64,ES_Data!$AP$2:$AP$347,"Y")</f>
        <v>2</v>
      </c>
      <c r="U64" s="12" t="n">
        <f aca="false">COUNTIFS(ES_Data!$B$2:$B$347,A64,ES_Data!$AP$2:$AP$347,"Y",ES_Data!$P$2:$P$347,"Cognitive")</f>
        <v>2</v>
      </c>
      <c r="V64" s="12" t="n">
        <f aca="false">COUNTIFS(ES_Data!$B$2:$B$347,A64,ES_Data!$AP$2:$AP$347,"Y",ES_Data!$P$2:$P$347,"Non-cognitive")</f>
        <v>0</v>
      </c>
      <c r="W64" s="5" t="s">
        <v>1141</v>
      </c>
      <c r="X64" s="5"/>
    </row>
    <row r="65" customFormat="false" ht="15" hidden="false" customHeight="false" outlineLevel="0" collapsed="false">
      <c r="A65" s="5" t="s">
        <v>867</v>
      </c>
      <c r="B65" s="5" t="s">
        <v>868</v>
      </c>
      <c r="C65" s="5" t="n">
        <v>2025</v>
      </c>
      <c r="D65" s="5" t="s">
        <v>1193</v>
      </c>
      <c r="E65" s="5"/>
      <c r="F65" s="5" t="s">
        <v>1101</v>
      </c>
      <c r="G65" s="5" t="s">
        <v>221</v>
      </c>
      <c r="H65" s="5" t="s">
        <v>199</v>
      </c>
      <c r="I65" s="5" t="s">
        <v>160</v>
      </c>
      <c r="J65" s="5" t="s">
        <v>131</v>
      </c>
      <c r="K65" s="5" t="s">
        <v>869</v>
      </c>
      <c r="L65" s="5" t="s">
        <v>162</v>
      </c>
      <c r="M65" s="5" t="s">
        <v>163</v>
      </c>
      <c r="N65" s="5" t="s">
        <v>164</v>
      </c>
      <c r="O65" s="5" t="n">
        <v>115</v>
      </c>
      <c r="P65" s="5"/>
      <c r="Q65" s="5" t="n">
        <v>120</v>
      </c>
      <c r="R65" s="5" t="s">
        <v>162</v>
      </c>
      <c r="S65" s="12" t="n">
        <f aca="false">COUNTIF(ES_Data!$B$2:$B$347,A65)</f>
        <v>4</v>
      </c>
      <c r="T65" s="12" t="n">
        <f aca="false">COUNTIFS(ES_Data!$B$2:$B$347,A65,ES_Data!$AP$2:$AP$347,"Y")</f>
        <v>2</v>
      </c>
      <c r="U65" s="12" t="n">
        <f aca="false">COUNTIFS(ES_Data!$B$2:$B$347,A65,ES_Data!$AP$2:$AP$347,"Y",ES_Data!$P$2:$P$347,"Cognitive")</f>
        <v>2</v>
      </c>
      <c r="V65" s="12" t="n">
        <f aca="false">COUNTIFS(ES_Data!$B$2:$B$347,A65,ES_Data!$AP$2:$AP$347,"Y",ES_Data!$P$2:$P$347,"Non-cognitive")</f>
        <v>0</v>
      </c>
      <c r="W65" s="5" t="s">
        <v>1102</v>
      </c>
      <c r="X65" s="5"/>
    </row>
    <row r="66" customFormat="false" ht="15" hidden="false" customHeight="false" outlineLevel="0" collapsed="false">
      <c r="A66" s="5" t="s">
        <v>878</v>
      </c>
      <c r="B66" s="5" t="s">
        <v>879</v>
      </c>
      <c r="C66" s="5" t="n">
        <v>2024</v>
      </c>
      <c r="D66" s="5" t="s">
        <v>1194</v>
      </c>
      <c r="E66" s="5"/>
      <c r="F66" s="5" t="s">
        <v>1101</v>
      </c>
      <c r="G66" s="5" t="s">
        <v>880</v>
      </c>
      <c r="H66" s="5" t="s">
        <v>173</v>
      </c>
      <c r="I66" s="5" t="s">
        <v>253</v>
      </c>
      <c r="J66" s="5" t="s">
        <v>74</v>
      </c>
      <c r="K66" s="5" t="s">
        <v>207</v>
      </c>
      <c r="L66" s="5" t="s">
        <v>76</v>
      </c>
      <c r="M66" s="5" t="s">
        <v>163</v>
      </c>
      <c r="N66" s="5" t="s">
        <v>164</v>
      </c>
      <c r="O66" s="5" t="n">
        <v>145</v>
      </c>
      <c r="P66" s="5"/>
      <c r="Q66" s="5"/>
      <c r="R66" s="5" t="s">
        <v>261</v>
      </c>
      <c r="S66" s="12" t="n">
        <f aca="false">COUNTIF(ES_Data!$B$2:$B$347,A66)</f>
        <v>5</v>
      </c>
      <c r="T66" s="12" t="n">
        <f aca="false">COUNTIFS(ES_Data!$B$2:$B$347,A66,ES_Data!$AP$2:$AP$347,"Y")</f>
        <v>4</v>
      </c>
      <c r="U66" s="12" t="n">
        <f aca="false">COUNTIFS(ES_Data!$B$2:$B$347,A66,ES_Data!$AP$2:$AP$347,"Y",ES_Data!$P$2:$P$347,"Cognitive")</f>
        <v>3</v>
      </c>
      <c r="V66" s="12" t="n">
        <f aca="false">COUNTIFS(ES_Data!$B$2:$B$347,A66,ES_Data!$AP$2:$AP$347,"Y",ES_Data!$P$2:$P$347,"Non-cognitive")</f>
        <v>1</v>
      </c>
      <c r="W66" s="5" t="s">
        <v>1115</v>
      </c>
      <c r="X66" s="5"/>
    </row>
    <row r="67" customFormat="false" ht="15" hidden="false" customHeight="false" outlineLevel="0" collapsed="false">
      <c r="A67" s="5" t="s">
        <v>891</v>
      </c>
      <c r="B67" s="5" t="s">
        <v>892</v>
      </c>
      <c r="C67" s="5" t="n">
        <v>2022</v>
      </c>
      <c r="D67" s="5" t="s">
        <v>1195</v>
      </c>
      <c r="E67" s="5"/>
      <c r="F67" s="5" t="s">
        <v>1101</v>
      </c>
      <c r="G67" s="5" t="s">
        <v>893</v>
      </c>
      <c r="H67" s="5" t="s">
        <v>159</v>
      </c>
      <c r="I67" s="5" t="s">
        <v>160</v>
      </c>
      <c r="J67" s="5" t="s">
        <v>161</v>
      </c>
      <c r="K67" s="5" t="s">
        <v>161</v>
      </c>
      <c r="L67" s="5" t="s">
        <v>162</v>
      </c>
      <c r="M67" s="5" t="s">
        <v>163</v>
      </c>
      <c r="N67" s="5" t="s">
        <v>164</v>
      </c>
      <c r="O67" s="5" t="n">
        <v>20</v>
      </c>
      <c r="P67" s="5" t="s">
        <v>894</v>
      </c>
      <c r="Q67" s="5" t="n">
        <v>70</v>
      </c>
      <c r="R67" s="5" t="s">
        <v>190</v>
      </c>
      <c r="S67" s="12" t="n">
        <f aca="false">COUNTIF(ES_Data!$B$2:$B$347,A67)</f>
        <v>1</v>
      </c>
      <c r="T67" s="12" t="n">
        <f aca="false">COUNTIFS(ES_Data!$B$2:$B$347,A67,ES_Data!$AP$2:$AP$347,"Y")</f>
        <v>1</v>
      </c>
      <c r="U67" s="12" t="n">
        <f aca="false">COUNTIFS(ES_Data!$B$2:$B$347,A67,ES_Data!$AP$2:$AP$347,"Y",ES_Data!$P$2:$P$347,"Cognitive")</f>
        <v>1</v>
      </c>
      <c r="V67" s="12" t="n">
        <f aca="false">COUNTIFS(ES_Data!$B$2:$B$347,A67,ES_Data!$AP$2:$AP$347,"Y",ES_Data!$P$2:$P$347,"Non-cognitive")</f>
        <v>0</v>
      </c>
      <c r="W67" s="5" t="s">
        <v>1102</v>
      </c>
      <c r="X67" s="5"/>
    </row>
    <row r="68" customFormat="false" ht="15" hidden="false" customHeight="false" outlineLevel="0" collapsed="false">
      <c r="A68" s="5" t="s">
        <v>898</v>
      </c>
      <c r="B68" s="5" t="s">
        <v>899</v>
      </c>
      <c r="C68" s="5" t="n">
        <v>2025</v>
      </c>
      <c r="D68" s="5" t="s">
        <v>1196</v>
      </c>
      <c r="E68" s="5"/>
      <c r="F68" s="5" t="s">
        <v>1101</v>
      </c>
      <c r="G68" s="5" t="s">
        <v>221</v>
      </c>
      <c r="H68" s="5" t="s">
        <v>173</v>
      </c>
      <c r="I68" s="5" t="s">
        <v>160</v>
      </c>
      <c r="J68" s="5" t="s">
        <v>74</v>
      </c>
      <c r="K68" s="5" t="s">
        <v>207</v>
      </c>
      <c r="L68" s="5" t="s">
        <v>162</v>
      </c>
      <c r="M68" s="5" t="s">
        <v>163</v>
      </c>
      <c r="N68" s="5" t="s">
        <v>164</v>
      </c>
      <c r="O68" s="5" t="n">
        <v>45</v>
      </c>
      <c r="P68" s="5" t="s">
        <v>900</v>
      </c>
      <c r="Q68" s="5" t="n">
        <v>70</v>
      </c>
      <c r="R68" s="5" t="s">
        <v>261</v>
      </c>
      <c r="S68" s="12" t="n">
        <f aca="false">COUNTIF(ES_Data!$B$2:$B$347,A68)</f>
        <v>2</v>
      </c>
      <c r="T68" s="12" t="n">
        <f aca="false">COUNTIFS(ES_Data!$B$2:$B$347,A68,ES_Data!$AP$2:$AP$347,"Y")</f>
        <v>2</v>
      </c>
      <c r="U68" s="12" t="n">
        <f aca="false">COUNTIFS(ES_Data!$B$2:$B$347,A68,ES_Data!$AP$2:$AP$347,"Y",ES_Data!$P$2:$P$347,"Cognitive")</f>
        <v>2</v>
      </c>
      <c r="V68" s="12" t="n">
        <f aca="false">COUNTIFS(ES_Data!$B$2:$B$347,A68,ES_Data!$AP$2:$AP$347,"Y",ES_Data!$P$2:$P$347,"Non-cognitive")</f>
        <v>0</v>
      </c>
      <c r="W68" s="5" t="s">
        <v>1104</v>
      </c>
      <c r="X68" s="5"/>
    </row>
    <row r="69" customFormat="false" ht="15" hidden="false" customHeight="false" outlineLevel="0" collapsed="false">
      <c r="A69" s="5" t="s">
        <v>905</v>
      </c>
      <c r="B69" s="5" t="s">
        <v>906</v>
      </c>
      <c r="C69" s="5" t="n">
        <v>2024</v>
      </c>
      <c r="D69" s="5" t="s">
        <v>1197</v>
      </c>
      <c r="E69" s="5"/>
      <c r="F69" s="5" t="s">
        <v>1101</v>
      </c>
      <c r="G69" s="5" t="s">
        <v>907</v>
      </c>
      <c r="H69" s="5" t="s">
        <v>199</v>
      </c>
      <c r="I69" s="5" t="s">
        <v>160</v>
      </c>
      <c r="J69" s="5" t="s">
        <v>174</v>
      </c>
      <c r="K69" s="5" t="s">
        <v>908</v>
      </c>
      <c r="L69" s="5" t="s">
        <v>162</v>
      </c>
      <c r="M69" s="5" t="s">
        <v>163</v>
      </c>
      <c r="N69" s="5" t="s">
        <v>164</v>
      </c>
      <c r="O69" s="5" t="n">
        <v>336</v>
      </c>
      <c r="P69" s="5"/>
      <c r="Q69" s="5"/>
      <c r="R69" s="5" t="s">
        <v>162</v>
      </c>
      <c r="S69" s="12" t="n">
        <f aca="false">COUNTIF(ES_Data!$B$2:$B$347,A69)</f>
        <v>2</v>
      </c>
      <c r="T69" s="12" t="n">
        <f aca="false">COUNTIFS(ES_Data!$B$2:$B$347,A69,ES_Data!$AP$2:$AP$347,"Y")</f>
        <v>1</v>
      </c>
      <c r="U69" s="12" t="n">
        <f aca="false">COUNTIFS(ES_Data!$B$2:$B$347,A69,ES_Data!$AP$2:$AP$347,"Y",ES_Data!$P$2:$P$347,"Cognitive")</f>
        <v>1</v>
      </c>
      <c r="V69" s="12" t="n">
        <f aca="false">COUNTIFS(ES_Data!$B$2:$B$347,A69,ES_Data!$AP$2:$AP$347,"Y",ES_Data!$P$2:$P$347,"Non-cognitive")</f>
        <v>0</v>
      </c>
      <c r="W69" s="5" t="s">
        <v>1102</v>
      </c>
      <c r="X69" s="5"/>
    </row>
    <row r="70" customFormat="false" ht="15" hidden="false" customHeight="false" outlineLevel="0" collapsed="false">
      <c r="A70" s="5" t="s">
        <v>912</v>
      </c>
      <c r="B70" s="5" t="s">
        <v>913</v>
      </c>
      <c r="C70" s="5" t="n">
        <v>2025</v>
      </c>
      <c r="D70" s="5" t="s">
        <v>1198</v>
      </c>
      <c r="E70" s="5"/>
      <c r="F70" s="5" t="s">
        <v>1101</v>
      </c>
      <c r="G70" s="5" t="s">
        <v>221</v>
      </c>
      <c r="H70" s="5" t="s">
        <v>173</v>
      </c>
      <c r="I70" s="5" t="s">
        <v>395</v>
      </c>
      <c r="J70" s="5" t="s">
        <v>174</v>
      </c>
      <c r="K70" s="5" t="s">
        <v>477</v>
      </c>
      <c r="L70" s="5" t="s">
        <v>76</v>
      </c>
      <c r="M70" s="5" t="s">
        <v>163</v>
      </c>
      <c r="N70" s="5" t="s">
        <v>164</v>
      </c>
      <c r="O70" s="5" t="n">
        <v>84</v>
      </c>
      <c r="P70" s="5" t="s">
        <v>914</v>
      </c>
      <c r="Q70" s="5" t="n">
        <v>90</v>
      </c>
      <c r="R70" s="5" t="s">
        <v>190</v>
      </c>
      <c r="S70" s="12" t="n">
        <f aca="false">COUNTIF(ES_Data!$B$2:$B$347,A70)</f>
        <v>4</v>
      </c>
      <c r="T70" s="12" t="n">
        <f aca="false">COUNTIFS(ES_Data!$B$2:$B$347,A70,ES_Data!$AP$2:$AP$347,"Y")</f>
        <v>2</v>
      </c>
      <c r="U70" s="12" t="n">
        <f aca="false">COUNTIFS(ES_Data!$B$2:$B$347,A70,ES_Data!$AP$2:$AP$347,"Y",ES_Data!$P$2:$P$347,"Cognitive")</f>
        <v>1</v>
      </c>
      <c r="V70" s="12" t="n">
        <f aca="false">COUNTIFS(ES_Data!$B$2:$B$347,A70,ES_Data!$AP$2:$AP$347,"Y",ES_Data!$P$2:$P$347,"Non-cognitive")</f>
        <v>1</v>
      </c>
      <c r="W70" s="5" t="s">
        <v>1139</v>
      </c>
      <c r="X70" s="5"/>
    </row>
    <row r="71" customFormat="false" ht="15" hidden="false" customHeight="false" outlineLevel="0" collapsed="false">
      <c r="A71" s="5" t="s">
        <v>922</v>
      </c>
      <c r="B71" s="5" t="s">
        <v>923</v>
      </c>
      <c r="C71" s="5" t="n">
        <v>2025</v>
      </c>
      <c r="D71" s="5" t="s">
        <v>1199</v>
      </c>
      <c r="E71" s="5"/>
      <c r="F71" s="5" t="s">
        <v>1101</v>
      </c>
      <c r="G71" s="5" t="s">
        <v>221</v>
      </c>
      <c r="H71" s="5" t="s">
        <v>199</v>
      </c>
      <c r="I71" s="5" t="s">
        <v>160</v>
      </c>
      <c r="J71" s="5" t="s">
        <v>162</v>
      </c>
      <c r="K71" s="5"/>
      <c r="L71" s="5" t="s">
        <v>162</v>
      </c>
      <c r="M71" s="5" t="s">
        <v>163</v>
      </c>
      <c r="N71" s="5" t="s">
        <v>164</v>
      </c>
      <c r="O71" s="5" t="n">
        <v>54</v>
      </c>
      <c r="P71" s="5"/>
      <c r="Q71" s="5"/>
      <c r="R71" s="5" t="s">
        <v>162</v>
      </c>
      <c r="S71" s="12" t="n">
        <f aca="false">COUNTIF(ES_Data!$B$2:$B$347,A71)</f>
        <v>12</v>
      </c>
      <c r="T71" s="12" t="n">
        <f aca="false">COUNTIFS(ES_Data!$B$2:$B$347,A71,ES_Data!$AP$2:$AP$347,"Y")</f>
        <v>6</v>
      </c>
      <c r="U71" s="12" t="n">
        <f aca="false">COUNTIFS(ES_Data!$B$2:$B$347,A71,ES_Data!$AP$2:$AP$347,"Y",ES_Data!$P$2:$P$347,"Cognitive")</f>
        <v>2</v>
      </c>
      <c r="V71" s="12" t="n">
        <f aca="false">COUNTIFS(ES_Data!$B$2:$B$347,A71,ES_Data!$AP$2:$AP$347,"Y",ES_Data!$P$2:$P$347,"Non-cognitive")</f>
        <v>4</v>
      </c>
      <c r="W71" s="5" t="s">
        <v>1141</v>
      </c>
      <c r="X71" s="5"/>
    </row>
    <row r="72" customFormat="false" ht="15" hidden="false" customHeight="false" outlineLevel="0" collapsed="false">
      <c r="A72" s="5" t="s">
        <v>942</v>
      </c>
      <c r="B72" s="5" t="s">
        <v>943</v>
      </c>
      <c r="C72" s="5" t="n">
        <v>2025</v>
      </c>
      <c r="D72" s="5" t="s">
        <v>1200</v>
      </c>
      <c r="E72" s="5" t="s">
        <v>1201</v>
      </c>
      <c r="F72" s="5" t="s">
        <v>1095</v>
      </c>
      <c r="G72" s="5" t="s">
        <v>158</v>
      </c>
      <c r="H72" s="5" t="s">
        <v>944</v>
      </c>
      <c r="I72" s="5" t="s">
        <v>945</v>
      </c>
      <c r="J72" s="5" t="s">
        <v>131</v>
      </c>
      <c r="K72" s="5" t="s">
        <v>946</v>
      </c>
      <c r="L72" s="5" t="s">
        <v>189</v>
      </c>
      <c r="M72" s="5" t="s">
        <v>947</v>
      </c>
      <c r="N72" s="5" t="s">
        <v>948</v>
      </c>
      <c r="O72" s="5" t="n">
        <v>212</v>
      </c>
      <c r="P72" s="5" t="s">
        <v>949</v>
      </c>
      <c r="Q72" s="5" t="s">
        <v>950</v>
      </c>
      <c r="R72" s="5" t="s">
        <v>190</v>
      </c>
      <c r="S72" s="12" t="n">
        <f aca="false">COUNTIF(ES_Data!$B$2:$B$347,A72)</f>
        <v>2</v>
      </c>
      <c r="T72" s="12" t="n">
        <f aca="false">COUNTIFS(ES_Data!$B$2:$B$347,A72,ES_Data!$AP$2:$AP$347,"Y")</f>
        <v>1</v>
      </c>
      <c r="U72" s="12" t="n">
        <f aca="false">COUNTIFS(ES_Data!$B$2:$B$347,A72,ES_Data!$AP$2:$AP$347,"Y",ES_Data!$P$2:$P$347,"Cognitive")</f>
        <v>1</v>
      </c>
      <c r="V72" s="12" t="n">
        <f aca="false">COUNTIFS(ES_Data!$B$2:$B$347,A72,ES_Data!$AP$2:$AP$347,"Y",ES_Data!$P$2:$P$347,"Non-cognitive")</f>
        <v>0</v>
      </c>
      <c r="W72" s="5" t="s">
        <v>953</v>
      </c>
      <c r="X72" s="5" t="s">
        <v>1202</v>
      </c>
    </row>
    <row r="73" customFormat="false" ht="15" hidden="false" customHeight="false" outlineLevel="0" collapsed="false">
      <c r="A73" s="5" t="s">
        <v>956</v>
      </c>
      <c r="B73" s="5" t="s">
        <v>957</v>
      </c>
      <c r="C73" s="5" t="n">
        <v>2025</v>
      </c>
      <c r="D73" s="5" t="s">
        <v>1203</v>
      </c>
      <c r="E73" s="5"/>
      <c r="F73" s="5" t="s">
        <v>1101</v>
      </c>
      <c r="G73" s="5" t="s">
        <v>221</v>
      </c>
      <c r="H73" s="5" t="s">
        <v>173</v>
      </c>
      <c r="I73" s="5" t="s">
        <v>253</v>
      </c>
      <c r="J73" s="5" t="s">
        <v>174</v>
      </c>
      <c r="K73" s="5" t="s">
        <v>396</v>
      </c>
      <c r="L73" s="5" t="s">
        <v>76</v>
      </c>
      <c r="M73" s="5" t="s">
        <v>163</v>
      </c>
      <c r="N73" s="5" t="s">
        <v>164</v>
      </c>
      <c r="O73" s="5" t="n">
        <v>40</v>
      </c>
      <c r="P73" s="5"/>
      <c r="Q73" s="5"/>
      <c r="R73" s="5" t="s">
        <v>81</v>
      </c>
      <c r="S73" s="12" t="n">
        <f aca="false">COUNTIF(ES_Data!$B$2:$B$347,A73)</f>
        <v>2</v>
      </c>
      <c r="T73" s="12" t="n">
        <f aca="false">COUNTIFS(ES_Data!$B$2:$B$347,A73,ES_Data!$AP$2:$AP$347,"Y")</f>
        <v>2</v>
      </c>
      <c r="U73" s="12" t="n">
        <f aca="false">COUNTIFS(ES_Data!$B$2:$B$347,A73,ES_Data!$AP$2:$AP$347,"Y",ES_Data!$P$2:$P$347,"Cognitive")</f>
        <v>1</v>
      </c>
      <c r="V73" s="12" t="n">
        <f aca="false">COUNTIFS(ES_Data!$B$2:$B$347,A73,ES_Data!$AP$2:$AP$347,"Y",ES_Data!$P$2:$P$347,"Non-cognitive")</f>
        <v>1</v>
      </c>
      <c r="W73" s="5" t="s">
        <v>1135</v>
      </c>
      <c r="X73" s="5"/>
    </row>
    <row r="74" customFormat="false" ht="15" hidden="false" customHeight="false" outlineLevel="0" collapsed="false">
      <c r="A74" s="5" t="s">
        <v>961</v>
      </c>
      <c r="B74" s="5" t="s">
        <v>962</v>
      </c>
      <c r="C74" s="5" t="n">
        <v>2023</v>
      </c>
      <c r="D74" s="5" t="s">
        <v>1204</v>
      </c>
      <c r="E74" s="5"/>
      <c r="F74" s="5" t="s">
        <v>1101</v>
      </c>
      <c r="G74" s="5" t="s">
        <v>221</v>
      </c>
      <c r="H74" s="5" t="s">
        <v>173</v>
      </c>
      <c r="I74" s="5" t="s">
        <v>187</v>
      </c>
      <c r="J74" s="5" t="s">
        <v>74</v>
      </c>
      <c r="K74" s="5" t="s">
        <v>207</v>
      </c>
      <c r="L74" s="5" t="s">
        <v>189</v>
      </c>
      <c r="M74" s="5" t="s">
        <v>163</v>
      </c>
      <c r="N74" s="5" t="s">
        <v>164</v>
      </c>
      <c r="O74" s="5" t="n">
        <v>35</v>
      </c>
      <c r="P74" s="5" t="n">
        <v>1</v>
      </c>
      <c r="Q74" s="5" t="n">
        <v>45</v>
      </c>
      <c r="R74" s="5" t="s">
        <v>190</v>
      </c>
      <c r="S74" s="12" t="n">
        <f aca="false">COUNTIF(ES_Data!$B$2:$B$347,A74)</f>
        <v>7</v>
      </c>
      <c r="T74" s="12" t="n">
        <f aca="false">COUNTIFS(ES_Data!$B$2:$B$347,A74,ES_Data!$AP$2:$AP$347,"Y")</f>
        <v>7</v>
      </c>
      <c r="U74" s="12" t="n">
        <f aca="false">COUNTIFS(ES_Data!$B$2:$B$347,A74,ES_Data!$AP$2:$AP$347,"Y",ES_Data!$P$2:$P$347,"Cognitive")</f>
        <v>6</v>
      </c>
      <c r="V74" s="12" t="n">
        <f aca="false">COUNTIFS(ES_Data!$B$2:$B$347,A74,ES_Data!$AP$2:$AP$347,"Y",ES_Data!$P$2:$P$347,"Non-cognitive")</f>
        <v>1</v>
      </c>
      <c r="W74" s="5" t="s">
        <v>1139</v>
      </c>
      <c r="X74" s="5"/>
    </row>
    <row r="75" customFormat="false" ht="15" hidden="false" customHeight="false" outlineLevel="0" collapsed="false">
      <c r="A75" s="5" t="s">
        <v>977</v>
      </c>
      <c r="B75" s="5" t="s">
        <v>978</v>
      </c>
      <c r="C75" s="5" t="n">
        <v>2025</v>
      </c>
      <c r="D75" s="5" t="s">
        <v>1205</v>
      </c>
      <c r="E75" s="5"/>
      <c r="F75" s="5" t="s">
        <v>1101</v>
      </c>
      <c r="G75" s="5" t="s">
        <v>221</v>
      </c>
      <c r="H75" s="5" t="s">
        <v>260</v>
      </c>
      <c r="I75" s="5" t="s">
        <v>160</v>
      </c>
      <c r="J75" s="5" t="s">
        <v>131</v>
      </c>
      <c r="K75" s="5" t="s">
        <v>705</v>
      </c>
      <c r="L75" s="5" t="s">
        <v>162</v>
      </c>
      <c r="M75" s="5" t="s">
        <v>163</v>
      </c>
      <c r="N75" s="5" t="s">
        <v>164</v>
      </c>
      <c r="O75" s="5" t="n">
        <v>153</v>
      </c>
      <c r="P75" s="5" t="s">
        <v>979</v>
      </c>
      <c r="Q75" s="5"/>
      <c r="R75" s="5" t="s">
        <v>261</v>
      </c>
      <c r="S75" s="12" t="n">
        <f aca="false">COUNTIF(ES_Data!$B$2:$B$347,A75)</f>
        <v>2</v>
      </c>
      <c r="T75" s="12" t="n">
        <f aca="false">COUNTIFS(ES_Data!$B$2:$B$347,A75,ES_Data!$AP$2:$AP$347,"Y")</f>
        <v>1</v>
      </c>
      <c r="U75" s="12" t="n">
        <f aca="false">COUNTIFS(ES_Data!$B$2:$B$347,A75,ES_Data!$AP$2:$AP$347,"Y",ES_Data!$P$2:$P$347,"Cognitive")</f>
        <v>1</v>
      </c>
      <c r="V75" s="12" t="n">
        <f aca="false">COUNTIFS(ES_Data!$B$2:$B$347,A75,ES_Data!$AP$2:$AP$347,"Y",ES_Data!$P$2:$P$347,"Non-cognitive")</f>
        <v>0</v>
      </c>
      <c r="W75" s="5" t="s">
        <v>1102</v>
      </c>
      <c r="X75" s="5"/>
    </row>
    <row r="76" customFormat="false" ht="15" hidden="false" customHeight="false" outlineLevel="0" collapsed="false">
      <c r="A76" s="5" t="s">
        <v>982</v>
      </c>
      <c r="B76" s="5" t="s">
        <v>983</v>
      </c>
      <c r="C76" s="5" t="n">
        <v>2025</v>
      </c>
      <c r="D76" s="5" t="s">
        <v>1206</v>
      </c>
      <c r="E76" s="5"/>
      <c r="F76" s="5" t="s">
        <v>1101</v>
      </c>
      <c r="G76" s="5" t="s">
        <v>221</v>
      </c>
      <c r="H76" s="5" t="s">
        <v>199</v>
      </c>
      <c r="I76" s="5" t="s">
        <v>160</v>
      </c>
      <c r="J76" s="5" t="s">
        <v>161</v>
      </c>
      <c r="K76" s="5" t="s">
        <v>161</v>
      </c>
      <c r="L76" s="5" t="s">
        <v>162</v>
      </c>
      <c r="M76" s="5" t="s">
        <v>163</v>
      </c>
      <c r="N76" s="5" t="s">
        <v>164</v>
      </c>
      <c r="O76" s="5" t="n">
        <v>75</v>
      </c>
      <c r="P76" s="5" t="s">
        <v>984</v>
      </c>
      <c r="Q76" s="5" t="n">
        <v>40</v>
      </c>
      <c r="R76" s="5" t="s">
        <v>261</v>
      </c>
      <c r="S76" s="12" t="n">
        <f aca="false">COUNTIF(ES_Data!$B$2:$B$347,A76)</f>
        <v>2</v>
      </c>
      <c r="T76" s="12" t="n">
        <f aca="false">COUNTIFS(ES_Data!$B$2:$B$347,A76,ES_Data!$AP$2:$AP$347,"Y")</f>
        <v>2</v>
      </c>
      <c r="U76" s="12" t="n">
        <f aca="false">COUNTIFS(ES_Data!$B$2:$B$347,A76,ES_Data!$AP$2:$AP$347,"Y",ES_Data!$P$2:$P$347,"Cognitive")</f>
        <v>2</v>
      </c>
      <c r="V76" s="12" t="n">
        <f aca="false">COUNTIFS(ES_Data!$B$2:$B$347,A76,ES_Data!$AP$2:$AP$347,"Y",ES_Data!$P$2:$P$347,"Non-cognitive")</f>
        <v>0</v>
      </c>
      <c r="W76" s="5" t="s">
        <v>1102</v>
      </c>
      <c r="X76" s="5"/>
    </row>
    <row r="77" customFormat="false" ht="15" hidden="false" customHeight="false" outlineLevel="0" collapsed="false">
      <c r="A77" s="5" t="s">
        <v>988</v>
      </c>
      <c r="B77" s="5" t="s">
        <v>989</v>
      </c>
      <c r="C77" s="5" t="n">
        <v>2025</v>
      </c>
      <c r="D77" s="5" t="s">
        <v>1207</v>
      </c>
      <c r="E77" s="5"/>
      <c r="F77" s="5" t="s">
        <v>1101</v>
      </c>
      <c r="G77" s="5" t="s">
        <v>221</v>
      </c>
      <c r="H77" s="5" t="s">
        <v>199</v>
      </c>
      <c r="I77" s="5" t="s">
        <v>160</v>
      </c>
      <c r="J77" s="5" t="s">
        <v>162</v>
      </c>
      <c r="K77" s="5"/>
      <c r="L77" s="5" t="s">
        <v>162</v>
      </c>
      <c r="M77" s="5" t="s">
        <v>163</v>
      </c>
      <c r="N77" s="5" t="s">
        <v>164</v>
      </c>
      <c r="O77" s="5" t="n">
        <v>418</v>
      </c>
      <c r="P77" s="5"/>
      <c r="Q77" s="5"/>
      <c r="R77" s="5" t="s">
        <v>162</v>
      </c>
      <c r="S77" s="12" t="n">
        <f aca="false">COUNTIF(ES_Data!$B$2:$B$347,A77)</f>
        <v>2</v>
      </c>
      <c r="T77" s="12" t="n">
        <f aca="false">COUNTIFS(ES_Data!$B$2:$B$347,A77,ES_Data!$AP$2:$AP$347,"Y")</f>
        <v>0</v>
      </c>
      <c r="U77" s="12" t="n">
        <f aca="false">COUNTIFS(ES_Data!$B$2:$B$347,A77,ES_Data!$AP$2:$AP$347,"Y",ES_Data!$P$2:$P$347,"Cognitive")</f>
        <v>0</v>
      </c>
      <c r="V77" s="12" t="n">
        <f aca="false">COUNTIFS(ES_Data!$B$2:$B$347,A77,ES_Data!$AP$2:$AP$347,"Y",ES_Data!$P$2:$P$347,"Non-cognitive")</f>
        <v>0</v>
      </c>
      <c r="W77" s="5" t="s">
        <v>1141</v>
      </c>
      <c r="X77" s="5"/>
    </row>
    <row r="78" customFormat="false" ht="15" hidden="false" customHeight="false" outlineLevel="0" collapsed="false">
      <c r="A78" s="5" t="s">
        <v>993</v>
      </c>
      <c r="B78" s="5" t="s">
        <v>994</v>
      </c>
      <c r="C78" s="5" t="n">
        <v>2025</v>
      </c>
      <c r="D78" s="5" t="s">
        <v>1208</v>
      </c>
      <c r="E78" s="5" t="s">
        <v>1209</v>
      </c>
      <c r="F78" s="5" t="s">
        <v>1095</v>
      </c>
      <c r="G78" s="5" t="s">
        <v>221</v>
      </c>
      <c r="H78" s="5" t="s">
        <v>173</v>
      </c>
      <c r="I78" s="5" t="s">
        <v>995</v>
      </c>
      <c r="J78" s="5" t="s">
        <v>265</v>
      </c>
      <c r="K78" s="5" t="s">
        <v>996</v>
      </c>
      <c r="L78" s="5" t="s">
        <v>189</v>
      </c>
      <c r="M78" s="5" t="s">
        <v>997</v>
      </c>
      <c r="N78" s="5" t="s">
        <v>998</v>
      </c>
      <c r="O78" s="5" t="n">
        <v>60</v>
      </c>
      <c r="P78" s="5" t="s">
        <v>999</v>
      </c>
      <c r="Q78" s="5" t="s">
        <v>1000</v>
      </c>
      <c r="R78" s="5" t="s">
        <v>261</v>
      </c>
      <c r="S78" s="12" t="n">
        <f aca="false">COUNTIF(ES_Data!$B$2:$B$347,A78)</f>
        <v>12</v>
      </c>
      <c r="T78" s="12" t="n">
        <f aca="false">COUNTIFS(ES_Data!$B$2:$B$347,A78,ES_Data!$AP$2:$AP$347,"Y")</f>
        <v>11</v>
      </c>
      <c r="U78" s="12" t="n">
        <f aca="false">COUNTIFS(ES_Data!$B$2:$B$347,A78,ES_Data!$AP$2:$AP$347,"Y",ES_Data!$P$2:$P$347,"Cognitive")</f>
        <v>1</v>
      </c>
      <c r="V78" s="12" t="n">
        <f aca="false">COUNTIFS(ES_Data!$B$2:$B$347,A78,ES_Data!$AP$2:$AP$347,"Y",ES_Data!$P$2:$P$347,"Non-cognitive")</f>
        <v>10</v>
      </c>
      <c r="W78" s="5" t="s">
        <v>290</v>
      </c>
      <c r="X78" s="5" t="s">
        <v>1210</v>
      </c>
    </row>
    <row r="79" customFormat="false" ht="15" hidden="false" customHeight="false" outlineLevel="0" collapsed="false">
      <c r="A79" s="5" t="s">
        <v>1028</v>
      </c>
      <c r="B79" s="5" t="s">
        <v>1029</v>
      </c>
      <c r="C79" s="5" t="n">
        <v>2025</v>
      </c>
      <c r="D79" s="5" t="s">
        <v>1211</v>
      </c>
      <c r="E79" s="5" t="s">
        <v>1212</v>
      </c>
      <c r="F79" s="5" t="s">
        <v>1095</v>
      </c>
      <c r="G79" s="5" t="s">
        <v>221</v>
      </c>
      <c r="H79" s="5" t="s">
        <v>750</v>
      </c>
      <c r="I79" s="5" t="s">
        <v>395</v>
      </c>
      <c r="J79" s="5" t="s">
        <v>74</v>
      </c>
      <c r="K79" s="5" t="s">
        <v>207</v>
      </c>
      <c r="L79" s="5" t="s">
        <v>189</v>
      </c>
      <c r="M79" s="5" t="s">
        <v>163</v>
      </c>
      <c r="N79" s="5" t="s">
        <v>164</v>
      </c>
      <c r="O79" s="5" t="n">
        <v>56</v>
      </c>
      <c r="P79" s="5"/>
      <c r="Q79" s="5"/>
      <c r="R79" s="5" t="s">
        <v>190</v>
      </c>
      <c r="S79" s="12" t="n">
        <f aca="false">COUNTIF(ES_Data!$B$2:$B$347,A79)</f>
        <v>4</v>
      </c>
      <c r="T79" s="12" t="n">
        <f aca="false">COUNTIFS(ES_Data!$B$2:$B$347,A79,ES_Data!$AP$2:$AP$347,"Y")</f>
        <v>2</v>
      </c>
      <c r="U79" s="12" t="n">
        <f aca="false">COUNTIFS(ES_Data!$B$2:$B$347,A79,ES_Data!$AP$2:$AP$347,"Y",ES_Data!$P$2:$P$347,"Cognitive")</f>
        <v>0</v>
      </c>
      <c r="V79" s="12" t="n">
        <f aca="false">COUNTIFS(ES_Data!$B$2:$B$347,A79,ES_Data!$AP$2:$AP$347,"Y",ES_Data!$P$2:$P$347,"Non-cognitive")</f>
        <v>2</v>
      </c>
      <c r="W79" s="5" t="s">
        <v>1133</v>
      </c>
      <c r="X79" s="5"/>
    </row>
    <row r="80" customFormat="false" ht="15" hidden="false" customHeight="false" outlineLevel="0" collapsed="false">
      <c r="A80" s="5" t="s">
        <v>1036</v>
      </c>
      <c r="B80" s="5" t="s">
        <v>1037</v>
      </c>
      <c r="C80" s="5" t="n">
        <v>2025</v>
      </c>
      <c r="D80" s="5" t="s">
        <v>1213</v>
      </c>
      <c r="E80" s="5"/>
      <c r="F80" s="5" t="s">
        <v>1101</v>
      </c>
      <c r="G80" s="5" t="s">
        <v>221</v>
      </c>
      <c r="H80" s="5" t="s">
        <v>173</v>
      </c>
      <c r="I80" s="5" t="s">
        <v>160</v>
      </c>
      <c r="J80" s="5" t="s">
        <v>131</v>
      </c>
      <c r="K80" s="5" t="s">
        <v>247</v>
      </c>
      <c r="L80" s="5" t="s">
        <v>162</v>
      </c>
      <c r="M80" s="5" t="s">
        <v>163</v>
      </c>
      <c r="N80" s="5" t="s">
        <v>164</v>
      </c>
      <c r="O80" s="5" t="n">
        <v>150</v>
      </c>
      <c r="P80" s="5" t="s">
        <v>1038</v>
      </c>
      <c r="Q80" s="5" t="n">
        <v>90</v>
      </c>
      <c r="R80" s="5" t="s">
        <v>190</v>
      </c>
      <c r="S80" s="12" t="n">
        <f aca="false">COUNTIF(ES_Data!$B$2:$B$347,A80)</f>
        <v>18</v>
      </c>
      <c r="T80" s="12" t="n">
        <f aca="false">COUNTIFS(ES_Data!$B$2:$B$347,A80,ES_Data!$AP$2:$AP$347,"Y")</f>
        <v>9</v>
      </c>
      <c r="U80" s="12" t="n">
        <f aca="false">COUNTIFS(ES_Data!$B$2:$B$347,A80,ES_Data!$AP$2:$AP$347,"Y",ES_Data!$P$2:$P$347,"Cognitive")</f>
        <v>9</v>
      </c>
      <c r="V80" s="12" t="n">
        <f aca="false">COUNTIFS(ES_Data!$B$2:$B$347,A80,ES_Data!$AP$2:$AP$347,"Y",ES_Data!$P$2:$P$347,"Non-cognitive")</f>
        <v>0</v>
      </c>
      <c r="W80" s="5" t="s">
        <v>1104</v>
      </c>
      <c r="X80" s="5"/>
    </row>
    <row r="81" customFormat="false" ht="15" hidden="false" customHeight="false" outlineLevel="0" collapsed="false">
      <c r="A81" s="5" t="s">
        <v>1071</v>
      </c>
      <c r="B81" s="5" t="s">
        <v>1072</v>
      </c>
      <c r="C81" s="5" t="n">
        <v>2020</v>
      </c>
      <c r="D81" s="5" t="s">
        <v>1214</v>
      </c>
      <c r="E81" s="5"/>
      <c r="F81" s="5" t="s">
        <v>1101</v>
      </c>
      <c r="G81" s="5" t="s">
        <v>1073</v>
      </c>
      <c r="H81" s="5" t="s">
        <v>199</v>
      </c>
      <c r="I81" s="5" t="s">
        <v>160</v>
      </c>
      <c r="J81" s="5" t="s">
        <v>161</v>
      </c>
      <c r="K81" s="5" t="s">
        <v>161</v>
      </c>
      <c r="L81" s="5" t="s">
        <v>162</v>
      </c>
      <c r="M81" s="5" t="s">
        <v>163</v>
      </c>
      <c r="N81" s="5" t="s">
        <v>164</v>
      </c>
      <c r="O81" s="5" t="n">
        <v>41</v>
      </c>
      <c r="P81" s="5"/>
      <c r="Q81" s="5" t="n">
        <v>30</v>
      </c>
      <c r="R81" s="5" t="s">
        <v>162</v>
      </c>
      <c r="S81" s="12" t="n">
        <f aca="false">COUNTIF(ES_Data!$B$2:$B$347,A81)</f>
        <v>2</v>
      </c>
      <c r="T81" s="12" t="n">
        <f aca="false">COUNTIFS(ES_Data!$B$2:$B$347,A81,ES_Data!$AP$2:$AP$347,"Y")</f>
        <v>1</v>
      </c>
      <c r="U81" s="12" t="n">
        <f aca="false">COUNTIFS(ES_Data!$B$2:$B$347,A81,ES_Data!$AP$2:$AP$347,"Y",ES_Data!$P$2:$P$347,"Cognitive")</f>
        <v>1</v>
      </c>
      <c r="V81" s="12" t="n">
        <f aca="false">COUNTIFS(ES_Data!$B$2:$B$347,A81,ES_Data!$AP$2:$AP$347,"Y",ES_Data!$P$2:$P$347,"Non-cognitive")</f>
        <v>0</v>
      </c>
      <c r="W81" s="5" t="s">
        <v>1102</v>
      </c>
      <c r="X81" s="5"/>
    </row>
    <row r="82" customFormat="false" ht="15" hidden="false" customHeight="false" outlineLevel="0" collapsed="false">
      <c r="A82" s="5" t="s">
        <v>1078</v>
      </c>
      <c r="B82" s="5" t="s">
        <v>1079</v>
      </c>
      <c r="C82" s="5" t="n">
        <v>2025</v>
      </c>
      <c r="D82" s="5" t="s">
        <v>1215</v>
      </c>
      <c r="E82" s="5"/>
      <c r="F82" s="5" t="s">
        <v>1101</v>
      </c>
      <c r="G82" s="5" t="s">
        <v>221</v>
      </c>
      <c r="H82" s="5" t="s">
        <v>173</v>
      </c>
      <c r="I82" s="5" t="s">
        <v>160</v>
      </c>
      <c r="J82" s="5" t="s">
        <v>74</v>
      </c>
      <c r="K82" s="5" t="s">
        <v>207</v>
      </c>
      <c r="L82" s="5" t="s">
        <v>162</v>
      </c>
      <c r="M82" s="5" t="s">
        <v>163</v>
      </c>
      <c r="N82" s="5" t="s">
        <v>164</v>
      </c>
      <c r="O82" s="5" t="n">
        <v>72</v>
      </c>
      <c r="P82" s="5" t="n">
        <v>8</v>
      </c>
      <c r="Q82" s="5"/>
      <c r="R82" s="5" t="s">
        <v>261</v>
      </c>
      <c r="S82" s="12" t="n">
        <f aca="false">COUNTIF(ES_Data!$B$2:$B$347,A82)</f>
        <v>2</v>
      </c>
      <c r="T82" s="12" t="n">
        <f aca="false">COUNTIFS(ES_Data!$B$2:$B$347,A82,ES_Data!$AP$2:$AP$347,"Y")</f>
        <v>1</v>
      </c>
      <c r="U82" s="12" t="n">
        <f aca="false">COUNTIFS(ES_Data!$B$2:$B$347,A82,ES_Data!$AP$2:$AP$347,"Y",ES_Data!$P$2:$P$347,"Cognitive")</f>
        <v>1</v>
      </c>
      <c r="V82" s="12" t="n">
        <f aca="false">COUNTIFS(ES_Data!$B$2:$B$347,A82,ES_Data!$AP$2:$AP$347,"Y",ES_Data!$P$2:$P$347,"Non-cognitive")</f>
        <v>0</v>
      </c>
      <c r="W82" s="5" t="s">
        <v>1104</v>
      </c>
      <c r="X82" s="5"/>
    </row>
  </sheetData>
  <autoFilter ref="A1:X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7"/>
    <col collapsed="false" customWidth="true" hidden="false" outlineLevel="0" max="12" min="12" style="0" width="30"/>
    <col collapsed="false" customWidth="true" hidden="false" outlineLevel="0" max="13" min="13" style="0" width="28"/>
    <col collapsed="false" customWidth="true" hidden="false" outlineLevel="0" max="14" min="14" style="0" width="12"/>
    <col collapsed="false" customWidth="true" hidden="false" outlineLevel="0" max="15" min="15" style="0" width="24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12"/>
    <col collapsed="false" customWidth="true" hidden="false" outlineLevel="0" max="24" min="20" style="0" width="9"/>
    <col collapsed="false" customWidth="true" hidden="false" outlineLevel="0" max="25" min="25" style="0" width="11"/>
    <col collapsed="false" customWidth="true" hidden="false" outlineLevel="0" max="26" min="26" style="0" width="10"/>
    <col collapsed="false" customWidth="true" hidden="false" outlineLevel="0" max="27" min="27" style="0" width="45"/>
    <col collapsed="false" customWidth="true" hidden="true" outlineLevel="0" max="31" min="28" style="0" width="6"/>
  </cols>
  <sheetData>
    <row r="1" customFormat="false" ht="42" hidden="false" customHeight="true" outlineLevel="0" collapsed="false">
      <c r="A1" s="13" t="s">
        <v>1216</v>
      </c>
      <c r="B1" s="13" t="s">
        <v>19</v>
      </c>
      <c r="C1" s="13" t="s">
        <v>20</v>
      </c>
      <c r="D1" s="13" t="s">
        <v>1084</v>
      </c>
      <c r="E1" s="13" t="s">
        <v>1085</v>
      </c>
      <c r="F1" s="13" t="s">
        <v>22</v>
      </c>
      <c r="G1" s="13" t="s">
        <v>23</v>
      </c>
      <c r="H1" s="13" t="s">
        <v>24</v>
      </c>
      <c r="I1" s="13" t="s">
        <v>1217</v>
      </c>
      <c r="J1" s="13" t="s">
        <v>28</v>
      </c>
      <c r="K1" s="13" t="s">
        <v>100</v>
      </c>
      <c r="L1" s="13" t="s">
        <v>1218</v>
      </c>
      <c r="M1" s="13" t="s">
        <v>1219</v>
      </c>
      <c r="N1" s="13" t="s">
        <v>33</v>
      </c>
      <c r="O1" s="13" t="s">
        <v>34</v>
      </c>
      <c r="P1" s="13" t="s">
        <v>35</v>
      </c>
      <c r="Q1" s="13" t="s">
        <v>37</v>
      </c>
      <c r="R1" s="13" t="s">
        <v>1220</v>
      </c>
      <c r="S1" s="13" t="s">
        <v>1221</v>
      </c>
      <c r="T1" s="13" t="s">
        <v>1222</v>
      </c>
      <c r="U1" s="13" t="s">
        <v>1223</v>
      </c>
      <c r="V1" s="13" t="s">
        <v>1224</v>
      </c>
      <c r="W1" s="13" t="s">
        <v>1225</v>
      </c>
      <c r="X1" s="13" t="s">
        <v>1226</v>
      </c>
      <c r="Y1" s="13" t="s">
        <v>1227</v>
      </c>
      <c r="Z1" s="13" t="s">
        <v>1228</v>
      </c>
      <c r="AA1" s="13" t="s">
        <v>1229</v>
      </c>
      <c r="AB1" s="13" t="s">
        <v>62</v>
      </c>
      <c r="AC1" s="13" t="s">
        <v>1230</v>
      </c>
      <c r="AD1" s="13" t="s">
        <v>1231</v>
      </c>
      <c r="AE1" s="13" t="s">
        <v>65</v>
      </c>
    </row>
    <row r="2" customFormat="false" ht="15" hidden="false" customHeight="false" outlineLevel="0" collapsed="false">
      <c r="A2" s="5" t="s">
        <v>1232</v>
      </c>
      <c r="B2" s="5" t="s">
        <v>1233</v>
      </c>
      <c r="C2" s="5" t="s">
        <v>1234</v>
      </c>
      <c r="D2" s="5" t="s">
        <v>1235</v>
      </c>
      <c r="E2" s="5" t="s">
        <v>1236</v>
      </c>
      <c r="F2" s="5" t="s">
        <v>221</v>
      </c>
      <c r="G2" s="5" t="s">
        <v>173</v>
      </c>
      <c r="H2" s="5" t="s">
        <v>1237</v>
      </c>
      <c r="I2" s="5" t="s">
        <v>1238</v>
      </c>
      <c r="J2" s="5" t="s">
        <v>1239</v>
      </c>
      <c r="K2" s="5" t="n">
        <v>440</v>
      </c>
      <c r="L2" s="5" t="s">
        <v>1240</v>
      </c>
      <c r="M2" s="5" t="s">
        <v>1241</v>
      </c>
      <c r="N2" s="5" t="s">
        <v>113</v>
      </c>
      <c r="O2" s="5" t="s">
        <v>425</v>
      </c>
      <c r="P2" s="5"/>
      <c r="Q2" s="5" t="s">
        <v>1242</v>
      </c>
      <c r="R2" s="5" t="n">
        <v>0.937</v>
      </c>
      <c r="S2" s="5" t="s">
        <v>1243</v>
      </c>
      <c r="T2" s="7" t="n">
        <f aca="false">FISHER(R2)</f>
        <v>1.71288046850773</v>
      </c>
      <c r="U2" s="7" t="n">
        <f aca="false">1/(K2-3)</f>
        <v>0.0022883295194508</v>
      </c>
      <c r="V2" s="7" t="n">
        <f aca="false">SQRT(U2)</f>
        <v>0.047836487323494</v>
      </c>
      <c r="W2" s="7" t="n">
        <f aca="false">FISHERINV(T2-1.96*V2)</f>
        <v>0.924496591937794</v>
      </c>
      <c r="X2" s="7" t="n">
        <f aca="false">FISHERINV(T2+1.96*V2)</f>
        <v>0.947489332835546</v>
      </c>
      <c r="Y2" s="7" t="n">
        <f aca="false">2*R2/SQRT(1-R2^2)</f>
        <v>5.36456487224166</v>
      </c>
      <c r="Z2" s="5" t="s">
        <v>88</v>
      </c>
      <c r="AA2" s="5" t="s">
        <v>1244</v>
      </c>
      <c r="AB2" s="14" t="n">
        <f aca="false">IF(Z2="Y",1/U2,0)</f>
        <v>437</v>
      </c>
      <c r="AC2" s="14" t="n">
        <f aca="false">AB2*T2</f>
        <v>748.528764737879</v>
      </c>
      <c r="AD2" s="14" t="n">
        <f aca="false">AB2*T2^2</f>
        <v>1282.14030123573</v>
      </c>
      <c r="AE2" s="14" t="n">
        <f aca="false">AB2^2</f>
        <v>190969</v>
      </c>
    </row>
    <row r="3" customFormat="false" ht="15" hidden="false" customHeight="false" outlineLevel="0" collapsed="false">
      <c r="A3" s="5" t="s">
        <v>1245</v>
      </c>
      <c r="B3" s="5" t="s">
        <v>1233</v>
      </c>
      <c r="C3" s="5" t="s">
        <v>1234</v>
      </c>
      <c r="D3" s="5" t="s">
        <v>1235</v>
      </c>
      <c r="E3" s="5" t="s">
        <v>1236</v>
      </c>
      <c r="F3" s="5" t="s">
        <v>221</v>
      </c>
      <c r="G3" s="5" t="s">
        <v>173</v>
      </c>
      <c r="H3" s="5" t="s">
        <v>1237</v>
      </c>
      <c r="I3" s="5" t="s">
        <v>1238</v>
      </c>
      <c r="J3" s="5" t="s">
        <v>1239</v>
      </c>
      <c r="K3" s="5" t="n">
        <v>440</v>
      </c>
      <c r="L3" s="5" t="s">
        <v>1240</v>
      </c>
      <c r="M3" s="5" t="s">
        <v>397</v>
      </c>
      <c r="N3" s="5" t="s">
        <v>113</v>
      </c>
      <c r="O3" s="5" t="s">
        <v>425</v>
      </c>
      <c r="P3" s="5"/>
      <c r="Q3" s="5" t="s">
        <v>1009</v>
      </c>
      <c r="R3" s="5" t="n">
        <v>0.909</v>
      </c>
      <c r="S3" s="5" t="s">
        <v>1243</v>
      </c>
      <c r="T3" s="7" t="n">
        <f aca="false">FISHER(R3)</f>
        <v>1.52173765860445</v>
      </c>
      <c r="U3" s="7" t="n">
        <f aca="false">1/(K3-3)</f>
        <v>0.0022883295194508</v>
      </c>
      <c r="V3" s="7" t="n">
        <f aca="false">SQRT(U3)</f>
        <v>0.047836487323494</v>
      </c>
      <c r="W3" s="7" t="n">
        <f aca="false">FISHERINV(T3-1.96*V3)</f>
        <v>0.891251510843222</v>
      </c>
      <c r="X3" s="7" t="n">
        <f aca="false">FISHERINV(T3+1.96*V3)</f>
        <v>0.923968267167147</v>
      </c>
      <c r="Y3" s="7" t="n">
        <f aca="false">2*R3/SQRT(1-R3^2)</f>
        <v>4.36184489804922</v>
      </c>
      <c r="Z3" s="5" t="s">
        <v>88</v>
      </c>
      <c r="AA3" s="5" t="s">
        <v>313</v>
      </c>
      <c r="AB3" s="14" t="n">
        <f aca="false">IF(Z3="Y",1/U3,0)</f>
        <v>437</v>
      </c>
      <c r="AC3" s="14" t="n">
        <f aca="false">AB3*T3</f>
        <v>664.999356810144</v>
      </c>
      <c r="AD3" s="14" t="n">
        <f aca="false">AB3*T3^2</f>
        <v>1011.95456420573</v>
      </c>
      <c r="AE3" s="14" t="n">
        <f aca="false">AB3^2</f>
        <v>190969</v>
      </c>
    </row>
    <row r="4" customFormat="false" ht="15" hidden="false" customHeight="false" outlineLevel="0" collapsed="false">
      <c r="A4" s="5" t="s">
        <v>1246</v>
      </c>
      <c r="B4" s="5" t="s">
        <v>1233</v>
      </c>
      <c r="C4" s="5" t="s">
        <v>1234</v>
      </c>
      <c r="D4" s="5" t="s">
        <v>1235</v>
      </c>
      <c r="E4" s="5" t="s">
        <v>1236</v>
      </c>
      <c r="F4" s="5" t="s">
        <v>221</v>
      </c>
      <c r="G4" s="5" t="s">
        <v>173</v>
      </c>
      <c r="H4" s="5" t="s">
        <v>1237</v>
      </c>
      <c r="I4" s="5" t="s">
        <v>1238</v>
      </c>
      <c r="J4" s="5" t="s">
        <v>1239</v>
      </c>
      <c r="K4" s="5" t="n">
        <v>440</v>
      </c>
      <c r="L4" s="5" t="s">
        <v>1240</v>
      </c>
      <c r="M4" s="5" t="s">
        <v>445</v>
      </c>
      <c r="N4" s="5" t="s">
        <v>113</v>
      </c>
      <c r="O4" s="5" t="s">
        <v>422</v>
      </c>
      <c r="P4" s="5"/>
      <c r="Q4" s="5" t="s">
        <v>1009</v>
      </c>
      <c r="R4" s="5" t="n">
        <v>0.888</v>
      </c>
      <c r="S4" s="5" t="s">
        <v>1243</v>
      </c>
      <c r="T4" s="7" t="n">
        <f aca="false">FISHER(R4)</f>
        <v>1.41238723770518</v>
      </c>
      <c r="U4" s="7" t="n">
        <f aca="false">1/(K4-3)</f>
        <v>0.0022883295194508</v>
      </c>
      <c r="V4" s="7" t="n">
        <f aca="false">SQRT(U4)</f>
        <v>0.047836487323494</v>
      </c>
      <c r="W4" s="7" t="n">
        <f aca="false">FISHERINV(T4-1.96*V4)</f>
        <v>0.866442256987403</v>
      </c>
      <c r="X4" s="7" t="n">
        <f aca="false">FISHERINV(T4+1.96*V4)</f>
        <v>0.906252853097892</v>
      </c>
      <c r="Y4" s="7" t="n">
        <f aca="false">2*R4/SQRT(1-R4^2)</f>
        <v>3.86218395354768</v>
      </c>
      <c r="Z4" s="5" t="s">
        <v>88</v>
      </c>
      <c r="AA4" s="5" t="s">
        <v>313</v>
      </c>
      <c r="AB4" s="14" t="n">
        <f aca="false">IF(Z4="Y",1/U4,0)</f>
        <v>437</v>
      </c>
      <c r="AC4" s="14" t="n">
        <f aca="false">AB4*T4</f>
        <v>617.213222877162</v>
      </c>
      <c r="AD4" s="14" t="n">
        <f aca="false">AB4*T4^2</f>
        <v>871.744078934584</v>
      </c>
      <c r="AE4" s="14" t="n">
        <f aca="false">AB4^2</f>
        <v>190969</v>
      </c>
    </row>
    <row r="5" customFormat="false" ht="15" hidden="false" customHeight="false" outlineLevel="0" collapsed="false">
      <c r="A5" s="5" t="s">
        <v>1247</v>
      </c>
      <c r="B5" s="5" t="s">
        <v>1248</v>
      </c>
      <c r="C5" s="5" t="s">
        <v>1249</v>
      </c>
      <c r="D5" s="5" t="s">
        <v>1250</v>
      </c>
      <c r="E5" s="5" t="s">
        <v>1251</v>
      </c>
      <c r="F5" s="5" t="s">
        <v>206</v>
      </c>
      <c r="G5" s="5" t="s">
        <v>173</v>
      </c>
      <c r="H5" s="5" t="s">
        <v>438</v>
      </c>
      <c r="I5" s="5" t="s">
        <v>1252</v>
      </c>
      <c r="J5" s="5" t="s">
        <v>1253</v>
      </c>
      <c r="K5" s="5" t="n">
        <v>637</v>
      </c>
      <c r="L5" s="5" t="s">
        <v>1254</v>
      </c>
      <c r="M5" s="5" t="s">
        <v>1255</v>
      </c>
      <c r="N5" s="5" t="s">
        <v>82</v>
      </c>
      <c r="O5" s="5" t="s">
        <v>83</v>
      </c>
      <c r="P5" s="5"/>
      <c r="Q5" s="5" t="s">
        <v>1256</v>
      </c>
      <c r="R5" s="5" t="n">
        <v>0.519</v>
      </c>
      <c r="S5" s="5" t="s">
        <v>1257</v>
      </c>
      <c r="T5" s="7" t="n">
        <f aca="false">FISHER(R5)</f>
        <v>0.574970116245006</v>
      </c>
      <c r="U5" s="7" t="n">
        <f aca="false">1/(K5-3)</f>
        <v>0.00157728706624606</v>
      </c>
      <c r="V5" s="7" t="n">
        <f aca="false">SQRT(U5)</f>
        <v>0.0397150735394769</v>
      </c>
      <c r="W5" s="7" t="n">
        <f aca="false">FISHERINV(T5-1.96*V5)</f>
        <v>0.459855935020937</v>
      </c>
      <c r="X5" s="7" t="n">
        <f aca="false">FISHERINV(T5+1.96*V5)</f>
        <v>0.573559714985662</v>
      </c>
      <c r="Y5" s="7" t="n">
        <f aca="false">2*R5/SQRT(1-R5^2)</f>
        <v>1.21435573558164</v>
      </c>
      <c r="Z5" s="5" t="s">
        <v>88</v>
      </c>
      <c r="AA5" s="5" t="s">
        <v>1258</v>
      </c>
      <c r="AB5" s="14" t="n">
        <f aca="false">IF(Z5="Y",1/U5,0)</f>
        <v>634</v>
      </c>
      <c r="AC5" s="14" t="n">
        <f aca="false">AB5*T5</f>
        <v>364.531053699334</v>
      </c>
      <c r="AD5" s="14" t="n">
        <f aca="false">AB5*T5^2</f>
        <v>209.59446232042</v>
      </c>
      <c r="AE5" s="14" t="n">
        <f aca="false">AB5^2</f>
        <v>401956</v>
      </c>
    </row>
    <row r="6" customFormat="false" ht="15" hidden="false" customHeight="false" outlineLevel="0" collapsed="false">
      <c r="A6" s="5" t="s">
        <v>1259</v>
      </c>
      <c r="B6" s="5" t="s">
        <v>1248</v>
      </c>
      <c r="C6" s="5" t="s">
        <v>1249</v>
      </c>
      <c r="D6" s="5" t="s">
        <v>1250</v>
      </c>
      <c r="E6" s="5" t="s">
        <v>1251</v>
      </c>
      <c r="F6" s="5" t="s">
        <v>206</v>
      </c>
      <c r="G6" s="5" t="s">
        <v>173</v>
      </c>
      <c r="H6" s="5" t="s">
        <v>438</v>
      </c>
      <c r="I6" s="5" t="s">
        <v>1252</v>
      </c>
      <c r="J6" s="5" t="s">
        <v>1253</v>
      </c>
      <c r="K6" s="5" t="n">
        <v>637</v>
      </c>
      <c r="L6" s="5" t="s">
        <v>1254</v>
      </c>
      <c r="M6" s="5" t="s">
        <v>1260</v>
      </c>
      <c r="N6" s="5" t="s">
        <v>113</v>
      </c>
      <c r="O6" s="5" t="s">
        <v>425</v>
      </c>
      <c r="P6" s="5"/>
      <c r="Q6" s="5" t="s">
        <v>1261</v>
      </c>
      <c r="R6" s="5" t="n">
        <v>0.51</v>
      </c>
      <c r="S6" s="5" t="s">
        <v>1257</v>
      </c>
      <c r="T6" s="7" t="n">
        <f aca="false">FISHER(R6)</f>
        <v>0.562729769352149</v>
      </c>
      <c r="U6" s="7" t="n">
        <f aca="false">1/(K6-3)</f>
        <v>0.00157728706624606</v>
      </c>
      <c r="V6" s="7" t="n">
        <f aca="false">SQRT(U6)</f>
        <v>0.0397150735394769</v>
      </c>
      <c r="W6" s="7" t="n">
        <f aca="false">FISHERINV(T6-1.96*V6)</f>
        <v>0.450149874752457</v>
      </c>
      <c r="X6" s="7" t="n">
        <f aca="false">FISHERINV(T6+1.96*V6)</f>
        <v>0.565288428082535</v>
      </c>
      <c r="Y6" s="7" t="n">
        <f aca="false">2*R6/SQRT(1-R6^2)</f>
        <v>1.18580603992369</v>
      </c>
      <c r="Z6" s="5" t="s">
        <v>88</v>
      </c>
      <c r="AA6" s="5" t="s">
        <v>291</v>
      </c>
      <c r="AB6" s="14" t="n">
        <f aca="false">IF(Z6="Y",1/U6,0)</f>
        <v>634</v>
      </c>
      <c r="AC6" s="14" t="n">
        <f aca="false">AB6*T6</f>
        <v>356.770673769262</v>
      </c>
      <c r="AD6" s="14" t="n">
        <f aca="false">AB6*T6^2</f>
        <v>200.765478961788</v>
      </c>
      <c r="AE6" s="14" t="n">
        <f aca="false">AB6^2</f>
        <v>401956</v>
      </c>
    </row>
    <row r="7" customFormat="false" ht="15" hidden="false" customHeight="false" outlineLevel="0" collapsed="false">
      <c r="A7" s="5" t="s">
        <v>1262</v>
      </c>
      <c r="B7" s="5" t="s">
        <v>1248</v>
      </c>
      <c r="C7" s="5" t="s">
        <v>1249</v>
      </c>
      <c r="D7" s="5" t="s">
        <v>1250</v>
      </c>
      <c r="E7" s="5" t="s">
        <v>1251</v>
      </c>
      <c r="F7" s="5" t="s">
        <v>206</v>
      </c>
      <c r="G7" s="5" t="s">
        <v>173</v>
      </c>
      <c r="H7" s="5" t="s">
        <v>438</v>
      </c>
      <c r="I7" s="5" t="s">
        <v>1252</v>
      </c>
      <c r="J7" s="5" t="s">
        <v>1253</v>
      </c>
      <c r="K7" s="5" t="n">
        <v>637</v>
      </c>
      <c r="L7" s="5" t="s">
        <v>1254</v>
      </c>
      <c r="M7" s="5" t="s">
        <v>1263</v>
      </c>
      <c r="N7" s="5" t="s">
        <v>113</v>
      </c>
      <c r="O7" s="5" t="s">
        <v>425</v>
      </c>
      <c r="P7" s="5"/>
      <c r="Q7" s="5" t="s">
        <v>1264</v>
      </c>
      <c r="R7" s="5" t="n">
        <v>0.568</v>
      </c>
      <c r="S7" s="5" t="s">
        <v>1257</v>
      </c>
      <c r="T7" s="7" t="n">
        <f aca="false">FISHER(R7)</f>
        <v>0.644565306333121</v>
      </c>
      <c r="U7" s="7" t="n">
        <f aca="false">1/(K7-3)</f>
        <v>0.00157728706624606</v>
      </c>
      <c r="V7" s="7" t="n">
        <f aca="false">SQRT(U7)</f>
        <v>0.0397150735394769</v>
      </c>
      <c r="W7" s="7" t="n">
        <f aca="false">FISHERINV(T7-1.96*V7)</f>
        <v>0.51294913242845</v>
      </c>
      <c r="X7" s="7" t="n">
        <f aca="false">FISHERINV(T7+1.96*V7)</f>
        <v>0.618397947976951</v>
      </c>
      <c r="Y7" s="7" t="n">
        <f aca="false">2*R7/SQRT(1-R7^2)</f>
        <v>1.38026802966354</v>
      </c>
      <c r="Z7" s="5" t="s">
        <v>88</v>
      </c>
      <c r="AA7" s="5" t="s">
        <v>291</v>
      </c>
      <c r="AB7" s="14" t="n">
        <f aca="false">IF(Z7="Y",1/U7,0)</f>
        <v>634</v>
      </c>
      <c r="AC7" s="14" t="n">
        <f aca="false">AB7*T7</f>
        <v>408.654404215199</v>
      </c>
      <c r="AD7" s="14" t="n">
        <f aca="false">AB7*T7^2</f>
        <v>263.404451237349</v>
      </c>
      <c r="AE7" s="14" t="n">
        <f aca="false">AB7^2</f>
        <v>401956</v>
      </c>
    </row>
    <row r="8" customFormat="false" ht="15" hidden="false" customHeight="false" outlineLevel="0" collapsed="false">
      <c r="A8" s="5" t="s">
        <v>1265</v>
      </c>
      <c r="B8" s="5" t="s">
        <v>1266</v>
      </c>
      <c r="C8" s="5" t="s">
        <v>1267</v>
      </c>
      <c r="D8" s="5" t="s">
        <v>1268</v>
      </c>
      <c r="E8" s="5" t="s">
        <v>1269</v>
      </c>
      <c r="F8" s="5" t="s">
        <v>221</v>
      </c>
      <c r="G8" s="5" t="s">
        <v>173</v>
      </c>
      <c r="H8" s="5" t="s">
        <v>438</v>
      </c>
      <c r="I8" s="5" t="s">
        <v>1270</v>
      </c>
      <c r="J8" s="5" t="s">
        <v>1271</v>
      </c>
      <c r="K8" s="5" t="n">
        <v>707</v>
      </c>
      <c r="L8" s="5" t="s">
        <v>1272</v>
      </c>
      <c r="M8" s="5" t="s">
        <v>1273</v>
      </c>
      <c r="N8" s="5" t="s">
        <v>113</v>
      </c>
      <c r="O8" s="5" t="s">
        <v>430</v>
      </c>
      <c r="P8" s="5"/>
      <c r="Q8" s="5" t="s">
        <v>1274</v>
      </c>
      <c r="R8" s="5" t="n">
        <v>0.549</v>
      </c>
      <c r="S8" s="5" t="s">
        <v>1243</v>
      </c>
      <c r="T8" s="7" t="n">
        <f aca="false">FISHER(R8)</f>
        <v>0.616948750457095</v>
      </c>
      <c r="U8" s="7" t="n">
        <f aca="false">1/(K8-3)</f>
        <v>0.00142045454545455</v>
      </c>
      <c r="V8" s="7" t="n">
        <f aca="false">SQRT(U8)</f>
        <v>0.0376889180722205</v>
      </c>
      <c r="W8" s="7" t="n">
        <f aca="false">FISHERINV(T8-1.96*V8)</f>
        <v>0.495314716389354</v>
      </c>
      <c r="X8" s="7" t="n">
        <f aca="false">FISHERINV(T8+1.96*V8)</f>
        <v>0.598507901962397</v>
      </c>
      <c r="Y8" s="7" t="n">
        <f aca="false">2*R8/SQRT(1-R8^2)</f>
        <v>1.31367628611137</v>
      </c>
      <c r="Z8" s="5" t="s">
        <v>88</v>
      </c>
      <c r="AA8" s="5" t="s">
        <v>1010</v>
      </c>
      <c r="AB8" s="14" t="n">
        <f aca="false">IF(Z8="Y",1/U8,0)</f>
        <v>704</v>
      </c>
      <c r="AC8" s="14" t="n">
        <f aca="false">AB8*T8</f>
        <v>434.331920321795</v>
      </c>
      <c r="AD8" s="14" t="n">
        <f aca="false">AB8*T8^2</f>
        <v>267.960535526162</v>
      </c>
      <c r="AE8" s="14" t="n">
        <f aca="false">AB8^2</f>
        <v>495616</v>
      </c>
    </row>
    <row r="9" customFormat="false" ht="15" hidden="false" customHeight="false" outlineLevel="0" collapsed="false">
      <c r="A9" s="5" t="s">
        <v>1275</v>
      </c>
      <c r="B9" s="5" t="s">
        <v>1266</v>
      </c>
      <c r="C9" s="5" t="s">
        <v>1267</v>
      </c>
      <c r="D9" s="5" t="s">
        <v>1268</v>
      </c>
      <c r="E9" s="5" t="s">
        <v>1269</v>
      </c>
      <c r="F9" s="5" t="s">
        <v>221</v>
      </c>
      <c r="G9" s="5" t="s">
        <v>173</v>
      </c>
      <c r="H9" s="5" t="s">
        <v>438</v>
      </c>
      <c r="I9" s="5" t="s">
        <v>1270</v>
      </c>
      <c r="J9" s="5" t="s">
        <v>1271</v>
      </c>
      <c r="K9" s="5" t="n">
        <v>707</v>
      </c>
      <c r="L9" s="5" t="s">
        <v>1272</v>
      </c>
      <c r="M9" s="5" t="s">
        <v>1276</v>
      </c>
      <c r="N9" s="5" t="s">
        <v>113</v>
      </c>
      <c r="O9" s="5" t="s">
        <v>430</v>
      </c>
      <c r="P9" s="5"/>
      <c r="Q9" s="5" t="s">
        <v>1274</v>
      </c>
      <c r="R9" s="5" t="n">
        <v>0.382</v>
      </c>
      <c r="S9" s="5" t="s">
        <v>1243</v>
      </c>
      <c r="T9" s="7" t="n">
        <f aca="false">FISHER(R9)</f>
        <v>0.402399273434962</v>
      </c>
      <c r="U9" s="7" t="n">
        <f aca="false">1/(K9-3)</f>
        <v>0.00142045454545455</v>
      </c>
      <c r="V9" s="7" t="n">
        <f aca="false">SQRT(U9)</f>
        <v>0.0376889180722205</v>
      </c>
      <c r="W9" s="7" t="n">
        <f aca="false">FISHERINV(T9-1.96*V9)</f>
        <v>0.317198393899047</v>
      </c>
      <c r="X9" s="7" t="n">
        <f aca="false">FISHERINV(T9+1.96*V9)</f>
        <v>0.443251051783049</v>
      </c>
      <c r="Y9" s="7" t="n">
        <f aca="false">2*R9/SQRT(1-R9^2)</f>
        <v>0.826694597530982</v>
      </c>
      <c r="Z9" s="5" t="s">
        <v>88</v>
      </c>
      <c r="AA9" s="5" t="s">
        <v>1010</v>
      </c>
      <c r="AB9" s="14" t="n">
        <f aca="false">IF(Z9="Y",1/U9,0)</f>
        <v>704</v>
      </c>
      <c r="AC9" s="14" t="n">
        <f aca="false">AB9*T9</f>
        <v>283.289088498213</v>
      </c>
      <c r="AD9" s="14" t="n">
        <f aca="false">AB9*T9^2</f>
        <v>113.995323383734</v>
      </c>
      <c r="AE9" s="14" t="n">
        <f aca="false">AB9^2</f>
        <v>495616</v>
      </c>
    </row>
    <row r="10" customFormat="false" ht="15" hidden="false" customHeight="false" outlineLevel="0" collapsed="false">
      <c r="A10" s="5" t="s">
        <v>1277</v>
      </c>
      <c r="B10" s="5" t="s">
        <v>1266</v>
      </c>
      <c r="C10" s="5" t="s">
        <v>1267</v>
      </c>
      <c r="D10" s="5" t="s">
        <v>1268</v>
      </c>
      <c r="E10" s="5" t="s">
        <v>1269</v>
      </c>
      <c r="F10" s="5" t="s">
        <v>221</v>
      </c>
      <c r="G10" s="5" t="s">
        <v>173</v>
      </c>
      <c r="H10" s="5" t="s">
        <v>438</v>
      </c>
      <c r="I10" s="5" t="s">
        <v>1270</v>
      </c>
      <c r="J10" s="5" t="s">
        <v>1271</v>
      </c>
      <c r="K10" s="5" t="n">
        <v>707</v>
      </c>
      <c r="L10" s="5" t="s">
        <v>1272</v>
      </c>
      <c r="M10" s="5" t="s">
        <v>1278</v>
      </c>
      <c r="N10" s="5" t="s">
        <v>113</v>
      </c>
      <c r="O10" s="5" t="s">
        <v>430</v>
      </c>
      <c r="P10" s="5"/>
      <c r="Q10" s="5" t="s">
        <v>1274</v>
      </c>
      <c r="R10" s="5" t="n">
        <v>0.358</v>
      </c>
      <c r="S10" s="5" t="s">
        <v>1243</v>
      </c>
      <c r="T10" s="7" t="n">
        <f aca="false">FISHER(R10)</f>
        <v>0.37459000221434</v>
      </c>
      <c r="U10" s="7" t="n">
        <f aca="false">1/(K10-3)</f>
        <v>0.00142045454545455</v>
      </c>
      <c r="V10" s="7" t="n">
        <f aca="false">SQRT(U10)</f>
        <v>0.0376889180722205</v>
      </c>
      <c r="W10" s="7" t="n">
        <f aca="false">FISHERINV(T10-1.96*V10)</f>
        <v>0.291971119202463</v>
      </c>
      <c r="X10" s="7" t="n">
        <f aca="false">FISHERINV(T10+1.96*V10)</f>
        <v>0.420632533155228</v>
      </c>
      <c r="Y10" s="7" t="n">
        <f aca="false">2*R10/SQRT(1-R10^2)</f>
        <v>0.76682386998673</v>
      </c>
      <c r="Z10" s="5" t="s">
        <v>88</v>
      </c>
      <c r="AA10" s="5" t="s">
        <v>1010</v>
      </c>
      <c r="AB10" s="14" t="n">
        <f aca="false">IF(Z10="Y",1/U10,0)</f>
        <v>704</v>
      </c>
      <c r="AC10" s="14" t="n">
        <f aca="false">AB10*T10</f>
        <v>263.711361558896</v>
      </c>
      <c r="AD10" s="14" t="n">
        <f aca="false">AB10*T10^2</f>
        <v>98.7836395102933</v>
      </c>
      <c r="AE10" s="14" t="n">
        <f aca="false">AB10^2</f>
        <v>495616</v>
      </c>
    </row>
    <row r="11" customFormat="false" ht="15" hidden="false" customHeight="false" outlineLevel="0" collapsed="false">
      <c r="A11" s="5" t="s">
        <v>1279</v>
      </c>
      <c r="B11" s="5" t="s">
        <v>1266</v>
      </c>
      <c r="C11" s="5" t="s">
        <v>1267</v>
      </c>
      <c r="D11" s="5" t="s">
        <v>1268</v>
      </c>
      <c r="E11" s="5" t="s">
        <v>1269</v>
      </c>
      <c r="F11" s="5" t="s">
        <v>221</v>
      </c>
      <c r="G11" s="5" t="s">
        <v>173</v>
      </c>
      <c r="H11" s="5" t="s">
        <v>438</v>
      </c>
      <c r="I11" s="5" t="s">
        <v>1270</v>
      </c>
      <c r="J11" s="5" t="s">
        <v>1271</v>
      </c>
      <c r="K11" s="5" t="n">
        <v>707</v>
      </c>
      <c r="L11" s="5" t="s">
        <v>1272</v>
      </c>
      <c r="M11" s="5" t="s">
        <v>1280</v>
      </c>
      <c r="N11" s="5" t="s">
        <v>113</v>
      </c>
      <c r="O11" s="5" t="s">
        <v>430</v>
      </c>
      <c r="P11" s="5"/>
      <c r="Q11" s="5" t="s">
        <v>1274</v>
      </c>
      <c r="R11" s="5" t="n">
        <v>0.386</v>
      </c>
      <c r="S11" s="5" t="s">
        <v>1243</v>
      </c>
      <c r="T11" s="7" t="n">
        <f aca="false">FISHER(R11)</f>
        <v>0.407091125801353</v>
      </c>
      <c r="U11" s="7" t="n">
        <f aca="false">1/(K11-3)</f>
        <v>0.00142045454545455</v>
      </c>
      <c r="V11" s="7" t="n">
        <f aca="false">SQRT(U11)</f>
        <v>0.0376889180722205</v>
      </c>
      <c r="W11" s="7" t="n">
        <f aca="false">FISHERINV(T11-1.96*V11)</f>
        <v>0.321411874756651</v>
      </c>
      <c r="X11" s="7" t="n">
        <f aca="false">FISHERINV(T11+1.96*V11)</f>
        <v>0.44701323719643</v>
      </c>
      <c r="Y11" s="7" t="n">
        <f aca="false">2*R11/SQRT(1-R11^2)</f>
        <v>0.836857474860239</v>
      </c>
      <c r="Z11" s="5" t="s">
        <v>88</v>
      </c>
      <c r="AA11" s="5" t="s">
        <v>1010</v>
      </c>
      <c r="AB11" s="14" t="n">
        <f aca="false">IF(Z11="Y",1/U11,0)</f>
        <v>704</v>
      </c>
      <c r="AC11" s="14" t="n">
        <f aca="false">AB11*T11</f>
        <v>286.592152564153</v>
      </c>
      <c r="AD11" s="14" t="n">
        <f aca="false">AB11*T11^2</f>
        <v>116.669122033174</v>
      </c>
      <c r="AE11" s="14" t="n">
        <f aca="false">AB11^2</f>
        <v>495616</v>
      </c>
    </row>
    <row r="12" customFormat="false" ht="15" hidden="false" customHeight="false" outlineLevel="0" collapsed="false">
      <c r="A12" s="5" t="s">
        <v>1281</v>
      </c>
      <c r="B12" s="5" t="s">
        <v>1282</v>
      </c>
      <c r="C12" s="5" t="s">
        <v>1283</v>
      </c>
      <c r="D12" s="5" t="s">
        <v>1284</v>
      </c>
      <c r="E12" s="5" t="s">
        <v>1285</v>
      </c>
      <c r="F12" s="5" t="s">
        <v>652</v>
      </c>
      <c r="G12" s="5" t="s">
        <v>173</v>
      </c>
      <c r="H12" s="5" t="s">
        <v>1286</v>
      </c>
      <c r="I12" s="5" t="s">
        <v>1287</v>
      </c>
      <c r="J12" s="5" t="s">
        <v>1288</v>
      </c>
      <c r="K12" s="5" t="n">
        <v>416</v>
      </c>
      <c r="L12" s="5" t="s">
        <v>1289</v>
      </c>
      <c r="M12" s="5" t="s">
        <v>986</v>
      </c>
      <c r="N12" s="5" t="s">
        <v>82</v>
      </c>
      <c r="O12" s="5" t="s">
        <v>103</v>
      </c>
      <c r="P12" s="5"/>
      <c r="Q12" s="5" t="s">
        <v>1290</v>
      </c>
      <c r="R12" s="5" t="n">
        <v>0.62</v>
      </c>
      <c r="S12" s="5" t="s">
        <v>1243</v>
      </c>
      <c r="T12" s="7" t="n">
        <f aca="false">FISHER(R12)</f>
        <v>0.725005087752999</v>
      </c>
      <c r="U12" s="7" t="n">
        <f aca="false">1/(K12-3)</f>
        <v>0.00242130750605327</v>
      </c>
      <c r="V12" s="7" t="n">
        <f aca="false">SQRT(U12)</f>
        <v>0.0492067831305123</v>
      </c>
      <c r="W12" s="7" t="n">
        <f aca="false">FISHERINV(T12-1.96*V12)</f>
        <v>0.55705972398458</v>
      </c>
      <c r="X12" s="7" t="n">
        <f aca="false">FISHERINV(T12+1.96*V12)</f>
        <v>0.675858517371127</v>
      </c>
      <c r="Y12" s="7" t="n">
        <f aca="false">2*R12/SQRT(1-R12^2)</f>
        <v>1.5804194999972</v>
      </c>
      <c r="Z12" s="5" t="s">
        <v>88</v>
      </c>
      <c r="AA12" s="5" t="s">
        <v>1291</v>
      </c>
      <c r="AB12" s="14" t="n">
        <f aca="false">IF(Z12="Y",1/U12,0)</f>
        <v>413</v>
      </c>
      <c r="AC12" s="14" t="n">
        <f aca="false">AB12*T12</f>
        <v>299.427101241989</v>
      </c>
      <c r="AD12" s="14" t="n">
        <f aca="false">AB12*T12^2</f>
        <v>217.086171811574</v>
      </c>
      <c r="AE12" s="14" t="n">
        <f aca="false">AB12^2</f>
        <v>170569</v>
      </c>
    </row>
    <row r="13" customFormat="false" ht="15" hidden="false" customHeight="false" outlineLevel="0" collapsed="false">
      <c r="A13" s="5" t="s">
        <v>1292</v>
      </c>
      <c r="B13" s="5" t="s">
        <v>1282</v>
      </c>
      <c r="C13" s="5" t="s">
        <v>1283</v>
      </c>
      <c r="D13" s="5" t="s">
        <v>1284</v>
      </c>
      <c r="E13" s="5" t="s">
        <v>1285</v>
      </c>
      <c r="F13" s="5" t="s">
        <v>652</v>
      </c>
      <c r="G13" s="5" t="s">
        <v>173</v>
      </c>
      <c r="H13" s="5" t="s">
        <v>1286</v>
      </c>
      <c r="I13" s="5" t="s">
        <v>1287</v>
      </c>
      <c r="J13" s="5" t="s">
        <v>1288</v>
      </c>
      <c r="K13" s="5" t="n">
        <v>416</v>
      </c>
      <c r="L13" s="5" t="s">
        <v>1289</v>
      </c>
      <c r="M13" s="5" t="s">
        <v>1293</v>
      </c>
      <c r="N13" s="5" t="s">
        <v>82</v>
      </c>
      <c r="O13" s="5" t="s">
        <v>83</v>
      </c>
      <c r="P13" s="5"/>
      <c r="Q13" s="5" t="s">
        <v>1294</v>
      </c>
      <c r="R13" s="5" t="n">
        <v>0.63</v>
      </c>
      <c r="S13" s="5" t="s">
        <v>1243</v>
      </c>
      <c r="T13" s="7" t="n">
        <f aca="false">FISHER(R13)</f>
        <v>0.741416144081269</v>
      </c>
      <c r="U13" s="7" t="n">
        <f aca="false">1/(K13-3)</f>
        <v>0.00242130750605327</v>
      </c>
      <c r="V13" s="7" t="n">
        <f aca="false">SQRT(U13)</f>
        <v>0.0492067831305123</v>
      </c>
      <c r="W13" s="7" t="n">
        <f aca="false">FISHERINV(T13-1.96*V13)</f>
        <v>0.568274641689746</v>
      </c>
      <c r="X13" s="7" t="n">
        <f aca="false">FISHERINV(T13+1.96*V13)</f>
        <v>0.684674677326827</v>
      </c>
      <c r="Y13" s="7" t="n">
        <f aca="false">2*R13/SQRT(1-R13^2)</f>
        <v>1.62246703215692</v>
      </c>
      <c r="Z13" s="5" t="s">
        <v>88</v>
      </c>
      <c r="AA13" s="5" t="s">
        <v>1295</v>
      </c>
      <c r="AB13" s="14" t="n">
        <f aca="false">IF(Z13="Y",1/U13,0)</f>
        <v>413</v>
      </c>
      <c r="AC13" s="14" t="n">
        <f aca="false">AB13*T13</f>
        <v>306.204867505564</v>
      </c>
      <c r="AD13" s="14" t="n">
        <f aca="false">AB13*T13^2</f>
        <v>227.025232164891</v>
      </c>
      <c r="AE13" s="14" t="n">
        <f aca="false">AB13^2</f>
        <v>170569</v>
      </c>
    </row>
    <row r="14" customFormat="false" ht="15" hidden="false" customHeight="false" outlineLevel="0" collapsed="false">
      <c r="A14" s="5" t="s">
        <v>1296</v>
      </c>
      <c r="B14" s="5" t="s">
        <v>1282</v>
      </c>
      <c r="C14" s="5" t="s">
        <v>1283</v>
      </c>
      <c r="D14" s="5" t="s">
        <v>1284</v>
      </c>
      <c r="E14" s="5" t="s">
        <v>1285</v>
      </c>
      <c r="F14" s="5" t="s">
        <v>652</v>
      </c>
      <c r="G14" s="5" t="s">
        <v>173</v>
      </c>
      <c r="H14" s="5" t="s">
        <v>1286</v>
      </c>
      <c r="I14" s="5" t="s">
        <v>1287</v>
      </c>
      <c r="J14" s="5" t="s">
        <v>1288</v>
      </c>
      <c r="K14" s="5" t="n">
        <v>416</v>
      </c>
      <c r="L14" s="5" t="s">
        <v>1289</v>
      </c>
      <c r="M14" s="5" t="s">
        <v>209</v>
      </c>
      <c r="N14" s="5" t="s">
        <v>82</v>
      </c>
      <c r="O14" s="5" t="s">
        <v>83</v>
      </c>
      <c r="P14" s="5"/>
      <c r="Q14" s="5" t="s">
        <v>1297</v>
      </c>
      <c r="R14" s="5" t="n">
        <v>0.57</v>
      </c>
      <c r="S14" s="5" t="s">
        <v>1243</v>
      </c>
      <c r="T14" s="7" t="n">
        <f aca="false">FISHER(R14)</f>
        <v>0.647522844827373</v>
      </c>
      <c r="U14" s="7" t="n">
        <f aca="false">1/(K14-3)</f>
        <v>0.00242130750605327</v>
      </c>
      <c r="V14" s="7" t="n">
        <f aca="false">SQRT(U14)</f>
        <v>0.0492067831305123</v>
      </c>
      <c r="W14" s="7" t="n">
        <f aca="false">FISHERINV(T14-1.96*V14)</f>
        <v>0.501327377118151</v>
      </c>
      <c r="X14" s="7" t="n">
        <f aca="false">FISHERINV(T14+1.96*V14)</f>
        <v>0.631536634724225</v>
      </c>
      <c r="Y14" s="7" t="n">
        <f aca="false">2*R14/SQRT(1-R14^2)</f>
        <v>1.38746104126067</v>
      </c>
      <c r="Z14" s="5" t="s">
        <v>88</v>
      </c>
      <c r="AA14" s="5" t="s">
        <v>1298</v>
      </c>
      <c r="AB14" s="14" t="n">
        <f aca="false">IF(Z14="Y",1/U14,0)</f>
        <v>413</v>
      </c>
      <c r="AC14" s="14" t="n">
        <f aca="false">AB14*T14</f>
        <v>267.426934913705</v>
      </c>
      <c r="AD14" s="14" t="n">
        <f aca="false">AB14*T14^2</f>
        <v>173.165049678787</v>
      </c>
      <c r="AE14" s="14" t="n">
        <f aca="false">AB14^2</f>
        <v>170569</v>
      </c>
    </row>
    <row r="15" customFormat="false" ht="15" hidden="false" customHeight="false" outlineLevel="0" collapsed="false">
      <c r="A15" s="5" t="s">
        <v>1299</v>
      </c>
      <c r="B15" s="5" t="s">
        <v>1282</v>
      </c>
      <c r="C15" s="5" t="s">
        <v>1283</v>
      </c>
      <c r="D15" s="5" t="s">
        <v>1284</v>
      </c>
      <c r="E15" s="5" t="s">
        <v>1285</v>
      </c>
      <c r="F15" s="5" t="s">
        <v>652</v>
      </c>
      <c r="G15" s="5" t="s">
        <v>173</v>
      </c>
      <c r="H15" s="5" t="s">
        <v>1286</v>
      </c>
      <c r="I15" s="5" t="s">
        <v>1287</v>
      </c>
      <c r="J15" s="5" t="s">
        <v>1288</v>
      </c>
      <c r="K15" s="5" t="n">
        <v>416</v>
      </c>
      <c r="L15" s="5" t="s">
        <v>1289</v>
      </c>
      <c r="M15" s="5" t="s">
        <v>727</v>
      </c>
      <c r="N15" s="5" t="s">
        <v>82</v>
      </c>
      <c r="O15" s="5" t="s">
        <v>83</v>
      </c>
      <c r="P15" s="5"/>
      <c r="Q15" s="5" t="s">
        <v>1300</v>
      </c>
      <c r="R15" s="5" t="n">
        <v>0.36</v>
      </c>
      <c r="S15" s="5" t="s">
        <v>1243</v>
      </c>
      <c r="T15" s="7" t="n">
        <f aca="false">FISHER(R15)</f>
        <v>0.37688590118819</v>
      </c>
      <c r="U15" s="7" t="n">
        <f aca="false">1/(K15-3)</f>
        <v>0.00242130750605327</v>
      </c>
      <c r="V15" s="7" t="n">
        <f aca="false">SQRT(U15)</f>
        <v>0.0492067831305123</v>
      </c>
      <c r="W15" s="7" t="n">
        <f aca="false">FISHERINV(T15-1.96*V15)</f>
        <v>0.273312822648234</v>
      </c>
      <c r="X15" s="7" t="n">
        <f aca="false">FISHERINV(T15+1.96*V15)</f>
        <v>0.440886926086689</v>
      </c>
      <c r="Y15" s="7" t="n">
        <f aca="false">2*R15/SQRT(1-R15^2)</f>
        <v>0.77174363314129</v>
      </c>
      <c r="Z15" s="5" t="s">
        <v>88</v>
      </c>
      <c r="AA15" s="5" t="s">
        <v>1301</v>
      </c>
      <c r="AB15" s="14" t="n">
        <f aca="false">IF(Z15="Y",1/U15,0)</f>
        <v>413</v>
      </c>
      <c r="AC15" s="14" t="n">
        <f aca="false">AB15*T15</f>
        <v>155.653877190723</v>
      </c>
      <c r="AD15" s="14" t="n">
        <f aca="false">AB15*T15^2</f>
        <v>58.6637517784613</v>
      </c>
      <c r="AE15" s="14" t="n">
        <f aca="false">AB15^2</f>
        <v>170569</v>
      </c>
    </row>
    <row r="16" customFormat="false" ht="15" hidden="false" customHeight="false" outlineLevel="0" collapsed="false">
      <c r="A16" s="5" t="s">
        <v>1302</v>
      </c>
      <c r="B16" s="5" t="s">
        <v>1303</v>
      </c>
      <c r="C16" s="5" t="s">
        <v>1304</v>
      </c>
      <c r="D16" s="5" t="s">
        <v>1305</v>
      </c>
      <c r="E16" s="5" t="s">
        <v>1306</v>
      </c>
      <c r="F16" s="5" t="s">
        <v>221</v>
      </c>
      <c r="G16" s="5" t="s">
        <v>173</v>
      </c>
      <c r="H16" s="5" t="s">
        <v>1307</v>
      </c>
      <c r="I16" s="5" t="s">
        <v>188</v>
      </c>
      <c r="J16" s="5" t="s">
        <v>1253</v>
      </c>
      <c r="K16" s="5" t="n">
        <v>257</v>
      </c>
      <c r="L16" s="5" t="s">
        <v>1240</v>
      </c>
      <c r="M16" s="5" t="s">
        <v>1308</v>
      </c>
      <c r="N16" s="5" t="s">
        <v>82</v>
      </c>
      <c r="O16" s="5" t="s">
        <v>191</v>
      </c>
      <c r="P16" s="5"/>
      <c r="Q16" s="5" t="s">
        <v>1309</v>
      </c>
      <c r="R16" s="5" t="n">
        <v>0.153</v>
      </c>
      <c r="S16" s="5" t="s">
        <v>1310</v>
      </c>
      <c r="T16" s="7" t="n">
        <f aca="false">FISHER(R16)</f>
        <v>0.154210912808502</v>
      </c>
      <c r="U16" s="7" t="n">
        <f aca="false">1/(K16-3)</f>
        <v>0.00393700787401575</v>
      </c>
      <c r="V16" s="7" t="n">
        <f aca="false">SQRT(U16)</f>
        <v>0.0627455805138159</v>
      </c>
      <c r="W16" s="7" t="n">
        <f aca="false">FISHERINV(T16-1.96*V16)</f>
        <v>0.0312194263677464</v>
      </c>
      <c r="X16" s="7" t="n">
        <f aca="false">FISHERINV(T16+1.96*V16)</f>
        <v>0.270304458553186</v>
      </c>
      <c r="Y16" s="7" t="n">
        <f aca="false">2*R16/SQRT(1-R16^2)</f>
        <v>0.30964571016645</v>
      </c>
      <c r="Z16" s="5" t="s">
        <v>100</v>
      </c>
      <c r="AA16" s="5" t="s">
        <v>1311</v>
      </c>
      <c r="AB16" s="14" t="n">
        <f aca="false">IF(Z16="Y",1/U16,0)</f>
        <v>0</v>
      </c>
      <c r="AC16" s="14" t="n">
        <f aca="false">AB16*T16</f>
        <v>0</v>
      </c>
      <c r="AD16" s="14" t="n">
        <f aca="false">AB16*T16^2</f>
        <v>0</v>
      </c>
      <c r="AE16" s="14" t="n">
        <f aca="false">AB16^2</f>
        <v>0</v>
      </c>
    </row>
    <row r="17" customFormat="false" ht="15" hidden="false" customHeight="false" outlineLevel="0" collapsed="false">
      <c r="A17" s="5" t="s">
        <v>1312</v>
      </c>
      <c r="B17" s="5" t="s">
        <v>1303</v>
      </c>
      <c r="C17" s="5" t="s">
        <v>1304</v>
      </c>
      <c r="D17" s="5" t="s">
        <v>1305</v>
      </c>
      <c r="E17" s="5" t="s">
        <v>1306</v>
      </c>
      <c r="F17" s="5" t="s">
        <v>221</v>
      </c>
      <c r="G17" s="5" t="s">
        <v>173</v>
      </c>
      <c r="H17" s="5" t="s">
        <v>1307</v>
      </c>
      <c r="I17" s="5" t="s">
        <v>188</v>
      </c>
      <c r="J17" s="5" t="s">
        <v>1253</v>
      </c>
      <c r="K17" s="5" t="n">
        <v>257</v>
      </c>
      <c r="L17" s="5" t="s">
        <v>1240</v>
      </c>
      <c r="M17" s="5" t="s">
        <v>1313</v>
      </c>
      <c r="N17" s="5" t="s">
        <v>113</v>
      </c>
      <c r="O17" s="5" t="s">
        <v>422</v>
      </c>
      <c r="P17" s="5"/>
      <c r="Q17" s="5" t="s">
        <v>1314</v>
      </c>
      <c r="R17" s="5" t="n">
        <v>0.503</v>
      </c>
      <c r="S17" s="5" t="s">
        <v>1310</v>
      </c>
      <c r="T17" s="7" t="n">
        <f aca="false">FISHER(R17)</f>
        <v>0.553314181828173</v>
      </c>
      <c r="U17" s="7" t="n">
        <f aca="false">1/(K17-3)</f>
        <v>0.00393700787401575</v>
      </c>
      <c r="V17" s="7" t="n">
        <f aca="false">SQRT(U17)</f>
        <v>0.0627455805138159</v>
      </c>
      <c r="W17" s="7" t="n">
        <f aca="false">FISHERINV(T17-1.96*V17)</f>
        <v>0.405599433777851</v>
      </c>
      <c r="X17" s="7" t="n">
        <f aca="false">FISHERINV(T17+1.96*V17)</f>
        <v>0.58910581718154</v>
      </c>
      <c r="Y17" s="7" t="n">
        <f aca="false">2*R17/SQRT(1-R17^2)</f>
        <v>1.1639660040439</v>
      </c>
      <c r="Z17" s="5" t="s">
        <v>100</v>
      </c>
      <c r="AA17" s="5" t="s">
        <v>1315</v>
      </c>
      <c r="AB17" s="14" t="n">
        <f aca="false">IF(Z17="Y",1/U17,0)</f>
        <v>0</v>
      </c>
      <c r="AC17" s="14" t="n">
        <f aca="false">AB17*T17</f>
        <v>0</v>
      </c>
      <c r="AD17" s="14" t="n">
        <f aca="false">AB17*T17^2</f>
        <v>0</v>
      </c>
      <c r="AE17" s="14" t="n">
        <f aca="false">AB17^2</f>
        <v>0</v>
      </c>
    </row>
    <row r="18" customFormat="false" ht="15" hidden="false" customHeight="false" outlineLevel="0" collapsed="false">
      <c r="A18" s="5" t="s">
        <v>1316</v>
      </c>
      <c r="B18" s="5" t="s">
        <v>1317</v>
      </c>
      <c r="C18" s="5" t="s">
        <v>1318</v>
      </c>
      <c r="D18" s="5" t="s">
        <v>1319</v>
      </c>
      <c r="E18" s="5" t="s">
        <v>1320</v>
      </c>
      <c r="F18" s="5" t="s">
        <v>1321</v>
      </c>
      <c r="G18" s="5" t="s">
        <v>173</v>
      </c>
      <c r="H18" s="5" t="s">
        <v>438</v>
      </c>
      <c r="I18" s="5" t="s">
        <v>1322</v>
      </c>
      <c r="J18" s="5" t="s">
        <v>1323</v>
      </c>
      <c r="K18" s="5" t="n">
        <v>304</v>
      </c>
      <c r="L18" s="5" t="s">
        <v>1324</v>
      </c>
      <c r="M18" s="5" t="s">
        <v>727</v>
      </c>
      <c r="N18" s="5" t="s">
        <v>82</v>
      </c>
      <c r="O18" s="5" t="s">
        <v>83</v>
      </c>
      <c r="P18" s="5"/>
      <c r="Q18" s="5" t="s">
        <v>1300</v>
      </c>
      <c r="R18" s="5" t="n">
        <v>0.278</v>
      </c>
      <c r="S18" s="5" t="s">
        <v>1243</v>
      </c>
      <c r="T18" s="7" t="n">
        <f aca="false">FISHER(R18)</f>
        <v>0.285513248022327</v>
      </c>
      <c r="U18" s="7" t="n">
        <f aca="false">1/(K18-3)</f>
        <v>0.00332225913621262</v>
      </c>
      <c r="V18" s="7" t="n">
        <f aca="false">SQRT(U18)</f>
        <v>0.0576390417704235</v>
      </c>
      <c r="W18" s="7" t="n">
        <f aca="false">FISHERINV(T18-1.96*V18)</f>
        <v>0.170848675919651</v>
      </c>
      <c r="X18" s="7" t="n">
        <f aca="false">FISHERINV(T18+1.96*V18)</f>
        <v>0.378652583389035</v>
      </c>
      <c r="Y18" s="7" t="n">
        <f aca="false">2*R18/SQRT(1-R18^2)</f>
        <v>0.578816317505072</v>
      </c>
      <c r="Z18" s="5" t="s">
        <v>88</v>
      </c>
      <c r="AA18" s="5" t="s">
        <v>834</v>
      </c>
      <c r="AB18" s="14" t="n">
        <f aca="false">IF(Z18="Y",1/U18,0)</f>
        <v>301</v>
      </c>
      <c r="AC18" s="14" t="n">
        <f aca="false">AB18*T18</f>
        <v>85.9394876547204</v>
      </c>
      <c r="AD18" s="14" t="n">
        <f aca="false">AB18*T18^2</f>
        <v>24.5368622536739</v>
      </c>
      <c r="AE18" s="14" t="n">
        <f aca="false">AB18^2</f>
        <v>90601</v>
      </c>
    </row>
    <row r="19" customFormat="false" ht="15" hidden="false" customHeight="false" outlineLevel="0" collapsed="false">
      <c r="A19" s="5" t="s">
        <v>1325</v>
      </c>
      <c r="B19" s="5" t="s">
        <v>1317</v>
      </c>
      <c r="C19" s="5" t="s">
        <v>1318</v>
      </c>
      <c r="D19" s="5" t="s">
        <v>1319</v>
      </c>
      <c r="E19" s="5" t="s">
        <v>1320</v>
      </c>
      <c r="F19" s="5" t="s">
        <v>1321</v>
      </c>
      <c r="G19" s="5" t="s">
        <v>173</v>
      </c>
      <c r="H19" s="5" t="s">
        <v>438</v>
      </c>
      <c r="I19" s="5" t="s">
        <v>1322</v>
      </c>
      <c r="J19" s="5" t="s">
        <v>1323</v>
      </c>
      <c r="K19" s="5" t="n">
        <v>304</v>
      </c>
      <c r="L19" s="5" t="s">
        <v>1326</v>
      </c>
      <c r="M19" s="5" t="s">
        <v>727</v>
      </c>
      <c r="N19" s="5" t="s">
        <v>82</v>
      </c>
      <c r="O19" s="5" t="s">
        <v>83</v>
      </c>
      <c r="P19" s="5"/>
      <c r="Q19" s="5" t="s">
        <v>1300</v>
      </c>
      <c r="R19" s="5" t="n">
        <v>0.233</v>
      </c>
      <c r="S19" s="5" t="s">
        <v>1243</v>
      </c>
      <c r="T19" s="7" t="n">
        <f aca="false">FISHER(R19)</f>
        <v>0.237359350898544</v>
      </c>
      <c r="U19" s="7" t="n">
        <f aca="false">1/(K19-3)</f>
        <v>0.00332225913621262</v>
      </c>
      <c r="V19" s="7" t="n">
        <f aca="false">SQRT(U19)</f>
        <v>0.0576390417704235</v>
      </c>
      <c r="W19" s="7" t="n">
        <f aca="false">FISHERINV(T19-1.96*V19)</f>
        <v>0.123749266714161</v>
      </c>
      <c r="X19" s="7" t="n">
        <f aca="false">FISHERINV(T19+1.96*V19)</f>
        <v>0.336669833333258</v>
      </c>
      <c r="Y19" s="7" t="n">
        <f aca="false">2*R19/SQRT(1-R19^2)</f>
        <v>0.479188841498243</v>
      </c>
      <c r="Z19" s="5" t="s">
        <v>88</v>
      </c>
      <c r="AA19" s="5" t="s">
        <v>834</v>
      </c>
      <c r="AB19" s="14" t="n">
        <f aca="false">IF(Z19="Y",1/U19,0)</f>
        <v>301</v>
      </c>
      <c r="AC19" s="14" t="n">
        <f aca="false">AB19*T19</f>
        <v>71.4451646204618</v>
      </c>
      <c r="AD19" s="14" t="n">
        <f aca="false">AB19*T19^2</f>
        <v>16.9581778991524</v>
      </c>
      <c r="AE19" s="14" t="n">
        <f aca="false">AB19^2</f>
        <v>90601</v>
      </c>
    </row>
    <row r="20" customFormat="false" ht="15" hidden="false" customHeight="false" outlineLevel="0" collapsed="false">
      <c r="A20" s="5" t="s">
        <v>1327</v>
      </c>
      <c r="B20" s="5" t="s">
        <v>1317</v>
      </c>
      <c r="C20" s="5" t="s">
        <v>1318</v>
      </c>
      <c r="D20" s="5" t="s">
        <v>1319</v>
      </c>
      <c r="E20" s="5" t="s">
        <v>1320</v>
      </c>
      <c r="F20" s="5" t="s">
        <v>1321</v>
      </c>
      <c r="G20" s="5" t="s">
        <v>173</v>
      </c>
      <c r="H20" s="5" t="s">
        <v>438</v>
      </c>
      <c r="I20" s="5" t="s">
        <v>1322</v>
      </c>
      <c r="J20" s="5" t="s">
        <v>1323</v>
      </c>
      <c r="K20" s="5" t="n">
        <v>304</v>
      </c>
      <c r="L20" s="5" t="s">
        <v>1328</v>
      </c>
      <c r="M20" s="5" t="s">
        <v>727</v>
      </c>
      <c r="N20" s="5" t="s">
        <v>82</v>
      </c>
      <c r="O20" s="5" t="s">
        <v>83</v>
      </c>
      <c r="P20" s="5"/>
      <c r="Q20" s="5" t="s">
        <v>1300</v>
      </c>
      <c r="R20" s="5" t="n">
        <v>0.187</v>
      </c>
      <c r="S20" s="5" t="s">
        <v>1243</v>
      </c>
      <c r="T20" s="7" t="n">
        <f aca="false">FISHER(R20)</f>
        <v>0.189226642530929</v>
      </c>
      <c r="U20" s="7" t="n">
        <f aca="false">1/(K20-3)</f>
        <v>0.00332225913621262</v>
      </c>
      <c r="V20" s="7" t="n">
        <f aca="false">SQRT(U20)</f>
        <v>0.0576390417704235</v>
      </c>
      <c r="W20" s="7" t="n">
        <f aca="false">FISHERINV(T20-1.96*V20)</f>
        <v>0.0761066655661086</v>
      </c>
      <c r="X20" s="7" t="n">
        <f aca="false">FISHERINV(T20+1.96*V20)</f>
        <v>0.293323857345068</v>
      </c>
      <c r="Y20" s="7" t="n">
        <f aca="false">2*R20/SQRT(1-R20^2)</f>
        <v>0.380715860646235</v>
      </c>
      <c r="Z20" s="5" t="s">
        <v>88</v>
      </c>
      <c r="AA20" s="5" t="s">
        <v>834</v>
      </c>
      <c r="AB20" s="14" t="n">
        <f aca="false">IF(Z20="Y",1/U20,0)</f>
        <v>301</v>
      </c>
      <c r="AC20" s="14" t="n">
        <f aca="false">AB20*T20</f>
        <v>56.9572194018095</v>
      </c>
      <c r="AD20" s="14" t="n">
        <f aca="false">AB20*T20^2</f>
        <v>10.7778233953019</v>
      </c>
      <c r="AE20" s="14" t="n">
        <f aca="false">AB20^2</f>
        <v>90601</v>
      </c>
    </row>
    <row r="21" customFormat="false" ht="15" hidden="false" customHeight="false" outlineLevel="0" collapsed="false">
      <c r="A21" s="5" t="s">
        <v>1329</v>
      </c>
      <c r="B21" s="5" t="s">
        <v>1330</v>
      </c>
      <c r="C21" s="5" t="s">
        <v>1331</v>
      </c>
      <c r="D21" s="5" t="s">
        <v>1332</v>
      </c>
      <c r="E21" s="5" t="s">
        <v>1333</v>
      </c>
      <c r="F21" s="5" t="s">
        <v>221</v>
      </c>
      <c r="G21" s="5" t="s">
        <v>173</v>
      </c>
      <c r="H21" s="5" t="s">
        <v>438</v>
      </c>
      <c r="I21" s="5" t="s">
        <v>188</v>
      </c>
      <c r="J21" s="5" t="s">
        <v>1334</v>
      </c>
      <c r="K21" s="5" t="n">
        <v>721</v>
      </c>
      <c r="L21" s="5" t="s">
        <v>1335</v>
      </c>
      <c r="M21" s="5" t="s">
        <v>1336</v>
      </c>
      <c r="N21" s="5" t="s">
        <v>113</v>
      </c>
      <c r="O21" s="5" t="s">
        <v>430</v>
      </c>
      <c r="P21" s="5"/>
      <c r="Q21" s="5" t="s">
        <v>1337</v>
      </c>
      <c r="R21" s="5" t="n">
        <v>0.314</v>
      </c>
      <c r="S21" s="5" t="s">
        <v>1310</v>
      </c>
      <c r="T21" s="7" t="n">
        <f aca="false">FISHER(R21)</f>
        <v>0.324976785659335</v>
      </c>
      <c r="U21" s="7" t="n">
        <f aca="false">1/(K21-3)</f>
        <v>0.00139275766016713</v>
      </c>
      <c r="V21" s="7" t="n">
        <f aca="false">SQRT(U21)</f>
        <v>0.0373196685431038</v>
      </c>
      <c r="W21" s="7" t="n">
        <f aca="false">FISHERINV(T21-1.96*V21)</f>
        <v>0.24663833799662</v>
      </c>
      <c r="X21" s="7" t="n">
        <f aca="false">FISHERINV(T21+1.96*V21)</f>
        <v>0.378342071866509</v>
      </c>
      <c r="Y21" s="7" t="n">
        <f aca="false">2*R21/SQRT(1-R21^2)</f>
        <v>0.661454390161886</v>
      </c>
      <c r="Z21" s="5" t="s">
        <v>100</v>
      </c>
      <c r="AA21" s="5" t="s">
        <v>1338</v>
      </c>
      <c r="AB21" s="14" t="n">
        <f aca="false">IF(Z21="Y",1/U21,0)</f>
        <v>0</v>
      </c>
      <c r="AC21" s="14" t="n">
        <f aca="false">AB21*T21</f>
        <v>0</v>
      </c>
      <c r="AD21" s="14" t="n">
        <f aca="false">AB21*T21^2</f>
        <v>0</v>
      </c>
      <c r="AE21" s="14" t="n">
        <f aca="false">AB21^2</f>
        <v>0</v>
      </c>
    </row>
    <row r="22" customFormat="false" ht="15" hidden="false" customHeight="false" outlineLevel="0" collapsed="false">
      <c r="A22" s="5" t="s">
        <v>1339</v>
      </c>
      <c r="B22" s="5" t="s">
        <v>1330</v>
      </c>
      <c r="C22" s="5" t="s">
        <v>1331</v>
      </c>
      <c r="D22" s="5" t="s">
        <v>1332</v>
      </c>
      <c r="E22" s="5" t="s">
        <v>1333</v>
      </c>
      <c r="F22" s="5" t="s">
        <v>221</v>
      </c>
      <c r="G22" s="5" t="s">
        <v>173</v>
      </c>
      <c r="H22" s="5" t="s">
        <v>438</v>
      </c>
      <c r="I22" s="5" t="s">
        <v>188</v>
      </c>
      <c r="J22" s="5" t="s">
        <v>1334</v>
      </c>
      <c r="K22" s="5" t="n">
        <v>721</v>
      </c>
      <c r="L22" s="5" t="s">
        <v>1340</v>
      </c>
      <c r="M22" s="5" t="s">
        <v>1336</v>
      </c>
      <c r="N22" s="5" t="s">
        <v>113</v>
      </c>
      <c r="O22" s="5" t="s">
        <v>430</v>
      </c>
      <c r="P22" s="5"/>
      <c r="Q22" s="5" t="s">
        <v>1337</v>
      </c>
      <c r="R22" s="5" t="n">
        <v>0.234</v>
      </c>
      <c r="S22" s="5" t="s">
        <v>1310</v>
      </c>
      <c r="T22" s="7" t="n">
        <f aca="false">FISHER(R22)</f>
        <v>0.238417017362371</v>
      </c>
      <c r="U22" s="7" t="n">
        <f aca="false">1/(K22-3)</f>
        <v>0.00139275766016713</v>
      </c>
      <c r="V22" s="7" t="n">
        <f aca="false">SQRT(U22)</f>
        <v>0.0373196685431038</v>
      </c>
      <c r="W22" s="7" t="n">
        <f aca="false">FISHERINV(T22-1.96*V22)</f>
        <v>0.163781977203044</v>
      </c>
      <c r="X22" s="7" t="n">
        <f aca="false">FISHERINV(T22+1.96*V22)</f>
        <v>0.301858864364484</v>
      </c>
      <c r="Y22" s="7" t="n">
        <f aca="false">2*R22/SQRT(1-R22^2)</f>
        <v>0.48136431150534</v>
      </c>
      <c r="Z22" s="5" t="s">
        <v>100</v>
      </c>
      <c r="AA22" s="5" t="s">
        <v>1341</v>
      </c>
      <c r="AB22" s="14" t="n">
        <f aca="false">IF(Z22="Y",1/U22,0)</f>
        <v>0</v>
      </c>
      <c r="AC22" s="14" t="n">
        <f aca="false">AB22*T22</f>
        <v>0</v>
      </c>
      <c r="AD22" s="14" t="n">
        <f aca="false">AB22*T22^2</f>
        <v>0</v>
      </c>
      <c r="AE22" s="14" t="n">
        <f aca="false">AB22^2</f>
        <v>0</v>
      </c>
    </row>
    <row r="23" customFormat="false" ht="15" hidden="false" customHeight="false" outlineLevel="0" collapsed="false">
      <c r="A23" s="5" t="s">
        <v>1342</v>
      </c>
      <c r="B23" s="5" t="s">
        <v>1343</v>
      </c>
      <c r="C23" s="5" t="s">
        <v>1344</v>
      </c>
      <c r="D23" s="5" t="s">
        <v>1345</v>
      </c>
      <c r="E23" s="5" t="s">
        <v>1346</v>
      </c>
      <c r="F23" s="5" t="s">
        <v>221</v>
      </c>
      <c r="G23" s="5" t="s">
        <v>173</v>
      </c>
      <c r="H23" s="5" t="s">
        <v>281</v>
      </c>
      <c r="I23" s="5" t="s">
        <v>1347</v>
      </c>
      <c r="J23" s="5" t="s">
        <v>1348</v>
      </c>
      <c r="K23" s="5" t="n">
        <v>158</v>
      </c>
      <c r="L23" s="5" t="s">
        <v>1349</v>
      </c>
      <c r="M23" s="5" t="s">
        <v>1350</v>
      </c>
      <c r="N23" s="5" t="s">
        <v>82</v>
      </c>
      <c r="O23" s="5" t="s">
        <v>191</v>
      </c>
      <c r="P23" s="5"/>
      <c r="Q23" s="5" t="s">
        <v>1351</v>
      </c>
      <c r="R23" s="5" t="n">
        <v>0.32</v>
      </c>
      <c r="S23" s="5" t="s">
        <v>1257</v>
      </c>
      <c r="T23" s="7" t="n">
        <f aca="false">FISHER(R23)</f>
        <v>0.331647108705132</v>
      </c>
      <c r="U23" s="7" t="n">
        <f aca="false">1/(K23-3)</f>
        <v>0.00645161290322581</v>
      </c>
      <c r="V23" s="7" t="n">
        <f aca="false">SQRT(U23)</f>
        <v>0.0803219328902499</v>
      </c>
      <c r="W23" s="7" t="n">
        <f aca="false">FISHERINV(T23-1.96*V23)</f>
        <v>0.172474699524568</v>
      </c>
      <c r="X23" s="7" t="n">
        <f aca="false">FISHERINV(T23+1.96*V23)</f>
        <v>0.453484423675749</v>
      </c>
      <c r="Y23" s="7" t="n">
        <f aca="false">2*R23/SQRT(1-R23^2)</f>
        <v>0.675520529473199</v>
      </c>
      <c r="Z23" s="5" t="s">
        <v>88</v>
      </c>
      <c r="AA23" s="5" t="s">
        <v>291</v>
      </c>
      <c r="AB23" s="14" t="n">
        <f aca="false">IF(Z23="Y",1/U23,0)</f>
        <v>155</v>
      </c>
      <c r="AC23" s="14" t="n">
        <f aca="false">AB23*T23</f>
        <v>51.4053018492955</v>
      </c>
      <c r="AD23" s="14" t="n">
        <f aca="false">AB23*T23^2</f>
        <v>17.0484197304334</v>
      </c>
      <c r="AE23" s="14" t="n">
        <f aca="false">AB23^2</f>
        <v>24025</v>
      </c>
    </row>
    <row r="24" customFormat="false" ht="15" hidden="false" customHeight="false" outlineLevel="0" collapsed="false">
      <c r="A24" s="5" t="s">
        <v>1352</v>
      </c>
      <c r="B24" s="5" t="s">
        <v>1343</v>
      </c>
      <c r="C24" s="5" t="s">
        <v>1344</v>
      </c>
      <c r="D24" s="5" t="s">
        <v>1345</v>
      </c>
      <c r="E24" s="5" t="s">
        <v>1346</v>
      </c>
      <c r="F24" s="5" t="s">
        <v>221</v>
      </c>
      <c r="G24" s="5" t="s">
        <v>173</v>
      </c>
      <c r="H24" s="5" t="s">
        <v>281</v>
      </c>
      <c r="I24" s="5" t="s">
        <v>1347</v>
      </c>
      <c r="J24" s="5" t="s">
        <v>1348</v>
      </c>
      <c r="K24" s="5" t="n">
        <v>158</v>
      </c>
      <c r="L24" s="5" t="s">
        <v>1349</v>
      </c>
      <c r="M24" s="5" t="s">
        <v>1353</v>
      </c>
      <c r="N24" s="5" t="s">
        <v>82</v>
      </c>
      <c r="O24" s="5" t="s">
        <v>83</v>
      </c>
      <c r="P24" s="5"/>
      <c r="Q24" s="5" t="s">
        <v>1354</v>
      </c>
      <c r="R24" s="5" t="n">
        <v>0.251</v>
      </c>
      <c r="S24" s="5" t="s">
        <v>1257</v>
      </c>
      <c r="T24" s="7" t="n">
        <f aca="false">FISHER(R24)</f>
        <v>0.256479763474846</v>
      </c>
      <c r="U24" s="7" t="n">
        <f aca="false">1/(K24-3)</f>
        <v>0.00645161290322581</v>
      </c>
      <c r="V24" s="7" t="n">
        <f aca="false">SQRT(U24)</f>
        <v>0.0803219328902499</v>
      </c>
      <c r="W24" s="7" t="n">
        <f aca="false">FISHERINV(T24-1.96*V24)</f>
        <v>0.0987261298162949</v>
      </c>
      <c r="X24" s="7" t="n">
        <f aca="false">FISHERINV(T24+1.96*V24)</f>
        <v>0.391788202667332</v>
      </c>
      <c r="Y24" s="7" t="n">
        <f aca="false">2*R24/SQRT(1-R24^2)</f>
        <v>0.518601959573857</v>
      </c>
      <c r="Z24" s="5" t="s">
        <v>88</v>
      </c>
      <c r="AA24" s="5" t="s">
        <v>291</v>
      </c>
      <c r="AB24" s="14" t="n">
        <f aca="false">IF(Z24="Y",1/U24,0)</f>
        <v>155</v>
      </c>
      <c r="AC24" s="14" t="n">
        <f aca="false">AB24*T24</f>
        <v>39.7543633386011</v>
      </c>
      <c r="AD24" s="14" t="n">
        <f aca="false">AB24*T24^2</f>
        <v>10.1961897061775</v>
      </c>
      <c r="AE24" s="14" t="n">
        <f aca="false">AB24^2</f>
        <v>24025</v>
      </c>
    </row>
    <row r="25" customFormat="false" ht="15" hidden="false" customHeight="false" outlineLevel="0" collapsed="false">
      <c r="A25" s="5" t="s">
        <v>1355</v>
      </c>
      <c r="B25" s="5" t="s">
        <v>1343</v>
      </c>
      <c r="C25" s="5" t="s">
        <v>1344</v>
      </c>
      <c r="D25" s="5" t="s">
        <v>1345</v>
      </c>
      <c r="E25" s="5" t="s">
        <v>1346</v>
      </c>
      <c r="F25" s="5" t="s">
        <v>221</v>
      </c>
      <c r="G25" s="5" t="s">
        <v>173</v>
      </c>
      <c r="H25" s="5" t="s">
        <v>281</v>
      </c>
      <c r="I25" s="5" t="s">
        <v>1347</v>
      </c>
      <c r="J25" s="5" t="s">
        <v>1348</v>
      </c>
      <c r="K25" s="5" t="n">
        <v>158</v>
      </c>
      <c r="L25" s="5" t="s">
        <v>1349</v>
      </c>
      <c r="M25" s="5" t="s">
        <v>114</v>
      </c>
      <c r="N25" s="5" t="s">
        <v>113</v>
      </c>
      <c r="O25" s="5" t="s">
        <v>114</v>
      </c>
      <c r="P25" s="5" t="s">
        <v>125</v>
      </c>
      <c r="Q25" s="5" t="s">
        <v>1356</v>
      </c>
      <c r="R25" s="5" t="n">
        <v>0.154</v>
      </c>
      <c r="S25" s="5" t="s">
        <v>1257</v>
      </c>
      <c r="T25" s="7" t="n">
        <f aca="false">FISHER(R25)</f>
        <v>0.155235043730911</v>
      </c>
      <c r="U25" s="7" t="n">
        <f aca="false">1/(K25-3)</f>
        <v>0.00645161290322581</v>
      </c>
      <c r="V25" s="7" t="n">
        <f aca="false">SQRT(U25)</f>
        <v>0.0803219328902499</v>
      </c>
      <c r="W25" s="7" t="n">
        <f aca="false">FISHERINV(T25-1.96*V25)</f>
        <v>-0.0021959412042438</v>
      </c>
      <c r="X25" s="7" t="n">
        <f aca="false">FISHERINV(T25+1.96*V25)</f>
        <v>0.302860539888729</v>
      </c>
      <c r="Y25" s="7" t="n">
        <f aca="false">2*R25/SQRT(1-R25^2)</f>
        <v>0.311718537925413</v>
      </c>
      <c r="Z25" s="5" t="s">
        <v>88</v>
      </c>
      <c r="AA25" s="5" t="s">
        <v>291</v>
      </c>
      <c r="AB25" s="14" t="n">
        <f aca="false">IF(Z25="Y",1/U25,0)</f>
        <v>155</v>
      </c>
      <c r="AC25" s="14" t="n">
        <f aca="false">AB25*T25</f>
        <v>24.0614317782912</v>
      </c>
      <c r="AD25" s="14" t="n">
        <f aca="false">AB25*T25^2</f>
        <v>3.73517741433136</v>
      </c>
      <c r="AE25" s="14" t="n">
        <f aca="false">AB25^2</f>
        <v>24025</v>
      </c>
    </row>
    <row r="26" customFormat="false" ht="15" hidden="false" customHeight="false" outlineLevel="0" collapsed="false">
      <c r="A26" s="5" t="s">
        <v>1357</v>
      </c>
      <c r="B26" s="5" t="s">
        <v>1343</v>
      </c>
      <c r="C26" s="5" t="s">
        <v>1344</v>
      </c>
      <c r="D26" s="5" t="s">
        <v>1345</v>
      </c>
      <c r="E26" s="5" t="s">
        <v>1346</v>
      </c>
      <c r="F26" s="5" t="s">
        <v>221</v>
      </c>
      <c r="G26" s="5" t="s">
        <v>173</v>
      </c>
      <c r="H26" s="5" t="s">
        <v>281</v>
      </c>
      <c r="I26" s="5" t="s">
        <v>1347</v>
      </c>
      <c r="J26" s="5" t="s">
        <v>1348</v>
      </c>
      <c r="K26" s="5" t="n">
        <v>158</v>
      </c>
      <c r="L26" s="5" t="s">
        <v>1349</v>
      </c>
      <c r="M26" s="5" t="s">
        <v>640</v>
      </c>
      <c r="N26" s="5" t="s">
        <v>113</v>
      </c>
      <c r="O26" s="5" t="s">
        <v>422</v>
      </c>
      <c r="P26" s="5"/>
      <c r="Q26" s="5" t="s">
        <v>1358</v>
      </c>
      <c r="R26" s="5" t="n">
        <v>0.295</v>
      </c>
      <c r="S26" s="5" t="s">
        <v>1257</v>
      </c>
      <c r="T26" s="7" t="n">
        <f aca="false">FISHER(R26)</f>
        <v>0.304034085660685</v>
      </c>
      <c r="U26" s="7" t="n">
        <f aca="false">1/(K26-3)</f>
        <v>0.00645161290322581</v>
      </c>
      <c r="V26" s="7" t="n">
        <f aca="false">SQRT(U26)</f>
        <v>0.0803219328902499</v>
      </c>
      <c r="W26" s="7" t="n">
        <f aca="false">FISHERINV(T26-1.96*V26)</f>
        <v>0.145561761169333</v>
      </c>
      <c r="X26" s="7" t="n">
        <f aca="false">FISHERINV(T26+1.96*V26)</f>
        <v>0.431277534435124</v>
      </c>
      <c r="Y26" s="7" t="n">
        <f aca="false">2*R26/SQRT(1-R26^2)</f>
        <v>0.617479535714065</v>
      </c>
      <c r="Z26" s="5" t="s">
        <v>88</v>
      </c>
      <c r="AA26" s="5" t="s">
        <v>291</v>
      </c>
      <c r="AB26" s="14" t="n">
        <f aca="false">IF(Z26="Y",1/U26,0)</f>
        <v>155</v>
      </c>
      <c r="AC26" s="14" t="n">
        <f aca="false">AB26*T26</f>
        <v>47.1252832774061</v>
      </c>
      <c r="AD26" s="14" t="n">
        <f aca="false">AB26*T26^2</f>
        <v>14.3276924127469</v>
      </c>
      <c r="AE26" s="14" t="n">
        <f aca="false">AB26^2</f>
        <v>24025</v>
      </c>
    </row>
    <row r="27" customFormat="false" ht="15" hidden="false" customHeight="false" outlineLevel="0" collapsed="false">
      <c r="A27" s="5" t="s">
        <v>1359</v>
      </c>
      <c r="B27" s="5" t="s">
        <v>1343</v>
      </c>
      <c r="C27" s="5" t="s">
        <v>1344</v>
      </c>
      <c r="D27" s="5" t="s">
        <v>1345</v>
      </c>
      <c r="E27" s="5" t="s">
        <v>1346</v>
      </c>
      <c r="F27" s="5" t="s">
        <v>221</v>
      </c>
      <c r="G27" s="5" t="s">
        <v>173</v>
      </c>
      <c r="H27" s="5" t="s">
        <v>281</v>
      </c>
      <c r="I27" s="5" t="s">
        <v>1347</v>
      </c>
      <c r="J27" s="5" t="s">
        <v>1348</v>
      </c>
      <c r="K27" s="5" t="n">
        <v>158</v>
      </c>
      <c r="L27" s="5" t="s">
        <v>1349</v>
      </c>
      <c r="M27" s="5" t="s">
        <v>1360</v>
      </c>
      <c r="N27" s="5" t="s">
        <v>113</v>
      </c>
      <c r="O27" s="5" t="s">
        <v>422</v>
      </c>
      <c r="P27" s="5"/>
      <c r="Q27" s="5" t="s">
        <v>1361</v>
      </c>
      <c r="R27" s="5" t="n">
        <v>0.005</v>
      </c>
      <c r="S27" s="5" t="s">
        <v>1257</v>
      </c>
      <c r="T27" s="7" t="n">
        <f aca="false">FISHER(R27)</f>
        <v>0.00500004166729168</v>
      </c>
      <c r="U27" s="7" t="n">
        <f aca="false">1/(K27-3)</f>
        <v>0.00645161290322581</v>
      </c>
      <c r="V27" s="7" t="n">
        <f aca="false">SQRT(U27)</f>
        <v>0.0803219328902499</v>
      </c>
      <c r="W27" s="7" t="n">
        <f aca="false">FISHERINV(T27-1.96*V27)</f>
        <v>-0.151261229522038</v>
      </c>
      <c r="X27" s="7" t="n">
        <f aca="false">FISHERINV(T27+1.96*V27)</f>
        <v>0.161017428674701</v>
      </c>
      <c r="Y27" s="7" t="n">
        <f aca="false">2*R27/SQRT(1-R27^2)</f>
        <v>0.0100001250023438</v>
      </c>
      <c r="Z27" s="5" t="s">
        <v>88</v>
      </c>
      <c r="AA27" s="5" t="s">
        <v>1362</v>
      </c>
      <c r="AB27" s="14" t="n">
        <f aca="false">IF(Z27="Y",1/U27,0)</f>
        <v>155</v>
      </c>
      <c r="AC27" s="14" t="n">
        <f aca="false">AB27*T27</f>
        <v>0.77500645843021</v>
      </c>
      <c r="AD27" s="14" t="n">
        <f aca="false">AB27*T27^2</f>
        <v>0.00387506458457121</v>
      </c>
      <c r="AE27" s="14" t="n">
        <f aca="false">AB27^2</f>
        <v>24025</v>
      </c>
    </row>
    <row r="28" customFormat="false" ht="15" hidden="false" customHeight="false" outlineLevel="0" collapsed="false">
      <c r="A28" s="5" t="s">
        <v>1363</v>
      </c>
      <c r="B28" s="5" t="s">
        <v>1343</v>
      </c>
      <c r="C28" s="5" t="s">
        <v>1344</v>
      </c>
      <c r="D28" s="5" t="s">
        <v>1345</v>
      </c>
      <c r="E28" s="5" t="s">
        <v>1346</v>
      </c>
      <c r="F28" s="5" t="s">
        <v>221</v>
      </c>
      <c r="G28" s="5" t="s">
        <v>173</v>
      </c>
      <c r="H28" s="5" t="s">
        <v>281</v>
      </c>
      <c r="I28" s="5" t="s">
        <v>1347</v>
      </c>
      <c r="J28" s="5" t="s">
        <v>1348</v>
      </c>
      <c r="K28" s="5" t="n">
        <v>158</v>
      </c>
      <c r="L28" s="5" t="s">
        <v>1349</v>
      </c>
      <c r="M28" s="5" t="s">
        <v>1364</v>
      </c>
      <c r="N28" s="5" t="s">
        <v>113</v>
      </c>
      <c r="O28" s="5" t="s">
        <v>425</v>
      </c>
      <c r="P28" s="5"/>
      <c r="Q28" s="5" t="s">
        <v>1365</v>
      </c>
      <c r="R28" s="5" t="n">
        <v>0.197</v>
      </c>
      <c r="S28" s="5" t="s">
        <v>1257</v>
      </c>
      <c r="T28" s="7" t="n">
        <f aca="false">FISHER(R28)</f>
        <v>0.199609495805606</v>
      </c>
      <c r="U28" s="7" t="n">
        <f aca="false">1/(K28-3)</f>
        <v>0.00645161290322581</v>
      </c>
      <c r="V28" s="7" t="n">
        <f aca="false">SQRT(U28)</f>
        <v>0.0803219328902499</v>
      </c>
      <c r="W28" s="7" t="n">
        <f aca="false">FISHERINV(T28-1.96*V28)</f>
        <v>0.0421535128997046</v>
      </c>
      <c r="X28" s="7" t="n">
        <f aca="false">FISHERINV(T28+1.96*V28)</f>
        <v>0.342604553573156</v>
      </c>
      <c r="Y28" s="7" t="n">
        <f aca="false">2*R28/SQRT(1-R28^2)</f>
        <v>0.401875355071114</v>
      </c>
      <c r="Z28" s="5" t="s">
        <v>88</v>
      </c>
      <c r="AA28" s="5" t="s">
        <v>291</v>
      </c>
      <c r="AB28" s="14" t="n">
        <f aca="false">IF(Z28="Y",1/U28,0)</f>
        <v>155</v>
      </c>
      <c r="AC28" s="14" t="n">
        <f aca="false">AB28*T28</f>
        <v>30.9394718498689</v>
      </c>
      <c r="AD28" s="14" t="n">
        <f aca="false">AB28*T28^2</f>
        <v>6.17581237644406</v>
      </c>
      <c r="AE28" s="14" t="n">
        <f aca="false">AB28^2</f>
        <v>24025</v>
      </c>
    </row>
    <row r="29" customFormat="false" ht="15" hidden="false" customHeight="false" outlineLevel="0" collapsed="false">
      <c r="A29" s="5" t="s">
        <v>1366</v>
      </c>
      <c r="B29" s="5" t="s">
        <v>1367</v>
      </c>
      <c r="C29" s="5" t="s">
        <v>1368</v>
      </c>
      <c r="D29" s="5" t="s">
        <v>1369</v>
      </c>
      <c r="E29" s="5" t="s">
        <v>1306</v>
      </c>
      <c r="F29" s="5" t="s">
        <v>221</v>
      </c>
      <c r="G29" s="5" t="s">
        <v>173</v>
      </c>
      <c r="H29" s="5" t="s">
        <v>438</v>
      </c>
      <c r="I29" s="5" t="s">
        <v>1370</v>
      </c>
      <c r="J29" s="5" t="s">
        <v>1371</v>
      </c>
      <c r="K29" s="5" t="n">
        <v>451</v>
      </c>
      <c r="L29" s="5" t="s">
        <v>1372</v>
      </c>
      <c r="M29" s="5" t="s">
        <v>1373</v>
      </c>
      <c r="N29" s="5" t="s">
        <v>82</v>
      </c>
      <c r="O29" s="5" t="s">
        <v>83</v>
      </c>
      <c r="P29" s="5"/>
      <c r="Q29" s="5" t="s">
        <v>1374</v>
      </c>
      <c r="R29" s="5" t="n">
        <v>0.365</v>
      </c>
      <c r="S29" s="5" t="s">
        <v>1243</v>
      </c>
      <c r="T29" s="7" t="n">
        <f aca="false">FISHER(R29)</f>
        <v>0.382642354363184</v>
      </c>
      <c r="U29" s="7" t="n">
        <f aca="false">1/(K29-3)</f>
        <v>0.00223214285714286</v>
      </c>
      <c r="V29" s="7" t="n">
        <f aca="false">SQRT(U29)</f>
        <v>0.0472455591261534</v>
      </c>
      <c r="W29" s="7" t="n">
        <f aca="false">FISHERINV(T29-1.96*V29)</f>
        <v>0.282172602450939</v>
      </c>
      <c r="X29" s="7" t="n">
        <f aca="false">FISHERINV(T29+1.96*V29)</f>
        <v>0.442426335059532</v>
      </c>
      <c r="Y29" s="7" t="n">
        <f aca="false">2*R29/SQRT(1-R29^2)</f>
        <v>0.784096782555613</v>
      </c>
      <c r="Z29" s="5" t="s">
        <v>88</v>
      </c>
      <c r="AA29" s="5" t="s">
        <v>298</v>
      </c>
      <c r="AB29" s="14" t="n">
        <f aca="false">IF(Z29="Y",1/U29,0)</f>
        <v>448</v>
      </c>
      <c r="AC29" s="14" t="n">
        <f aca="false">AB29*T29</f>
        <v>171.423774754707</v>
      </c>
      <c r="AD29" s="14" t="n">
        <f aca="false">AB29*T29^2</f>
        <v>65.5939967659651</v>
      </c>
      <c r="AE29" s="14" t="n">
        <f aca="false">AB29^2</f>
        <v>200704</v>
      </c>
    </row>
    <row r="30" customFormat="false" ht="15" hidden="false" customHeight="false" outlineLevel="0" collapsed="false">
      <c r="A30" s="5" t="s">
        <v>1375</v>
      </c>
      <c r="B30" s="5" t="s">
        <v>1367</v>
      </c>
      <c r="C30" s="5" t="s">
        <v>1368</v>
      </c>
      <c r="D30" s="5" t="s">
        <v>1369</v>
      </c>
      <c r="E30" s="5" t="s">
        <v>1306</v>
      </c>
      <c r="F30" s="5" t="s">
        <v>221</v>
      </c>
      <c r="G30" s="5" t="s">
        <v>173</v>
      </c>
      <c r="H30" s="5" t="s">
        <v>438</v>
      </c>
      <c r="I30" s="5" t="s">
        <v>1370</v>
      </c>
      <c r="J30" s="5" t="s">
        <v>1371</v>
      </c>
      <c r="K30" s="5" t="n">
        <v>451</v>
      </c>
      <c r="L30" s="5" t="s">
        <v>1372</v>
      </c>
      <c r="M30" s="5" t="s">
        <v>1376</v>
      </c>
      <c r="N30" s="5" t="s">
        <v>113</v>
      </c>
      <c r="O30" s="5" t="s">
        <v>430</v>
      </c>
      <c r="P30" s="5"/>
      <c r="Q30" s="5" t="s">
        <v>1377</v>
      </c>
      <c r="R30" s="5" t="n">
        <v>0.504</v>
      </c>
      <c r="S30" s="5" t="s">
        <v>1243</v>
      </c>
      <c r="T30" s="7" t="n">
        <f aca="false">FISHER(R30)</f>
        <v>0.554653788892429</v>
      </c>
      <c r="U30" s="7" t="n">
        <f aca="false">1/(K30-3)</f>
        <v>0.00223214285714286</v>
      </c>
      <c r="V30" s="7" t="n">
        <f aca="false">SQRT(U30)</f>
        <v>0.0472455591261534</v>
      </c>
      <c r="W30" s="7" t="n">
        <f aca="false">FISHERINV(T30-1.96*V30)</f>
        <v>0.431755572058704</v>
      </c>
      <c r="X30" s="7" t="n">
        <f aca="false">FISHERINV(T30+1.96*V30)</f>
        <v>0.569819207603011</v>
      </c>
      <c r="Y30" s="7" t="n">
        <f aca="false">2*R30/SQRT(1-R30^2)</f>
        <v>1.1670669640422</v>
      </c>
      <c r="Z30" s="5" t="s">
        <v>88</v>
      </c>
      <c r="AA30" s="5" t="s">
        <v>298</v>
      </c>
      <c r="AB30" s="14" t="n">
        <f aca="false">IF(Z30="Y",1/U30,0)</f>
        <v>448</v>
      </c>
      <c r="AC30" s="14" t="n">
        <f aca="false">AB30*T30</f>
        <v>248.484897423808</v>
      </c>
      <c r="AD30" s="14" t="n">
        <f aca="false">AB30*T30^2</f>
        <v>137.823089838662</v>
      </c>
      <c r="AE30" s="14" t="n">
        <f aca="false">AB30^2</f>
        <v>200704</v>
      </c>
    </row>
    <row r="31" customFormat="false" ht="15" hidden="false" customHeight="false" outlineLevel="0" collapsed="false">
      <c r="A31" s="5" t="s">
        <v>1378</v>
      </c>
      <c r="B31" s="5" t="s">
        <v>1367</v>
      </c>
      <c r="C31" s="5" t="s">
        <v>1368</v>
      </c>
      <c r="D31" s="5" t="s">
        <v>1369</v>
      </c>
      <c r="E31" s="5" t="s">
        <v>1306</v>
      </c>
      <c r="F31" s="5" t="s">
        <v>221</v>
      </c>
      <c r="G31" s="5" t="s">
        <v>173</v>
      </c>
      <c r="H31" s="5" t="s">
        <v>438</v>
      </c>
      <c r="I31" s="5" t="s">
        <v>1370</v>
      </c>
      <c r="J31" s="5" t="s">
        <v>1371</v>
      </c>
      <c r="K31" s="5" t="n">
        <v>451</v>
      </c>
      <c r="L31" s="5" t="s">
        <v>1372</v>
      </c>
      <c r="M31" s="5" t="s">
        <v>1379</v>
      </c>
      <c r="N31" s="5" t="s">
        <v>113</v>
      </c>
      <c r="O31" s="5" t="s">
        <v>430</v>
      </c>
      <c r="P31" s="5"/>
      <c r="Q31" s="5" t="s">
        <v>1377</v>
      </c>
      <c r="R31" s="5" t="n">
        <v>-0.215</v>
      </c>
      <c r="S31" s="5" t="s">
        <v>1243</v>
      </c>
      <c r="T31" s="7" t="n">
        <f aca="false">FISHER(R31)</f>
        <v>-0.21840781899612</v>
      </c>
      <c r="U31" s="7" t="n">
        <f aca="false">1/(K31-3)</f>
        <v>0.00223214285714286</v>
      </c>
      <c r="V31" s="7" t="n">
        <f aca="false">SQRT(U31)</f>
        <v>0.0472455591261534</v>
      </c>
      <c r="W31" s="7" t="n">
        <f aca="false">FISHERINV(T31-1.96*V31)</f>
        <v>-0.301354848298767</v>
      </c>
      <c r="X31" s="7" t="n">
        <f aca="false">FISHERINV(T31+1.96*V31)</f>
        <v>-0.12514697327163</v>
      </c>
      <c r="Y31" s="7" t="n">
        <f aca="false">2*R31/SQRT(1-R31^2)</f>
        <v>-0.440296758580354</v>
      </c>
      <c r="Z31" s="5" t="s">
        <v>88</v>
      </c>
      <c r="AA31" s="5" t="s">
        <v>298</v>
      </c>
      <c r="AB31" s="14" t="n">
        <f aca="false">IF(Z31="Y",1/U31,0)</f>
        <v>448</v>
      </c>
      <c r="AC31" s="14" t="n">
        <f aca="false">AB31*T31</f>
        <v>-97.8467029102618</v>
      </c>
      <c r="AD31" s="14" t="n">
        <f aca="false">AB31*T31^2</f>
        <v>21.3704849785916</v>
      </c>
      <c r="AE31" s="14" t="n">
        <f aca="false">AB31^2</f>
        <v>200704</v>
      </c>
    </row>
    <row r="32" customFormat="false" ht="15" hidden="false" customHeight="false" outlineLevel="0" collapsed="false">
      <c r="A32" s="5" t="s">
        <v>1380</v>
      </c>
      <c r="B32" s="5" t="s">
        <v>1381</v>
      </c>
      <c r="C32" s="5" t="s">
        <v>1382</v>
      </c>
      <c r="D32" s="5" t="s">
        <v>1383</v>
      </c>
      <c r="E32" s="5" t="s">
        <v>1384</v>
      </c>
      <c r="F32" s="5" t="s">
        <v>1385</v>
      </c>
      <c r="G32" s="5" t="s">
        <v>173</v>
      </c>
      <c r="H32" s="5" t="s">
        <v>438</v>
      </c>
      <c r="I32" s="5" t="s">
        <v>1386</v>
      </c>
      <c r="J32" s="5" t="s">
        <v>1348</v>
      </c>
      <c r="K32" s="5" t="n">
        <v>500</v>
      </c>
      <c r="L32" s="5" t="s">
        <v>1387</v>
      </c>
      <c r="M32" s="5" t="s">
        <v>1388</v>
      </c>
      <c r="N32" s="5" t="s">
        <v>113</v>
      </c>
      <c r="O32" s="5" t="s">
        <v>425</v>
      </c>
      <c r="P32" s="5"/>
      <c r="Q32" s="5" t="s">
        <v>1242</v>
      </c>
      <c r="R32" s="5" t="n">
        <v>0.552</v>
      </c>
      <c r="S32" s="5" t="s">
        <v>1243</v>
      </c>
      <c r="T32" s="7" t="n">
        <f aca="false">FISHER(R32)</f>
        <v>0.62125323416409</v>
      </c>
      <c r="U32" s="7" t="n">
        <f aca="false">1/(K32-3)</f>
        <v>0.00201207243460765</v>
      </c>
      <c r="V32" s="7" t="n">
        <f aca="false">SQRT(U32)</f>
        <v>0.0448561304016257</v>
      </c>
      <c r="W32" s="7" t="n">
        <f aca="false">FISHERINV(T32-1.96*V32)</f>
        <v>0.487926419070341</v>
      </c>
      <c r="X32" s="7" t="n">
        <f aca="false">FISHERINV(T32+1.96*V32)</f>
        <v>0.610156882217049</v>
      </c>
      <c r="Y32" s="7" t="n">
        <f aca="false">2*R32/SQRT(1-R32^2)</f>
        <v>1.32398848488201</v>
      </c>
      <c r="Z32" s="5" t="s">
        <v>88</v>
      </c>
      <c r="AA32" s="5" t="s">
        <v>1389</v>
      </c>
      <c r="AB32" s="14" t="n">
        <f aca="false">IF(Z32="Y",1/U32,0)</f>
        <v>497</v>
      </c>
      <c r="AC32" s="14" t="n">
        <f aca="false">AB32*T32</f>
        <v>308.762857379552</v>
      </c>
      <c r="AD32" s="14" t="n">
        <f aca="false">AB32*T32^2</f>
        <v>191.819923736792</v>
      </c>
      <c r="AE32" s="14" t="n">
        <f aca="false">AB32^2</f>
        <v>247009</v>
      </c>
    </row>
    <row r="33" customFormat="false" ht="15" hidden="false" customHeight="false" outlineLevel="0" collapsed="false">
      <c r="A33" s="5" t="s">
        <v>1390</v>
      </c>
      <c r="B33" s="5" t="s">
        <v>1381</v>
      </c>
      <c r="C33" s="5" t="s">
        <v>1382</v>
      </c>
      <c r="D33" s="5" t="s">
        <v>1383</v>
      </c>
      <c r="E33" s="5" t="s">
        <v>1384</v>
      </c>
      <c r="F33" s="5" t="s">
        <v>1385</v>
      </c>
      <c r="G33" s="5" t="s">
        <v>173</v>
      </c>
      <c r="H33" s="5" t="s">
        <v>438</v>
      </c>
      <c r="I33" s="5" t="s">
        <v>1386</v>
      </c>
      <c r="J33" s="5" t="s">
        <v>1348</v>
      </c>
      <c r="K33" s="5" t="n">
        <v>500</v>
      </c>
      <c r="L33" s="5" t="s">
        <v>1391</v>
      </c>
      <c r="M33" s="5" t="s">
        <v>1388</v>
      </c>
      <c r="N33" s="5" t="s">
        <v>113</v>
      </c>
      <c r="O33" s="5" t="s">
        <v>425</v>
      </c>
      <c r="P33" s="5"/>
      <c r="Q33" s="5" t="s">
        <v>1242</v>
      </c>
      <c r="R33" s="5" t="n">
        <v>0.691</v>
      </c>
      <c r="S33" s="5" t="s">
        <v>1243</v>
      </c>
      <c r="T33" s="7" t="n">
        <f aca="false">FISHER(R33)</f>
        <v>0.849867036000417</v>
      </c>
      <c r="U33" s="7" t="n">
        <f aca="false">1/(K33-3)</f>
        <v>0.00201207243460765</v>
      </c>
      <c r="V33" s="7" t="n">
        <f aca="false">SQRT(U33)</f>
        <v>0.0448561304016257</v>
      </c>
      <c r="W33" s="7" t="n">
        <f aca="false">FISHERINV(T33-1.96*V33)</f>
        <v>0.642223539762255</v>
      </c>
      <c r="X33" s="7" t="n">
        <f aca="false">FISHERINV(T33+1.96*V33)</f>
        <v>0.734202940506414</v>
      </c>
      <c r="Y33" s="7" t="n">
        <f aca="false">2*R33/SQRT(1-R33^2)</f>
        <v>1.91186401727788</v>
      </c>
      <c r="Z33" s="5" t="s">
        <v>88</v>
      </c>
      <c r="AA33" s="5" t="s">
        <v>1392</v>
      </c>
      <c r="AB33" s="14" t="n">
        <f aca="false">IF(Z33="Y",1/U33,0)</f>
        <v>497</v>
      </c>
      <c r="AC33" s="14" t="n">
        <f aca="false">AB33*T33</f>
        <v>422.383916892207</v>
      </c>
      <c r="AD33" s="14" t="n">
        <f aca="false">AB33*T33^2</f>
        <v>358.970167503427</v>
      </c>
      <c r="AE33" s="14" t="n">
        <f aca="false">AB33^2</f>
        <v>247009</v>
      </c>
    </row>
    <row r="34" customFormat="false" ht="15" hidden="false" customHeight="false" outlineLevel="0" collapsed="false">
      <c r="A34" s="5" t="s">
        <v>1393</v>
      </c>
      <c r="B34" s="5" t="s">
        <v>1381</v>
      </c>
      <c r="C34" s="5" t="s">
        <v>1382</v>
      </c>
      <c r="D34" s="5" t="s">
        <v>1383</v>
      </c>
      <c r="E34" s="5" t="s">
        <v>1384</v>
      </c>
      <c r="F34" s="5" t="s">
        <v>1385</v>
      </c>
      <c r="G34" s="5" t="s">
        <v>173</v>
      </c>
      <c r="H34" s="5" t="s">
        <v>438</v>
      </c>
      <c r="I34" s="5" t="s">
        <v>1386</v>
      </c>
      <c r="J34" s="5" t="s">
        <v>1348</v>
      </c>
      <c r="K34" s="5" t="n">
        <v>500</v>
      </c>
      <c r="L34" s="5" t="s">
        <v>1394</v>
      </c>
      <c r="M34" s="5" t="s">
        <v>1388</v>
      </c>
      <c r="N34" s="5" t="s">
        <v>113</v>
      </c>
      <c r="O34" s="5" t="s">
        <v>425</v>
      </c>
      <c r="P34" s="5"/>
      <c r="Q34" s="5" t="s">
        <v>1242</v>
      </c>
      <c r="R34" s="5" t="n">
        <v>0.695</v>
      </c>
      <c r="S34" s="5" t="s">
        <v>1243</v>
      </c>
      <c r="T34" s="7" t="n">
        <f aca="false">FISHER(R34)</f>
        <v>0.85756312160357</v>
      </c>
      <c r="U34" s="7" t="n">
        <f aca="false">1/(K34-3)</f>
        <v>0.00201207243460765</v>
      </c>
      <c r="V34" s="7" t="n">
        <f aca="false">SQRT(U34)</f>
        <v>0.0448561304016257</v>
      </c>
      <c r="W34" s="7" t="n">
        <f aca="false">FISHERINV(T34-1.96*V34)</f>
        <v>0.646723038495096</v>
      </c>
      <c r="X34" s="7" t="n">
        <f aca="false">FISHERINV(T34+1.96*V34)</f>
        <v>0.737730419083879</v>
      </c>
      <c r="Y34" s="7" t="n">
        <f aca="false">2*R34/SQRT(1-R34^2)</f>
        <v>1.93321443511323</v>
      </c>
      <c r="Z34" s="5" t="s">
        <v>88</v>
      </c>
      <c r="AA34" s="5" t="s">
        <v>1392</v>
      </c>
      <c r="AB34" s="14" t="n">
        <f aca="false">IF(Z34="Y",1/U34,0)</f>
        <v>497</v>
      </c>
      <c r="AC34" s="14" t="n">
        <f aca="false">AB34*T34</f>
        <v>426.208871436974</v>
      </c>
      <c r="AD34" s="14" t="n">
        <f aca="false">AB34*T34^2</f>
        <v>365.501010244626</v>
      </c>
      <c r="AE34" s="14" t="n">
        <f aca="false">AB34^2</f>
        <v>247009</v>
      </c>
    </row>
    <row r="35" customFormat="false" ht="15" hidden="false" customHeight="false" outlineLevel="0" collapsed="false">
      <c r="A35" s="5" t="s">
        <v>1395</v>
      </c>
      <c r="B35" s="5" t="s">
        <v>1396</v>
      </c>
      <c r="C35" s="5" t="s">
        <v>1397</v>
      </c>
      <c r="D35" s="5" t="s">
        <v>1398</v>
      </c>
      <c r="E35" s="5" t="s">
        <v>1399</v>
      </c>
      <c r="F35" s="5" t="s">
        <v>221</v>
      </c>
      <c r="G35" s="5" t="s">
        <v>173</v>
      </c>
      <c r="H35" s="5" t="s">
        <v>438</v>
      </c>
      <c r="I35" s="5" t="s">
        <v>188</v>
      </c>
      <c r="J35" s="5" t="s">
        <v>1253</v>
      </c>
      <c r="K35" s="5" t="n">
        <v>478</v>
      </c>
      <c r="L35" s="5" t="s">
        <v>1400</v>
      </c>
      <c r="M35" s="5" t="s">
        <v>192</v>
      </c>
      <c r="N35" s="5" t="s">
        <v>113</v>
      </c>
      <c r="O35" s="5" t="s">
        <v>425</v>
      </c>
      <c r="P35" s="5"/>
      <c r="Q35" s="5" t="s">
        <v>1401</v>
      </c>
      <c r="R35" s="5" t="n">
        <v>0.482</v>
      </c>
      <c r="S35" s="5" t="s">
        <v>1243</v>
      </c>
      <c r="T35" s="7" t="n">
        <f aca="false">FISHER(R35)</f>
        <v>0.525586281798275</v>
      </c>
      <c r="U35" s="7" t="n">
        <f aca="false">1/(K35-3)</f>
        <v>0.00210526315789474</v>
      </c>
      <c r="V35" s="7" t="n">
        <f aca="false">SQRT(U35)</f>
        <v>0.0458831467741124</v>
      </c>
      <c r="W35" s="7" t="n">
        <f aca="false">FISHERINV(T35-1.96*V35)</f>
        <v>0.410036678543985</v>
      </c>
      <c r="X35" s="7" t="n">
        <f aca="false">FISHERINV(T35+1.96*V35)</f>
        <v>0.547999168982285</v>
      </c>
      <c r="Y35" s="7" t="n">
        <f aca="false">2*R35/SQRT(1-R35^2)</f>
        <v>1.1002415763463</v>
      </c>
      <c r="Z35" s="5" t="s">
        <v>88</v>
      </c>
      <c r="AA35" s="5" t="s">
        <v>1402</v>
      </c>
      <c r="AB35" s="14" t="n">
        <f aca="false">IF(Z35="Y",1/U35,0)</f>
        <v>475</v>
      </c>
      <c r="AC35" s="14" t="n">
        <f aca="false">AB35*T35</f>
        <v>249.65348385418</v>
      </c>
      <c r="AD35" s="14" t="n">
        <f aca="false">AB35*T35^2</f>
        <v>131.214446316904</v>
      </c>
      <c r="AE35" s="14" t="n">
        <f aca="false">AB35^2</f>
        <v>225625</v>
      </c>
    </row>
    <row r="36" customFormat="false" ht="15" hidden="false" customHeight="false" outlineLevel="0" collapsed="false">
      <c r="A36" s="5" t="s">
        <v>1403</v>
      </c>
      <c r="B36" s="5" t="s">
        <v>1396</v>
      </c>
      <c r="C36" s="5" t="s">
        <v>1397</v>
      </c>
      <c r="D36" s="5" t="s">
        <v>1398</v>
      </c>
      <c r="E36" s="5" t="s">
        <v>1399</v>
      </c>
      <c r="F36" s="5" t="s">
        <v>221</v>
      </c>
      <c r="G36" s="5" t="s">
        <v>173</v>
      </c>
      <c r="H36" s="5" t="s">
        <v>438</v>
      </c>
      <c r="I36" s="5" t="s">
        <v>188</v>
      </c>
      <c r="J36" s="5" t="s">
        <v>1253</v>
      </c>
      <c r="K36" s="5" t="n">
        <v>478</v>
      </c>
      <c r="L36" s="5" t="s">
        <v>1400</v>
      </c>
      <c r="M36" s="5" t="s">
        <v>431</v>
      </c>
      <c r="N36" s="5" t="s">
        <v>113</v>
      </c>
      <c r="O36" s="5" t="s">
        <v>430</v>
      </c>
      <c r="P36" s="5"/>
      <c r="Q36" s="5" t="s">
        <v>1404</v>
      </c>
      <c r="R36" s="5" t="n">
        <v>0.425</v>
      </c>
      <c r="S36" s="5" t="s">
        <v>1243</v>
      </c>
      <c r="T36" s="7" t="n">
        <f aca="false">FISHER(R36)</f>
        <v>0.4537785259527</v>
      </c>
      <c r="U36" s="7" t="n">
        <f aca="false">1/(K36-3)</f>
        <v>0.00210526315789474</v>
      </c>
      <c r="V36" s="7" t="n">
        <f aca="false">SQRT(U36)</f>
        <v>0.0458831467741124</v>
      </c>
      <c r="W36" s="7" t="n">
        <f aca="false">FISHERINV(T36-1.96*V36)</f>
        <v>0.348598556261158</v>
      </c>
      <c r="X36" s="7" t="n">
        <f aca="false">FISHERINV(T36+1.96*V36)</f>
        <v>0.495790777144602</v>
      </c>
      <c r="Y36" s="7" t="n">
        <f aca="false">2*R36/SQRT(1-R36^2)</f>
        <v>0.939025900332383</v>
      </c>
      <c r="Z36" s="5" t="s">
        <v>88</v>
      </c>
      <c r="AA36" s="5" t="s">
        <v>1402</v>
      </c>
      <c r="AB36" s="14" t="n">
        <f aca="false">IF(Z36="Y",1/U36,0)</f>
        <v>475</v>
      </c>
      <c r="AC36" s="14" t="n">
        <f aca="false">AB36*T36</f>
        <v>215.544799827533</v>
      </c>
      <c r="AD36" s="14" t="n">
        <f aca="false">AB36*T36^2</f>
        <v>97.8096015425076</v>
      </c>
      <c r="AE36" s="14" t="n">
        <f aca="false">AB36^2</f>
        <v>225625</v>
      </c>
    </row>
    <row r="37" customFormat="false" ht="15" hidden="false" customHeight="false" outlineLevel="0" collapsed="false">
      <c r="A37" s="5" t="s">
        <v>1405</v>
      </c>
      <c r="B37" s="5" t="s">
        <v>1406</v>
      </c>
      <c r="C37" s="5" t="s">
        <v>1407</v>
      </c>
      <c r="D37" s="5" t="s">
        <v>1408</v>
      </c>
      <c r="E37" s="5" t="s">
        <v>1409</v>
      </c>
      <c r="F37" s="5" t="s">
        <v>221</v>
      </c>
      <c r="G37" s="5" t="s">
        <v>173</v>
      </c>
      <c r="H37" s="5" t="s">
        <v>438</v>
      </c>
      <c r="I37" s="5" t="s">
        <v>1410</v>
      </c>
      <c r="J37" s="5" t="s">
        <v>1253</v>
      </c>
      <c r="K37" s="5" t="n">
        <v>432</v>
      </c>
      <c r="L37" s="5" t="s">
        <v>1411</v>
      </c>
      <c r="M37" s="5" t="s">
        <v>192</v>
      </c>
      <c r="N37" s="5" t="s">
        <v>113</v>
      </c>
      <c r="O37" s="5" t="s">
        <v>425</v>
      </c>
      <c r="P37" s="5"/>
      <c r="Q37" s="5" t="s">
        <v>1401</v>
      </c>
      <c r="R37" s="5" t="n">
        <v>0.28</v>
      </c>
      <c r="S37" s="5" t="s">
        <v>1243</v>
      </c>
      <c r="T37" s="7" t="n">
        <f aca="false">FISHER(R37)</f>
        <v>0.287682072451781</v>
      </c>
      <c r="U37" s="7" t="n">
        <f aca="false">1/(K37-3)</f>
        <v>0.00233100233100233</v>
      </c>
      <c r="V37" s="7" t="n">
        <f aca="false">SQRT(U37)</f>
        <v>0.0482804549585268</v>
      </c>
      <c r="W37" s="7" t="n">
        <f aca="false">FISHERINV(T37-1.96*V37)</f>
        <v>0.190689298591438</v>
      </c>
      <c r="X37" s="7" t="n">
        <f aca="false">FISHERINV(T37+1.96*V37)</f>
        <v>0.364713418115647</v>
      </c>
      <c r="Y37" s="7" t="n">
        <f aca="false">2*R37/SQRT(1-R37^2)</f>
        <v>0.583333333333333</v>
      </c>
      <c r="Z37" s="5" t="s">
        <v>88</v>
      </c>
      <c r="AA37" s="5" t="s">
        <v>1412</v>
      </c>
      <c r="AB37" s="14" t="n">
        <f aca="false">IF(Z37="Y",1/U37,0)</f>
        <v>429</v>
      </c>
      <c r="AC37" s="14" t="n">
        <f aca="false">AB37*T37</f>
        <v>123.415609081814</v>
      </c>
      <c r="AD37" s="14" t="n">
        <f aca="false">AB37*T37^2</f>
        <v>35.5044581935551</v>
      </c>
      <c r="AE37" s="14" t="n">
        <f aca="false">AB37^2</f>
        <v>184041</v>
      </c>
    </row>
    <row r="38" customFormat="false" ht="15" hidden="false" customHeight="false" outlineLevel="0" collapsed="false">
      <c r="A38" s="5" t="s">
        <v>1413</v>
      </c>
      <c r="B38" s="5" t="s">
        <v>1406</v>
      </c>
      <c r="C38" s="5" t="s">
        <v>1407</v>
      </c>
      <c r="D38" s="5" t="s">
        <v>1408</v>
      </c>
      <c r="E38" s="5" t="s">
        <v>1409</v>
      </c>
      <c r="F38" s="5" t="s">
        <v>221</v>
      </c>
      <c r="G38" s="5" t="s">
        <v>173</v>
      </c>
      <c r="H38" s="5" t="s">
        <v>438</v>
      </c>
      <c r="I38" s="5" t="s">
        <v>1410</v>
      </c>
      <c r="J38" s="5" t="s">
        <v>1253</v>
      </c>
      <c r="K38" s="5" t="n">
        <v>432</v>
      </c>
      <c r="L38" s="5" t="s">
        <v>1411</v>
      </c>
      <c r="M38" s="5" t="s">
        <v>1414</v>
      </c>
      <c r="N38" s="5" t="s">
        <v>82</v>
      </c>
      <c r="O38" s="5" t="s">
        <v>83</v>
      </c>
      <c r="P38" s="5"/>
      <c r="Q38" s="5" t="s">
        <v>1300</v>
      </c>
      <c r="R38" s="5" t="n">
        <v>0.23</v>
      </c>
      <c r="S38" s="5" t="s">
        <v>1243</v>
      </c>
      <c r="T38" s="7" t="n">
        <f aca="false">FISHER(R38)</f>
        <v>0.234189466759367</v>
      </c>
      <c r="U38" s="7" t="n">
        <f aca="false">1/(K38-3)</f>
        <v>0.00233100233100233</v>
      </c>
      <c r="V38" s="7" t="n">
        <f aca="false">SQRT(U38)</f>
        <v>0.0482804549585268</v>
      </c>
      <c r="W38" s="7" t="n">
        <f aca="false">FISHERINV(T38-1.96*V38)</f>
        <v>0.13866071341526</v>
      </c>
      <c r="X38" s="7" t="n">
        <f aca="false">FISHERINV(T38+1.96*V38)</f>
        <v>0.317459339493338</v>
      </c>
      <c r="Y38" s="7" t="n">
        <f aca="false">2*R38/SQRT(1-R38^2)</f>
        <v>0.472672040177118</v>
      </c>
      <c r="Z38" s="5" t="s">
        <v>88</v>
      </c>
      <c r="AA38" s="5" t="s">
        <v>1412</v>
      </c>
      <c r="AB38" s="14" t="n">
        <f aca="false">IF(Z38="Y",1/U38,0)</f>
        <v>429</v>
      </c>
      <c r="AC38" s="14" t="n">
        <f aca="false">AB38*T38</f>
        <v>100.467281239768</v>
      </c>
      <c r="AD38" s="14" t="n">
        <f aca="false">AB38*T38^2</f>
        <v>23.5283790203047</v>
      </c>
      <c r="AE38" s="14" t="n">
        <f aca="false">AB38^2</f>
        <v>184041</v>
      </c>
    </row>
    <row r="39" customFormat="false" ht="15" hidden="false" customHeight="false" outlineLevel="0" collapsed="false">
      <c r="A39" s="5" t="s">
        <v>1415</v>
      </c>
      <c r="B39" s="5" t="s">
        <v>1406</v>
      </c>
      <c r="C39" s="5" t="s">
        <v>1407</v>
      </c>
      <c r="D39" s="5" t="s">
        <v>1408</v>
      </c>
      <c r="E39" s="5" t="s">
        <v>1409</v>
      </c>
      <c r="F39" s="5" t="s">
        <v>221</v>
      </c>
      <c r="G39" s="5" t="s">
        <v>173</v>
      </c>
      <c r="H39" s="5" t="s">
        <v>438</v>
      </c>
      <c r="I39" s="5" t="s">
        <v>1410</v>
      </c>
      <c r="J39" s="5" t="s">
        <v>1253</v>
      </c>
      <c r="K39" s="5" t="n">
        <v>432</v>
      </c>
      <c r="L39" s="5" t="s">
        <v>1240</v>
      </c>
      <c r="M39" s="5" t="s">
        <v>192</v>
      </c>
      <c r="N39" s="5" t="s">
        <v>113</v>
      </c>
      <c r="O39" s="5" t="s">
        <v>425</v>
      </c>
      <c r="P39" s="5"/>
      <c r="Q39" s="5" t="s">
        <v>1401</v>
      </c>
      <c r="R39" s="5" t="n">
        <v>0.28</v>
      </c>
      <c r="S39" s="5" t="s">
        <v>1243</v>
      </c>
      <c r="T39" s="7" t="n">
        <f aca="false">FISHER(R39)</f>
        <v>0.287682072451781</v>
      </c>
      <c r="U39" s="7" t="n">
        <f aca="false">1/(K39-3)</f>
        <v>0.00233100233100233</v>
      </c>
      <c r="V39" s="7" t="n">
        <f aca="false">SQRT(U39)</f>
        <v>0.0482804549585268</v>
      </c>
      <c r="W39" s="7" t="n">
        <f aca="false">FISHERINV(T39-1.96*V39)</f>
        <v>0.190689298591438</v>
      </c>
      <c r="X39" s="7" t="n">
        <f aca="false">FISHERINV(T39+1.96*V39)</f>
        <v>0.364713418115647</v>
      </c>
      <c r="Y39" s="7" t="n">
        <f aca="false">2*R39/SQRT(1-R39^2)</f>
        <v>0.583333333333333</v>
      </c>
      <c r="Z39" s="5" t="s">
        <v>88</v>
      </c>
      <c r="AA39" s="5" t="s">
        <v>1412</v>
      </c>
      <c r="AB39" s="14" t="n">
        <f aca="false">IF(Z39="Y",1/U39,0)</f>
        <v>429</v>
      </c>
      <c r="AC39" s="14" t="n">
        <f aca="false">AB39*T39</f>
        <v>123.415609081814</v>
      </c>
      <c r="AD39" s="14" t="n">
        <f aca="false">AB39*T39^2</f>
        <v>35.5044581935551</v>
      </c>
      <c r="AE39" s="14" t="n">
        <f aca="false">AB39^2</f>
        <v>184041</v>
      </c>
    </row>
    <row r="40" customFormat="false" ht="15" hidden="false" customHeight="false" outlineLevel="0" collapsed="false">
      <c r="A40" s="5" t="s">
        <v>1416</v>
      </c>
      <c r="B40" s="5" t="s">
        <v>1406</v>
      </c>
      <c r="C40" s="5" t="s">
        <v>1407</v>
      </c>
      <c r="D40" s="5" t="s">
        <v>1408</v>
      </c>
      <c r="E40" s="5" t="s">
        <v>1409</v>
      </c>
      <c r="F40" s="5" t="s">
        <v>221</v>
      </c>
      <c r="G40" s="5" t="s">
        <v>173</v>
      </c>
      <c r="H40" s="5" t="s">
        <v>438</v>
      </c>
      <c r="I40" s="5" t="s">
        <v>1410</v>
      </c>
      <c r="J40" s="5" t="s">
        <v>1253</v>
      </c>
      <c r="K40" s="5" t="n">
        <v>432</v>
      </c>
      <c r="L40" s="5" t="s">
        <v>1240</v>
      </c>
      <c r="M40" s="5" t="s">
        <v>1414</v>
      </c>
      <c r="N40" s="5" t="s">
        <v>82</v>
      </c>
      <c r="O40" s="5" t="s">
        <v>83</v>
      </c>
      <c r="P40" s="5"/>
      <c r="Q40" s="5" t="s">
        <v>1300</v>
      </c>
      <c r="R40" s="5" t="n">
        <v>0.34</v>
      </c>
      <c r="S40" s="5" t="s">
        <v>1243</v>
      </c>
      <c r="T40" s="7" t="n">
        <f aca="false">FISHER(R40)</f>
        <v>0.354092528962243</v>
      </c>
      <c r="U40" s="7" t="n">
        <f aca="false">1/(K40-3)</f>
        <v>0.00233100233100233</v>
      </c>
      <c r="V40" s="7" t="n">
        <f aca="false">SQRT(U40)</f>
        <v>0.0482804549585268</v>
      </c>
      <c r="W40" s="7" t="n">
        <f aca="false">FISHERINV(T40-1.96*V40)</f>
        <v>0.253793037562252</v>
      </c>
      <c r="X40" s="7" t="n">
        <f aca="false">FISHERINV(T40+1.96*V40)</f>
        <v>0.420848103115984</v>
      </c>
      <c r="Y40" s="7" t="n">
        <f aca="false">2*R40/SQRT(1-R40^2)</f>
        <v>0.723076997100493</v>
      </c>
      <c r="Z40" s="5" t="s">
        <v>88</v>
      </c>
      <c r="AA40" s="5" t="s">
        <v>1412</v>
      </c>
      <c r="AB40" s="14" t="n">
        <f aca="false">IF(Z40="Y",1/U40,0)</f>
        <v>429</v>
      </c>
      <c r="AC40" s="14" t="n">
        <f aca="false">AB40*T40</f>
        <v>151.905694924802</v>
      </c>
      <c r="AD40" s="14" t="n">
        <f aca="false">AB40*T40^2</f>
        <v>53.7886716796902</v>
      </c>
      <c r="AE40" s="14" t="n">
        <f aca="false">AB40^2</f>
        <v>184041</v>
      </c>
    </row>
    <row r="41" customFormat="false" ht="15" hidden="false" customHeight="false" outlineLevel="0" collapsed="false">
      <c r="A41" s="5" t="s">
        <v>1417</v>
      </c>
      <c r="B41" s="5" t="s">
        <v>1418</v>
      </c>
      <c r="C41" s="5" t="s">
        <v>1419</v>
      </c>
      <c r="D41" s="5" t="s">
        <v>1420</v>
      </c>
      <c r="E41" s="5" t="s">
        <v>1236</v>
      </c>
      <c r="F41" s="5" t="s">
        <v>221</v>
      </c>
      <c r="G41" s="5" t="s">
        <v>173</v>
      </c>
      <c r="H41" s="5" t="s">
        <v>281</v>
      </c>
      <c r="I41" s="5" t="s">
        <v>1421</v>
      </c>
      <c r="J41" s="5" t="s">
        <v>1253</v>
      </c>
      <c r="K41" s="5" t="n">
        <v>816</v>
      </c>
      <c r="L41" s="5" t="s">
        <v>1422</v>
      </c>
      <c r="M41" s="5" t="s">
        <v>1423</v>
      </c>
      <c r="N41" s="5" t="s">
        <v>113</v>
      </c>
      <c r="O41" s="5" t="s">
        <v>422</v>
      </c>
      <c r="P41" s="5"/>
      <c r="Q41" s="5" t="s">
        <v>1314</v>
      </c>
      <c r="R41" s="5" t="n">
        <v>0.711</v>
      </c>
      <c r="S41" s="5" t="s">
        <v>1257</v>
      </c>
      <c r="T41" s="7" t="n">
        <f aca="false">FISHER(R41)</f>
        <v>0.889203292889881</v>
      </c>
      <c r="U41" s="7" t="n">
        <f aca="false">1/(K41-3)</f>
        <v>0.001230012300123</v>
      </c>
      <c r="V41" s="7" t="n">
        <f aca="false">SQRT(U41)</f>
        <v>0.0350715311915947</v>
      </c>
      <c r="W41" s="7" t="n">
        <f aca="false">FISHERINV(T41-1.96*V41)</f>
        <v>0.675321847936537</v>
      </c>
      <c r="X41" s="7" t="n">
        <f aca="false">FISHERINV(T41+1.96*V41)</f>
        <v>0.743358153975973</v>
      </c>
      <c r="Y41" s="7" t="n">
        <f aca="false">2*R41/SQRT(1-R41^2)</f>
        <v>2.02220728334196</v>
      </c>
      <c r="Z41" s="5" t="s">
        <v>88</v>
      </c>
      <c r="AA41" s="5" t="s">
        <v>1424</v>
      </c>
      <c r="AB41" s="14" t="n">
        <f aca="false">IF(Z41="Y",1/U41,0)</f>
        <v>813</v>
      </c>
      <c r="AC41" s="14" t="n">
        <f aca="false">AB41*T41</f>
        <v>722.922277119473</v>
      </c>
      <c r="AD41" s="14" t="n">
        <f aca="false">AB41*T41^2</f>
        <v>642.824869318086</v>
      </c>
      <c r="AE41" s="14" t="n">
        <f aca="false">AB41^2</f>
        <v>660969</v>
      </c>
    </row>
    <row r="42" customFormat="false" ht="15" hidden="false" customHeight="false" outlineLevel="0" collapsed="false">
      <c r="A42" s="5" t="s">
        <v>1425</v>
      </c>
      <c r="B42" s="5" t="s">
        <v>1418</v>
      </c>
      <c r="C42" s="5" t="s">
        <v>1419</v>
      </c>
      <c r="D42" s="5" t="s">
        <v>1420</v>
      </c>
      <c r="E42" s="5" t="s">
        <v>1236</v>
      </c>
      <c r="F42" s="5" t="s">
        <v>221</v>
      </c>
      <c r="G42" s="5" t="s">
        <v>173</v>
      </c>
      <c r="H42" s="5" t="s">
        <v>281</v>
      </c>
      <c r="I42" s="5" t="s">
        <v>1421</v>
      </c>
      <c r="J42" s="5" t="s">
        <v>1253</v>
      </c>
      <c r="K42" s="5" t="n">
        <v>816</v>
      </c>
      <c r="L42" s="5" t="s">
        <v>1422</v>
      </c>
      <c r="M42" s="5" t="s">
        <v>1388</v>
      </c>
      <c r="N42" s="5" t="s">
        <v>113</v>
      </c>
      <c r="O42" s="5" t="s">
        <v>425</v>
      </c>
      <c r="P42" s="5"/>
      <c r="Q42" s="5" t="s">
        <v>1242</v>
      </c>
      <c r="R42" s="5" t="n">
        <v>0.813</v>
      </c>
      <c r="S42" s="5" t="s">
        <v>1257</v>
      </c>
      <c r="T42" s="7" t="n">
        <f aca="false">FISHER(R42)</f>
        <v>1.13581479695013</v>
      </c>
      <c r="U42" s="7" t="n">
        <f aca="false">1/(K42-3)</f>
        <v>0.001230012300123</v>
      </c>
      <c r="V42" s="7" t="n">
        <f aca="false">SQRT(U42)</f>
        <v>0.0350715311915947</v>
      </c>
      <c r="W42" s="7" t="n">
        <f aca="false">FISHERINV(T42-1.96*V42)</f>
        <v>0.78835652392054</v>
      </c>
      <c r="X42" s="7" t="n">
        <f aca="false">FISHERINV(T42+1.96*V42)</f>
        <v>0.835038707101998</v>
      </c>
      <c r="Y42" s="7" t="n">
        <f aca="false">2*R42/SQRT(1-R42^2)</f>
        <v>2.79254921640823</v>
      </c>
      <c r="Z42" s="5" t="s">
        <v>88</v>
      </c>
      <c r="AA42" s="5" t="s">
        <v>1426</v>
      </c>
      <c r="AB42" s="14" t="n">
        <f aca="false">IF(Z42="Y",1/U42,0)</f>
        <v>813</v>
      </c>
      <c r="AC42" s="14" t="n">
        <f aca="false">AB42*T42</f>
        <v>923.417429920457</v>
      </c>
      <c r="AD42" s="14" t="n">
        <f aca="false">AB42*T42^2</f>
        <v>1048.83118066532</v>
      </c>
      <c r="AE42" s="14" t="n">
        <f aca="false">AB42^2</f>
        <v>660969</v>
      </c>
    </row>
  </sheetData>
  <autoFilter ref="A1:AE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20" min="3" style="0" width="10"/>
  </cols>
  <sheetData>
    <row r="1" customFormat="false" ht="17.35" hidden="false" customHeight="false" outlineLevel="0" collapsed="false">
      <c r="A1" s="15" t="s">
        <v>1427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customFormat="false" ht="15" hidden="false" customHeight="false" outlineLevel="0" collapsed="false">
      <c r="A2" s="17" t="s">
        <v>1428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customFormat="false" ht="15" hidden="false" customHeight="fals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customFormat="false" ht="42" hidden="false" customHeight="true" outlineLevel="0" collapsed="false">
      <c r="A4" s="4" t="s">
        <v>1429</v>
      </c>
      <c r="B4" s="4" t="s">
        <v>1430</v>
      </c>
      <c r="C4" s="4" t="s">
        <v>1431</v>
      </c>
      <c r="D4" s="4" t="s">
        <v>1432</v>
      </c>
      <c r="E4" s="4" t="s">
        <v>1433</v>
      </c>
      <c r="F4" s="4" t="s">
        <v>1434</v>
      </c>
      <c r="G4" s="4" t="s">
        <v>1435</v>
      </c>
      <c r="H4" s="4" t="s">
        <v>1436</v>
      </c>
      <c r="I4" s="4" t="s">
        <v>1437</v>
      </c>
      <c r="J4" s="4" t="s">
        <v>1438</v>
      </c>
      <c r="K4" s="4" t="s">
        <v>1439</v>
      </c>
      <c r="L4" s="4" t="s">
        <v>1440</v>
      </c>
      <c r="M4" s="4" t="s">
        <v>1441</v>
      </c>
      <c r="N4" s="4" t="s">
        <v>1442</v>
      </c>
      <c r="O4" s="4" t="s">
        <v>1443</v>
      </c>
      <c r="P4" s="4" t="s">
        <v>1444</v>
      </c>
      <c r="Q4" s="4" t="s">
        <v>1445</v>
      </c>
      <c r="R4" s="4" t="s">
        <v>289</v>
      </c>
      <c r="S4" s="4" t="s">
        <v>1446</v>
      </c>
      <c r="T4" s="4" t="s">
        <v>1447</v>
      </c>
    </row>
    <row r="5" customFormat="false" ht="15" hidden="false" customHeight="false" outlineLevel="0" collapsed="false">
      <c r="A5" s="18" t="s">
        <v>1448</v>
      </c>
      <c r="B5" s="14" t="s">
        <v>1449</v>
      </c>
      <c r="C5" s="19" t="n">
        <f aca="false">COUNTIFS(ES_Data!$AS$2:$AS$347,"&gt;0")</f>
        <v>225</v>
      </c>
      <c r="D5" s="19" t="n">
        <f aca="false">SUMPRODUCT(--(COUNTIFS(ES_Data!$B$2:$B$347,Study_Characteristics!$A$2:$A$82,ES_Data!$AS$2:$AS$347,"&gt;0")&gt;0))</f>
        <v>78</v>
      </c>
      <c r="E5" s="7" t="n">
        <f aca="false">SUM(ES_Data!$AS$2:$AS$347)</f>
        <v>4197.58616704413</v>
      </c>
      <c r="F5" s="7" t="n">
        <f aca="false">SUM(ES_Data!$AT$2:$AT$347)</f>
        <v>3323.19535306127</v>
      </c>
      <c r="G5" s="7" t="n">
        <f aca="false">SUM(ES_Data!$AU$2:$AU$347)</f>
        <v>7695.09517298254</v>
      </c>
      <c r="H5" s="7" t="n">
        <f aca="false">SUM(ES_Data!$AV$2:$AV$347)</f>
        <v>149093.062409579</v>
      </c>
      <c r="I5" s="7" t="n">
        <f aca="false">IF(C5&lt;2,"",G5-F5^2/E5)</f>
        <v>5064.14802499707</v>
      </c>
      <c r="J5" s="7" t="n">
        <f aca="false">IF(C5&lt;2,"",C5-1)</f>
        <v>224</v>
      </c>
      <c r="K5" s="7" t="n">
        <f aca="false">IF(I5="","",CHIDIST(MAX(I5,0),J5))</f>
        <v>0</v>
      </c>
      <c r="L5" s="7" t="n">
        <f aca="false">IF(C5&lt;2,0,MAX(0,(I5-J5)/(E5-H5/E5)))</f>
        <v>1.16291918258675</v>
      </c>
      <c r="M5" s="20" t="n">
        <f aca="false">IF(OR(C5&lt;2,I5&lt;=0),"",MAX(0,(I5-J5)/I5))</f>
        <v>0.95576748568677</v>
      </c>
      <c r="N5" s="7" t="n">
        <f aca="false">IF(C5=0,"",SUMPRODUCT((ES_Data!$AS$2:$AS$347&gt;0)*ES_Data!$AW$2:$AW$347/(ES_Data!$AX$2:$AX$347+L5))/SUMPRODUCT((ES_Data!$AS$2:$AS$347&gt;0)/(ES_Data!$AX$2:$AX$347+L5)))</f>
        <v>1.02694947771917</v>
      </c>
      <c r="O5" s="7" t="n">
        <f aca="false">IF(C5=0,"",1/SQRT(SUMPRODUCT((ES_Data!$AS$2:$AS$347&gt;0)/(ES_Data!$AX$2:$AX$347+L5))))</f>
        <v>0.0744618614931489</v>
      </c>
      <c r="P5" s="7" t="n">
        <f aca="false">IF(C5=0,"",N5-1.96*O5)</f>
        <v>0.8810042291926</v>
      </c>
      <c r="Q5" s="7" t="n">
        <f aca="false">IF(C5=0,"",N5+1.96*O5)</f>
        <v>1.17289472624574</v>
      </c>
      <c r="R5" s="7" t="n">
        <f aca="false">IF(C5=0,"",N5/O5)</f>
        <v>13.7916170389275</v>
      </c>
      <c r="S5" s="7" t="n">
        <f aca="false">IF(C5=0,"",2*(1-NORMSDIST(ABS(R5))))</f>
        <v>0</v>
      </c>
      <c r="T5" s="7" t="n">
        <f aca="false">IF(C5=0,"",F5/E5)</f>
        <v>0.791691991733765</v>
      </c>
    </row>
    <row r="6" customFormat="false" ht="15" hidden="false" customHeight="false" outlineLevel="0" collapsed="false">
      <c r="A6" s="18" t="s">
        <v>33</v>
      </c>
      <c r="B6" s="14" t="s">
        <v>82</v>
      </c>
      <c r="C6" s="19" t="n">
        <f aca="false">COUNTIFS(ES_Data!$AS$2:$AS$347,"&gt;0",ES_Data!$P$2:$P$347,"Cognitive")</f>
        <v>139</v>
      </c>
      <c r="D6" s="19" t="n">
        <f aca="false">SUMPRODUCT(--(COUNTIFS(ES_Data!$B$2:$B$347,Study_Characteristics!$A$2:$A$82,ES_Data!$AS$2:$AS$347,"&gt;0",ES_Data!$P$2:$P$347,"Cognitive")&gt;0))</f>
        <v>64</v>
      </c>
      <c r="E6" s="7" t="n">
        <f aca="false">SUMIFS(ES_Data!$AS$2:$AS$347,ES_Data!$P$2:$P$347,"Cognitive")</f>
        <v>1934.15308678971</v>
      </c>
      <c r="F6" s="7" t="n">
        <f aca="false">SUMIFS(ES_Data!$AT$2:$AT$347,ES_Data!$P$2:$P$347,"Cognitive")</f>
        <v>1722.40925846278</v>
      </c>
      <c r="G6" s="7" t="n">
        <f aca="false">SUMIFS(ES_Data!$AU$2:$AU$347,ES_Data!$P$2:$P$347,"Cognitive")</f>
        <v>5826.09952498047</v>
      </c>
      <c r="H6" s="7" t="n">
        <f aca="false">SUMIFS(ES_Data!$AV$2:$AV$347,ES_Data!$P$2:$P$347,"Cognitive")</f>
        <v>40247.160067531</v>
      </c>
      <c r="I6" s="7" t="n">
        <f aca="false">IF(C6&lt;2,"",G6-F6^2/E6)</f>
        <v>4292.25317439899</v>
      </c>
      <c r="J6" s="7" t="n">
        <f aca="false">IF(C6&lt;2,"",C6-1)</f>
        <v>138</v>
      </c>
      <c r="K6" s="7" t="n">
        <f aca="false">IF(I6="","",CHIDIST(MAX(I6,0),J6))</f>
        <v>0</v>
      </c>
      <c r="L6" s="7" t="n">
        <f aca="false">IF(C6&lt;2,0,MAX(0,(I6-J6)/(E6-H6/E6)))</f>
        <v>2.17119988723834</v>
      </c>
      <c r="M6" s="20" t="n">
        <f aca="false">IF(OR(C6&lt;2,I6&lt;=0),"",MAX(0,(I6-J6)/I6))</f>
        <v>0.967849054006624</v>
      </c>
      <c r="N6" s="7" t="n">
        <f aca="false">IF(C6=0,"",SUMPRODUCT((ES_Data!$P$2:$P$347="Cognitive")*(ES_Data!$AS$2:$AS$347&gt;0)*ES_Data!$AW$2:$AW$347/(ES_Data!$AX$2:$AX$347+L6))/SUMPRODUCT((ES_Data!$P$2:$P$347="Cognitive")*(ES_Data!$AS$2:$AS$347&gt;0)/(ES_Data!$AX$2:$AX$347+L6)))</f>
        <v>1.31832775071444</v>
      </c>
      <c r="O6" s="7" t="n">
        <f aca="false">IF(C6=0,"",1/SQRT(SUMPRODUCT((ES_Data!$P$2:$P$347="Cognitive")*(ES_Data!$AS$2:$AS$347&gt;0)/(ES_Data!$AX$2:$AX$347+L6))))</f>
        <v>0.127916973422892</v>
      </c>
      <c r="P6" s="7" t="n">
        <f aca="false">IF(C6=0,"",N6-1.96*O6)</f>
        <v>1.06761048280557</v>
      </c>
      <c r="Q6" s="7" t="n">
        <f aca="false">IF(C6=0,"",N6+1.96*O6)</f>
        <v>1.56904501862331</v>
      </c>
      <c r="R6" s="7" t="n">
        <f aca="false">IF(C6=0,"",N6/O6)</f>
        <v>10.3061205674095</v>
      </c>
      <c r="S6" s="7" t="n">
        <f aca="false">IF(C6=0,"",2*(1-NORMSDIST(ABS(R6))))</f>
        <v>0</v>
      </c>
      <c r="T6" s="7" t="n">
        <f aca="false">IF(C6=0,"",F6/E6)</f>
        <v>0.890523749245525</v>
      </c>
    </row>
    <row r="7" customFormat="false" ht="15" hidden="false" customHeight="false" outlineLevel="0" collapsed="false">
      <c r="A7" s="18" t="s">
        <v>33</v>
      </c>
      <c r="B7" s="14" t="s">
        <v>113</v>
      </c>
      <c r="C7" s="19" t="n">
        <f aca="false">COUNTIFS(ES_Data!$AS$2:$AS$347,"&gt;0",ES_Data!$P$2:$P$347,"Non-cognitive")</f>
        <v>86</v>
      </c>
      <c r="D7" s="19" t="n">
        <f aca="false">SUMPRODUCT(--(COUNTIFS(ES_Data!$B$2:$B$347,Study_Characteristics!$A$2:$A$82,ES_Data!$AS$2:$AS$347,"&gt;0",ES_Data!$P$2:$P$347,"Non-cognitive")&gt;0))</f>
        <v>36</v>
      </c>
      <c r="E7" s="7" t="n">
        <f aca="false">SUMIFS(ES_Data!$AS$2:$AS$347,ES_Data!$P$2:$P$347,"Non-cognitive")</f>
        <v>2263.43308025443</v>
      </c>
      <c r="F7" s="7" t="n">
        <f aca="false">SUMIFS(ES_Data!$AT$2:$AT$347,ES_Data!$P$2:$P$347,"Non-cognitive")</f>
        <v>1600.78609459849</v>
      </c>
      <c r="G7" s="7" t="n">
        <f aca="false">SUMIFS(ES_Data!$AU$2:$AU$347,ES_Data!$P$2:$P$347,"Non-cognitive")</f>
        <v>1868.99564800208</v>
      </c>
      <c r="H7" s="7" t="n">
        <f aca="false">SUMIFS(ES_Data!$AV$2:$AV$347,ES_Data!$P$2:$P$347,"Non-cognitive")</f>
        <v>108845.902342048</v>
      </c>
      <c r="I7" s="7" t="n">
        <f aca="false">IF(C7&lt;2,"",G7-F7^2/E7)</f>
        <v>736.858743662117</v>
      </c>
      <c r="J7" s="7" t="n">
        <f aca="false">IF(C7&lt;2,"",C7-1)</f>
        <v>85</v>
      </c>
      <c r="K7" s="7" t="n">
        <f aca="false">IF(I7="","",CHIDIST(MAX(I7,0),J7))</f>
        <v>1.63617532942556E-104</v>
      </c>
      <c r="L7" s="7" t="n">
        <f aca="false">IF(C7&lt;2,0,MAX(0,(I7-J7)/(E7-H7/E7)))</f>
        <v>0.294247158459497</v>
      </c>
      <c r="M7" s="20" t="n">
        <f aca="false">IF(OR(C7&lt;2,I7&lt;=0),"",MAX(0,(I7-J7)/I7))</f>
        <v>0.884645461927264</v>
      </c>
      <c r="N7" s="7" t="n">
        <f aca="false">IF(C7=0,"",SUMPRODUCT((ES_Data!$P$2:$P$347="Non-cognitive")*(ES_Data!$AS$2:$AS$347&gt;0)*ES_Data!$AW$2:$AW$347/(ES_Data!$AX$2:$AX$347+L7))/SUMPRODUCT((ES_Data!$P$2:$P$347="Non-cognitive")*(ES_Data!$AS$2:$AS$347&gt;0)/(ES_Data!$AX$2:$AX$347+L7)))</f>
        <v>0.606723438557941</v>
      </c>
      <c r="O7" s="7" t="n">
        <f aca="false">IF(C7=0,"",1/SQRT(SUMPRODUCT((ES_Data!$P$2:$P$347="Non-cognitive")*(ES_Data!$AS$2:$AS$347&gt;0)/(ES_Data!$AX$2:$AX$347+L7))))</f>
        <v>0.0638871299826922</v>
      </c>
      <c r="P7" s="7" t="n">
        <f aca="false">IF(C7=0,"",N7-1.96*O7)</f>
        <v>0.481504663791864</v>
      </c>
      <c r="Q7" s="7" t="n">
        <f aca="false">IF(C7=0,"",N7+1.96*O7)</f>
        <v>0.731942213324017</v>
      </c>
      <c r="R7" s="7" t="n">
        <f aca="false">IF(C7=0,"",N7/O7)</f>
        <v>9.49680223109583</v>
      </c>
      <c r="S7" s="7" t="n">
        <f aca="false">IF(C7=0,"",2*(1-NORMSDIST(ABS(R7))))</f>
        <v>0</v>
      </c>
      <c r="T7" s="7" t="n">
        <f aca="false">IF(C7=0,"",F7/E7)</f>
        <v>0.707238092684656</v>
      </c>
    </row>
    <row r="8" customFormat="false" ht="15" hidden="false" customHeight="false" outlineLevel="0" collapsed="false">
      <c r="A8" s="18" t="s">
        <v>1450</v>
      </c>
      <c r="B8" s="14" t="s">
        <v>103</v>
      </c>
      <c r="C8" s="19" t="n">
        <f aca="false">COUNTIFS(ES_Data!$AS$2:$AS$347,"&gt;0",ES_Data!$P$2:$P$347,"Cognitive",ES_Data!$Q$2:$Q$347,"Knowledge-based outcome")</f>
        <v>34</v>
      </c>
      <c r="D8" s="19" t="n">
        <f aca="false">SUMPRODUCT(--(COUNTIFS(ES_Data!$B$2:$B$347,Study_Characteristics!$A$2:$A$82,ES_Data!$AS$2:$AS$347,"&gt;0",ES_Data!$P$2:$P$347,"Cognitive",ES_Data!$Q$2:$Q$347,"Knowledge-based outcome")&gt;0))</f>
        <v>26</v>
      </c>
      <c r="E8" s="7" t="n">
        <f aca="false">SUMIFS(ES_Data!$AS$2:$AS$347,ES_Data!$P$2:$P$347,"Cognitive",ES_Data!$Q$2:$Q$347,"Knowledge-based outcome")</f>
        <v>443.958542539706</v>
      </c>
      <c r="F8" s="7" t="n">
        <f aca="false">SUMIFS(ES_Data!$AT$2:$AT$347,ES_Data!$P$2:$P$347,"Cognitive",ES_Data!$Q$2:$Q$347,"Knowledge-based outcome")</f>
        <v>191.416837482348</v>
      </c>
      <c r="G8" s="7" t="n">
        <f aca="false">SUMIFS(ES_Data!$AU$2:$AU$347,ES_Data!$P$2:$P$347,"Cognitive",ES_Data!$Q$2:$Q$347,"Knowledge-based outcome")</f>
        <v>436.144185986111</v>
      </c>
      <c r="H8" s="7" t="n">
        <f aca="false">SUMIFS(ES_Data!$AV$2:$AV$347,ES_Data!$P$2:$P$347,"Cognitive",ES_Data!$Q$2:$Q$347,"Knowledge-based outcome")</f>
        <v>8318.60436368568</v>
      </c>
      <c r="I8" s="7" t="n">
        <f aca="false">IF(C8&lt;2,"",G8-F8^2/E8)</f>
        <v>353.613043636334</v>
      </c>
      <c r="J8" s="7" t="n">
        <f aca="false">IF(C8&lt;2,"",C8-1)</f>
        <v>33</v>
      </c>
      <c r="K8" s="7" t="n">
        <f aca="false">IF(I8="","",CHIDIST(MAX(I8,0),J8))</f>
        <v>2.36892054133536E-055</v>
      </c>
      <c r="L8" s="7" t="n">
        <f aca="false">IF(C8&lt;2,0,MAX(0,(I8-J8)/(E8-H8/E8)))</f>
        <v>0.753991206149444</v>
      </c>
      <c r="M8" s="20" t="n">
        <f aca="false">IF(OR(C8&lt;2,I8&lt;=0),"",MAX(0,(I8-J8)/I8))</f>
        <v>0.906677650630054</v>
      </c>
      <c r="N8" s="7" t="n">
        <f aca="false">IF(C8=0,"",SUMPRODUCT((ES_Data!$P$2:$P$347="Cognitive")*(ES_Data!$Q$2:$Q$347="Knowledge-based outcome")*(ES_Data!$AS$2:$AS$347&gt;0)*ES_Data!$AW$2:$AW$347/(ES_Data!$AX$2:$AX$347+L8))/SUMPRODUCT((ES_Data!$P$2:$P$347="Cognitive")*(ES_Data!$Q$2:$Q$347="Knowledge-based outcome")*(ES_Data!$AS$2:$AS$347&gt;0)/(ES_Data!$AX$2:$AX$347+L8)))</f>
        <v>0.66049271520564</v>
      </c>
      <c r="O8" s="7" t="n">
        <f aca="false">IF(C8=0,"",1/SQRT(SUMPRODUCT((ES_Data!$P$2:$P$347="Cognitive")*(ES_Data!$Q$2:$Q$347="Knowledge-based outcome")*(ES_Data!$AS$2:$AS$347&gt;0)/(ES_Data!$AX$2:$AX$347+L8))))</f>
        <v>0.158051202718635</v>
      </c>
      <c r="P8" s="7" t="n">
        <f aca="false">IF(C8=0,"",N8-1.96*O8)</f>
        <v>0.350712357877116</v>
      </c>
      <c r="Q8" s="7" t="n">
        <f aca="false">IF(C8=0,"",N8+1.96*O8)</f>
        <v>0.970273072534164</v>
      </c>
      <c r="R8" s="7" t="n">
        <f aca="false">IF(C8=0,"",N8/O8)</f>
        <v>4.17897936772718</v>
      </c>
      <c r="S8" s="7" t="n">
        <f aca="false">IF(C8=0,"",2*(1-NORMSDIST(ABS(R8))))</f>
        <v>2.9282024637034E-005</v>
      </c>
      <c r="T8" s="7" t="n">
        <f aca="false">IF(C8=0,"",F8/E8)</f>
        <v>0.431159261825058</v>
      </c>
    </row>
    <row r="9" customFormat="false" ht="15" hidden="false" customHeight="false" outlineLevel="0" collapsed="false">
      <c r="A9" s="18" t="s">
        <v>1450</v>
      </c>
      <c r="B9" s="14" t="s">
        <v>191</v>
      </c>
      <c r="C9" s="19" t="n">
        <f aca="false">COUNTIFS(ES_Data!$AS$2:$AS$347,"&gt;0",ES_Data!$P$2:$P$347,"Cognitive",ES_Data!$Q$2:$Q$347,"Skill-based outcome")</f>
        <v>49</v>
      </c>
      <c r="D9" s="19" t="n">
        <f aca="false">SUMPRODUCT(--(COUNTIFS(ES_Data!$B$2:$B$347,Study_Characteristics!$A$2:$A$82,ES_Data!$AS$2:$AS$347,"&gt;0",ES_Data!$P$2:$P$347,"Cognitive",ES_Data!$Q$2:$Q$347,"Skill-based outcome")&gt;0))</f>
        <v>31</v>
      </c>
      <c r="E9" s="7" t="n">
        <f aca="false">SUMIFS(ES_Data!$AS$2:$AS$347,ES_Data!$P$2:$P$347,"Cognitive",ES_Data!$Q$2:$Q$347,"Skill-based outcome")</f>
        <v>820.402679345125</v>
      </c>
      <c r="F9" s="7" t="n">
        <f aca="false">SUMIFS(ES_Data!$AT$2:$AT$347,ES_Data!$P$2:$P$347,"Cognitive",ES_Data!$Q$2:$Q$347,"Skill-based outcome")</f>
        <v>749.573153251816</v>
      </c>
      <c r="G9" s="7" t="n">
        <f aca="false">SUMIFS(ES_Data!$AU$2:$AU$347,ES_Data!$P$2:$P$347,"Cognitive",ES_Data!$Q$2:$Q$347,"Skill-based outcome")</f>
        <v>2400.41076185351</v>
      </c>
      <c r="H9" s="7" t="n">
        <f aca="false">SUMIFS(ES_Data!$AV$2:$AV$347,ES_Data!$P$2:$P$347,"Cognitive",ES_Data!$Q$2:$Q$347,"Skill-based outcome")</f>
        <v>21556.8557309923</v>
      </c>
      <c r="I9" s="7" t="n">
        <f aca="false">IF(C9&lt;2,"",G9-F9^2/E9)</f>
        <v>1715.55206231298</v>
      </c>
      <c r="J9" s="7" t="n">
        <f aca="false">IF(C9&lt;2,"",C9-1)</f>
        <v>48</v>
      </c>
      <c r="K9" s="7" t="n">
        <f aca="false">IF(I9="","",CHIDIST(MAX(I9,0),J9))</f>
        <v>0</v>
      </c>
      <c r="L9" s="7" t="n">
        <f aca="false">IF(C9&lt;2,0,MAX(0,(I9-J9)/(E9-H9/E9)))</f>
        <v>2.0998563457479</v>
      </c>
      <c r="M9" s="20" t="n">
        <f aca="false">IF(OR(C9&lt;2,I9&lt;=0),"",MAX(0,(I9-J9)/I9))</f>
        <v>0.972020668416624</v>
      </c>
      <c r="N9" s="7" t="n">
        <f aca="false">IF(C9=0,"",SUMPRODUCT((ES_Data!$P$2:$P$347="Cognitive")*(ES_Data!$Q$2:$Q$347="Skill-based outcome")*(ES_Data!$AS$2:$AS$347&gt;0)*ES_Data!$AW$2:$AW$347/(ES_Data!$AX$2:$AX$347+L9))/SUMPRODUCT((ES_Data!$P$2:$P$347="Cognitive")*(ES_Data!$Q$2:$Q$347="Skill-based outcome")*(ES_Data!$AS$2:$AS$347&gt;0)/(ES_Data!$AX$2:$AX$347+L9)))</f>
        <v>1.70393785951818</v>
      </c>
      <c r="O9" s="7" t="n">
        <f aca="false">IF(C9=0,"",1/SQRT(SUMPRODUCT((ES_Data!$P$2:$P$347="Cognitive")*(ES_Data!$Q$2:$Q$347="Skill-based outcome")*(ES_Data!$AS$2:$AS$347&gt;0)/(ES_Data!$AX$2:$AX$347+L9))))</f>
        <v>0.211648500561617</v>
      </c>
      <c r="P9" s="7" t="n">
        <f aca="false">IF(C9=0,"",N9-1.96*O9)</f>
        <v>1.28910679841741</v>
      </c>
      <c r="Q9" s="7" t="n">
        <f aca="false">IF(C9=0,"",N9+1.96*O9)</f>
        <v>2.11876892061895</v>
      </c>
      <c r="R9" s="7" t="n">
        <f aca="false">IF(C9=0,"",N9/O9)</f>
        <v>8.05079107575399</v>
      </c>
      <c r="S9" s="7" t="n">
        <f aca="false">IF(C9=0,"",2*(1-NORMSDIST(ABS(R9))))</f>
        <v>0</v>
      </c>
      <c r="T9" s="7" t="n">
        <f aca="false">IF(C9=0,"",F9/E9)</f>
        <v>0.913664925924123</v>
      </c>
    </row>
    <row r="10" customFormat="false" ht="15" hidden="false" customHeight="false" outlineLevel="0" collapsed="false">
      <c r="A10" s="18" t="s">
        <v>1450</v>
      </c>
      <c r="B10" s="14" t="s">
        <v>83</v>
      </c>
      <c r="C10" s="19" t="n">
        <f aca="false">COUNTIFS(ES_Data!$AS$2:$AS$347,"&gt;0",ES_Data!$P$2:$P$347,"Cognitive",ES_Data!$Q$2:$Q$347,"Higher-order thinking skills")</f>
        <v>50</v>
      </c>
      <c r="D10" s="19" t="n">
        <f aca="false">SUMPRODUCT(--(COUNTIFS(ES_Data!$B$2:$B$347,Study_Characteristics!$A$2:$A$82,ES_Data!$AS$2:$AS$347,"&gt;0",ES_Data!$P$2:$P$347,"Cognitive",ES_Data!$Q$2:$Q$347,"Higher-order thinking skills")&gt;0))</f>
        <v>25</v>
      </c>
      <c r="E10" s="7" t="n">
        <f aca="false">SUMIFS(ES_Data!$AS$2:$AS$347,ES_Data!$P$2:$P$347,"Cognitive",ES_Data!$Q$2:$Q$347,"Higher-order thinking skills")</f>
        <v>632.10265279174</v>
      </c>
      <c r="F10" s="7" t="n">
        <f aca="false">SUMIFS(ES_Data!$AT$2:$AT$347,ES_Data!$P$2:$P$347,"Cognitive",ES_Data!$Q$2:$Q$347,"Higher-order thinking skills")</f>
        <v>670.368770474723</v>
      </c>
      <c r="G10" s="7" t="n">
        <f aca="false">SUMIFS(ES_Data!$AU$2:$AU$347,ES_Data!$P$2:$P$347,"Cognitive",ES_Data!$Q$2:$Q$347,"Higher-order thinking skills")</f>
        <v>2155.61449517969</v>
      </c>
      <c r="H10" s="7" t="n">
        <f aca="false">SUMIFS(ES_Data!$AV$2:$AV$347,ES_Data!$P$2:$P$347,"Cognitive",ES_Data!$Q$2:$Q$347,"Higher-order thinking skills")</f>
        <v>10036.9536748787</v>
      </c>
      <c r="I10" s="7" t="n">
        <f aca="false">IF(C10&lt;2,"",G10-F10^2/E10)</f>
        <v>1444.66305961302</v>
      </c>
      <c r="J10" s="7" t="n">
        <f aca="false">IF(C10&lt;2,"",C10-1)</f>
        <v>49</v>
      </c>
      <c r="K10" s="7" t="n">
        <f aca="false">IF(I10="","",CHIDIST(MAX(I10,0),J10))</f>
        <v>2.45310947947456E-270</v>
      </c>
      <c r="L10" s="7" t="n">
        <f aca="false">IF(C10&lt;2,0,MAX(0,(I10-J10)/(E10-H10/E10)))</f>
        <v>2.26486328639867</v>
      </c>
      <c r="M10" s="20" t="n">
        <f aca="false">IF(OR(C10&lt;2,I10&lt;=0),"",MAX(0,(I10-J10)/I10))</f>
        <v>0.966082056522491</v>
      </c>
      <c r="N10" s="7" t="n">
        <f aca="false">IF(C10=0,"",SUMPRODUCT((ES_Data!$P$2:$P$347="Cognitive")*(ES_Data!$Q$2:$Q$347="Higher-order thinking skills")*(ES_Data!$AS$2:$AS$347&gt;0)*ES_Data!$AW$2:$AW$347/(ES_Data!$AX$2:$AX$347+L10))/SUMPRODUCT((ES_Data!$P$2:$P$347="Cognitive")*(ES_Data!$Q$2:$Q$347="Higher-order thinking skills")*(ES_Data!$AS$2:$AS$347&gt;0)/(ES_Data!$AX$2:$AX$347+L10)))</f>
        <v>1.33166918224211</v>
      </c>
      <c r="O10" s="7" t="n">
        <f aca="false">IF(C10=0,"",1/SQRT(SUMPRODUCT((ES_Data!$P$2:$P$347="Cognitive")*(ES_Data!$Q$2:$Q$347="Higher-order thinking skills")*(ES_Data!$AS$2:$AS$347&gt;0)/(ES_Data!$AX$2:$AX$347+L10))))</f>
        <v>0.217356423050771</v>
      </c>
      <c r="P10" s="7" t="n">
        <f aca="false">IF(C10=0,"",N10-1.96*O10)</f>
        <v>0.905650593062598</v>
      </c>
      <c r="Q10" s="7" t="n">
        <f aca="false">IF(C10=0,"",N10+1.96*O10)</f>
        <v>1.75768777142162</v>
      </c>
      <c r="R10" s="7" t="n">
        <f aca="false">IF(C10=0,"",N10/O10)</f>
        <v>6.12666128541807</v>
      </c>
      <c r="S10" s="7" t="n">
        <f aca="false">IF(C10=0,"",2*(1-NORMSDIST(ABS(R10))))</f>
        <v>8.97422358647759E-010</v>
      </c>
      <c r="T10" s="7" t="n">
        <f aca="false">IF(C10=0,"",F10/E10)</f>
        <v>1.06053782168763</v>
      </c>
    </row>
    <row r="11" customFormat="false" ht="15" hidden="false" customHeight="false" outlineLevel="0" collapsed="false">
      <c r="A11" s="18" t="s">
        <v>1450</v>
      </c>
      <c r="B11" s="14" t="s">
        <v>450</v>
      </c>
      <c r="C11" s="19" t="n">
        <f aca="false">COUNTIFS(ES_Data!$AS$2:$AS$347,"&gt;0",ES_Data!$P$2:$P$347,"Cognitive",ES_Data!$Q$2:$Q$347,"Cognitive load")</f>
        <v>6</v>
      </c>
      <c r="D11" s="19" t="n">
        <f aca="false">SUMPRODUCT(--(COUNTIFS(ES_Data!$B$2:$B$347,Study_Characteristics!$A$2:$A$82,ES_Data!$AS$2:$AS$347,"&gt;0",ES_Data!$P$2:$P$347,"Cognitive",ES_Data!$Q$2:$Q$347,"Cognitive load")&gt;0))</f>
        <v>3</v>
      </c>
      <c r="E11" s="7" t="n">
        <f aca="false">SUMIFS(ES_Data!$AS$2:$AS$347,ES_Data!$P$2:$P$347,"Cognitive",ES_Data!$Q$2:$Q$347,"Cognitive load")</f>
        <v>37.689212113136</v>
      </c>
      <c r="F11" s="7" t="n">
        <f aca="false">SUMIFS(ES_Data!$AT$2:$AT$347,ES_Data!$P$2:$P$347,"Cognitive",ES_Data!$Q$2:$Q$347,"Cognitive load")</f>
        <v>111.05049725389</v>
      </c>
      <c r="G11" s="7" t="n">
        <f aca="false">SUMIFS(ES_Data!$AU$2:$AU$347,ES_Data!$P$2:$P$347,"Cognitive",ES_Data!$Q$2:$Q$347,"Cognitive load")</f>
        <v>833.930081961153</v>
      </c>
      <c r="H11" s="7" t="n">
        <f aca="false">SUMIFS(ES_Data!$AV$2:$AV$347,ES_Data!$P$2:$P$347,"Cognitive",ES_Data!$Q$2:$Q$347,"Cognitive load")</f>
        <v>334.746297974245</v>
      </c>
      <c r="I11" s="7" t="n">
        <f aca="false">IF(C11&lt;2,"",G11-F11^2/E11)</f>
        <v>506.72204950568</v>
      </c>
      <c r="J11" s="7" t="n">
        <f aca="false">IF(C11&lt;2,"",C11-1)</f>
        <v>5</v>
      </c>
      <c r="K11" s="7" t="n">
        <f aca="false">IF(I11="","",CHIDIST(MAX(I11,0),J11))</f>
        <v>2.82648824486414E-107</v>
      </c>
      <c r="L11" s="7" t="n">
        <f aca="false">IF(C11&lt;2,0,MAX(0,(I11-J11)/(E11-H11/E11)))</f>
        <v>17.4163941078564</v>
      </c>
      <c r="M11" s="20" t="n">
        <f aca="false">IF(OR(C11&lt;2,I11&lt;=0),"",MAX(0,(I11-J11)/I11))</f>
        <v>0.990132657529157</v>
      </c>
      <c r="N11" s="7" t="n">
        <f aca="false">IF(C11=0,"",SUMPRODUCT((ES_Data!$P$2:$P$347="Cognitive")*(ES_Data!$Q$2:$Q$347="Cognitive load")*(ES_Data!$AS$2:$AS$347&gt;0)*ES_Data!$AW$2:$AW$347/(ES_Data!$AX$2:$AX$347+L11))/SUMPRODUCT((ES_Data!$P$2:$P$347="Cognitive")*(ES_Data!$Q$2:$Q$347="Cognitive load")*(ES_Data!$AS$2:$AS$347&gt;0)/(ES_Data!$AX$2:$AX$347+L11)))</f>
        <v>1.45388827133727</v>
      </c>
      <c r="O11" s="7" t="n">
        <f aca="false">IF(C11=0,"",1/SQRT(SUMPRODUCT((ES_Data!$P$2:$P$347="Cognitive")*(ES_Data!$Q$2:$Q$347="Cognitive load")*(ES_Data!$AS$2:$AS$347&gt;0)/(ES_Data!$AX$2:$AX$347+L11))))</f>
        <v>1.71746341560004</v>
      </c>
      <c r="P11" s="7" t="n">
        <f aca="false">IF(C11=0,"",N11-1.96*O11)</f>
        <v>-1.91234002323881</v>
      </c>
      <c r="Q11" s="7" t="n">
        <f aca="false">IF(C11=0,"",N11+1.96*O11)</f>
        <v>4.82011656591335</v>
      </c>
      <c r="R11" s="7" t="n">
        <f aca="false">IF(C11=0,"",N11/O11)</f>
        <v>0.846532309294819</v>
      </c>
      <c r="S11" s="7" t="n">
        <f aca="false">IF(C11=0,"",2*(1-NORMSDIST(ABS(R11))))</f>
        <v>0.397255857702699</v>
      </c>
      <c r="T11" s="7" t="n">
        <f aca="false">IF(C11=0,"",F11/E11)</f>
        <v>2.94647966958123</v>
      </c>
    </row>
    <row r="12" customFormat="false" ht="15" hidden="false" customHeight="false" outlineLevel="0" collapsed="false">
      <c r="A12" s="18" t="s">
        <v>1451</v>
      </c>
      <c r="B12" s="14" t="s">
        <v>425</v>
      </c>
      <c r="C12" s="19" t="n">
        <f aca="false">COUNTIFS(ES_Data!$AS$2:$AS$347,"&gt;0",ES_Data!$P$2:$P$347,"Non-cognitive",ES_Data!$Q$2:$Q$347,"Learning dispositions")</f>
        <v>25</v>
      </c>
      <c r="D12" s="19" t="n">
        <f aca="false">SUMPRODUCT(--(COUNTIFS(ES_Data!$B$2:$B$347,Study_Characteristics!$A$2:$A$82,ES_Data!$AS$2:$AS$347,"&gt;0",ES_Data!$P$2:$P$347,"Non-cognitive",ES_Data!$Q$2:$Q$347,"Learning dispositions")&gt;0))</f>
        <v>10</v>
      </c>
      <c r="E12" s="7" t="n">
        <f aca="false">SUMIFS(ES_Data!$AS$2:$AS$347,ES_Data!$P$2:$P$347,"Non-cognitive",ES_Data!$Q$2:$Q$347,"Learning dispositions")</f>
        <v>479.715704688314</v>
      </c>
      <c r="F12" s="7" t="n">
        <f aca="false">SUMIFS(ES_Data!$AT$2:$AT$347,ES_Data!$P$2:$P$347,"Non-cognitive",ES_Data!$Q$2:$Q$347,"Learning dispositions")</f>
        <v>271.361689906733</v>
      </c>
      <c r="G12" s="7" t="n">
        <f aca="false">SUMIFS(ES_Data!$AU$2:$AU$347,ES_Data!$P$2:$P$347,"Non-cognitive",ES_Data!$Q$2:$Q$347,"Learning dispositions")</f>
        <v>245.817471119381</v>
      </c>
      <c r="H12" s="7" t="n">
        <f aca="false">SUMIFS(ES_Data!$AV$2:$AV$347,ES_Data!$P$2:$P$347,"Non-cognitive",ES_Data!$Q$2:$Q$347,"Learning dispositions")</f>
        <v>13673.192449418</v>
      </c>
      <c r="I12" s="7" t="n">
        <f aca="false">IF(C12&lt;2,"",G12-F12^2/E12)</f>
        <v>92.3157907921077</v>
      </c>
      <c r="J12" s="7" t="n">
        <f aca="false">IF(C12&lt;2,"",C12-1)</f>
        <v>24</v>
      </c>
      <c r="K12" s="7" t="n">
        <f aca="false">IF(I12="","",CHIDIST(MAX(I12,0),J12))</f>
        <v>5.94375650151003E-010</v>
      </c>
      <c r="L12" s="7" t="n">
        <f aca="false">IF(C12&lt;2,0,MAX(0,(I12-J12)/(E12-H12/E12)))</f>
        <v>0.151404746686311</v>
      </c>
      <c r="M12" s="20" t="n">
        <f aca="false">IF(OR(C12&lt;2,I12&lt;=0),"",MAX(0,(I12-J12)/I12))</f>
        <v>0.740022808730012</v>
      </c>
      <c r="N12" s="7" t="n">
        <f aca="false">IF(C12=0,"",SUMPRODUCT((ES_Data!$P$2:$P$347="Non-cognitive")*(ES_Data!$Q$2:$Q$347="Learning dispositions")*(ES_Data!$AS$2:$AS$347&gt;0)*ES_Data!$AW$2:$AW$347/(ES_Data!$AX$2:$AX$347+L12))/SUMPRODUCT((ES_Data!$P$2:$P$347="Non-cognitive")*(ES_Data!$Q$2:$Q$347="Learning dispositions")*(ES_Data!$AS$2:$AS$347&gt;0)/(ES_Data!$AX$2:$AX$347+L12)))</f>
        <v>0.51786074905421</v>
      </c>
      <c r="O12" s="7" t="n">
        <f aca="false">IF(C12=0,"",1/SQRT(SUMPRODUCT((ES_Data!$P$2:$P$347="Non-cognitive")*(ES_Data!$Q$2:$Q$347="Learning dispositions")*(ES_Data!$AS$2:$AS$347&gt;0)/(ES_Data!$AX$2:$AX$347+L12))))</f>
        <v>0.0919007286083517</v>
      </c>
      <c r="P12" s="7" t="n">
        <f aca="false">IF(C12=0,"",N12-1.96*O12)</f>
        <v>0.337735320981841</v>
      </c>
      <c r="Q12" s="7" t="n">
        <f aca="false">IF(C12=0,"",N12+1.96*O12)</f>
        <v>0.697986177126579</v>
      </c>
      <c r="R12" s="7" t="n">
        <f aca="false">IF(C12=0,"",N12/O12)</f>
        <v>5.63500155979338</v>
      </c>
      <c r="S12" s="7" t="n">
        <f aca="false">IF(C12=0,"",2*(1-NORMSDIST(ABS(R12))))</f>
        <v>1.75056753537461E-008</v>
      </c>
      <c r="T12" s="7" t="n">
        <f aca="false">IF(C12=0,"",F12/E12)</f>
        <v>0.565671891194484</v>
      </c>
    </row>
    <row r="13" customFormat="false" ht="15" hidden="false" customHeight="false" outlineLevel="0" collapsed="false">
      <c r="A13" s="18" t="s">
        <v>1451</v>
      </c>
      <c r="B13" s="14" t="s">
        <v>422</v>
      </c>
      <c r="C13" s="19" t="n">
        <f aca="false">COUNTIFS(ES_Data!$AS$2:$AS$347,"&gt;0",ES_Data!$P$2:$P$347,"Non-cognitive",ES_Data!$Q$2:$Q$347,"Emotional functioning")</f>
        <v>7</v>
      </c>
      <c r="D13" s="19" t="n">
        <f aca="false">SUMPRODUCT(--(COUNTIFS(ES_Data!$B$2:$B$347,Study_Characteristics!$A$2:$A$82,ES_Data!$AS$2:$AS$347,"&gt;0",ES_Data!$P$2:$P$347,"Non-cognitive",ES_Data!$Q$2:$Q$347,"Emotional functioning")&gt;0))</f>
        <v>6</v>
      </c>
      <c r="E13" s="7" t="n">
        <f aca="false">SUMIFS(ES_Data!$AS$2:$AS$347,ES_Data!$P$2:$P$347,"Non-cognitive",ES_Data!$Q$2:$Q$347,"Emotional functioning")</f>
        <v>185.179208354687</v>
      </c>
      <c r="F13" s="7" t="n">
        <f aca="false">SUMIFS(ES_Data!$AT$2:$AT$347,ES_Data!$P$2:$P$347,"Non-cognitive",ES_Data!$Q$2:$Q$347,"Emotional functioning")</f>
        <v>104.212858187205</v>
      </c>
      <c r="G13" s="7" t="n">
        <f aca="false">SUMIFS(ES_Data!$AU$2:$AU$347,ES_Data!$P$2:$P$347,"Non-cognitive",ES_Data!$Q$2:$Q$347,"Emotional functioning")</f>
        <v>144.40893609783</v>
      </c>
      <c r="H13" s="7" t="n">
        <f aca="false">SUMIFS(ES_Data!$AV$2:$AV$347,ES_Data!$P$2:$P$347,"Non-cognitive",ES_Data!$Q$2:$Q$347,"Emotional functioning")</f>
        <v>8318.78040260245</v>
      </c>
      <c r="I13" s="7" t="n">
        <f aca="false">IF(C13&lt;2,"",G13-F13^2/E13)</f>
        <v>85.7613162703118</v>
      </c>
      <c r="J13" s="7" t="n">
        <f aca="false">IF(C13&lt;2,"",C13-1)</f>
        <v>6</v>
      </c>
      <c r="K13" s="7" t="n">
        <f aca="false">IF(I13="","",CHIDIST(MAX(I13,0),J13))</f>
        <v>2.29566519620454E-016</v>
      </c>
      <c r="L13" s="7" t="n">
        <f aca="false">IF(C13&lt;2,0,MAX(0,(I13-J13)/(E13-H13/E13)))</f>
        <v>0.568682412679264</v>
      </c>
      <c r="M13" s="20" t="n">
        <f aca="false">IF(OR(C13&lt;2,I13&lt;=0),"",MAX(0,(I13-J13)/I13))</f>
        <v>0.930038387224742</v>
      </c>
      <c r="N13" s="7" t="n">
        <f aca="false">IF(C13=0,"",SUMPRODUCT((ES_Data!$P$2:$P$347="Non-cognitive")*(ES_Data!$Q$2:$Q$347="Emotional functioning")*(ES_Data!$AS$2:$AS$347&gt;0)*ES_Data!$AW$2:$AW$347/(ES_Data!$AX$2:$AX$347+L13))/SUMPRODUCT((ES_Data!$P$2:$P$347="Non-cognitive")*(ES_Data!$Q$2:$Q$347="Emotional functioning")*(ES_Data!$AS$2:$AS$347&gt;0)/(ES_Data!$AX$2:$AX$347+L13)))</f>
        <v>0.265782655463394</v>
      </c>
      <c r="O13" s="7" t="n">
        <f aca="false">IF(C13=0,"",1/SQRT(SUMPRODUCT((ES_Data!$P$2:$P$347="Non-cognitive")*(ES_Data!$Q$2:$Q$347="Emotional functioning")*(ES_Data!$AS$2:$AS$347&gt;0)/(ES_Data!$AX$2:$AX$347+L13))))</f>
        <v>0.297931020756227</v>
      </c>
      <c r="P13" s="7" t="n">
        <f aca="false">IF(C13=0,"",N13-1.96*O13)</f>
        <v>-0.318162145218812</v>
      </c>
      <c r="Q13" s="7" t="n">
        <f aca="false">IF(C13=0,"",N13+1.96*O13)</f>
        <v>0.849727456145599</v>
      </c>
      <c r="R13" s="7" t="n">
        <f aca="false">IF(C13=0,"",N13/O13)</f>
        <v>0.892094602263193</v>
      </c>
      <c r="S13" s="7" t="n">
        <f aca="false">IF(C13=0,"",2*(1-NORMSDIST(ABS(R13))))</f>
        <v>0.372342227834557</v>
      </c>
      <c r="T13" s="7" t="n">
        <f aca="false">IF(C13=0,"",F13/E13)</f>
        <v>0.56276759747022</v>
      </c>
    </row>
    <row r="14" customFormat="false" ht="15" hidden="false" customHeight="false" outlineLevel="0" collapsed="false">
      <c r="A14" s="18" t="s">
        <v>1451</v>
      </c>
      <c r="B14" s="14" t="s">
        <v>430</v>
      </c>
      <c r="C14" s="19" t="n">
        <f aca="false">COUNTIFS(ES_Data!$AS$2:$AS$347,"&gt;0",ES_Data!$P$2:$P$347,"Non-cognitive",ES_Data!$Q$2:$Q$347,"Self-management")</f>
        <v>11</v>
      </c>
      <c r="D14" s="19" t="n">
        <f aca="false">SUMPRODUCT(--(COUNTIFS(ES_Data!$B$2:$B$347,Study_Characteristics!$A$2:$A$82,ES_Data!$AS$2:$AS$347,"&gt;0",ES_Data!$P$2:$P$347,"Non-cognitive",ES_Data!$Q$2:$Q$347,"Self-management")&gt;0))</f>
        <v>5</v>
      </c>
      <c r="E14" s="7" t="n">
        <f aca="false">SUMIFS(ES_Data!$AS$2:$AS$347,ES_Data!$P$2:$P$347,"Non-cognitive",ES_Data!$Q$2:$Q$347,"Self-management")</f>
        <v>609.659750878261</v>
      </c>
      <c r="F14" s="7" t="n">
        <f aca="false">SUMIFS(ES_Data!$AT$2:$AT$347,ES_Data!$P$2:$P$347,"Non-cognitive",ES_Data!$Q$2:$Q$347,"Self-management")</f>
        <v>767.026558514528</v>
      </c>
      <c r="G14" s="7" t="n">
        <f aca="false">SUMIFS(ES_Data!$AU$2:$AU$347,ES_Data!$P$2:$P$347,"Non-cognitive",ES_Data!$Q$2:$Q$347,"Self-management")</f>
        <v>1007.45969683034</v>
      </c>
      <c r="H14" s="7" t="n">
        <f aca="false">SUMIFS(ES_Data!$AV$2:$AV$347,ES_Data!$P$2:$P$347,"Non-cognitive",ES_Data!$Q$2:$Q$347,"Self-management")</f>
        <v>44257.4010935018</v>
      </c>
      <c r="I14" s="7" t="n">
        <f aca="false">IF(C14&lt;2,"",G14-F14^2/E14)</f>
        <v>42.4464404703662</v>
      </c>
      <c r="J14" s="7" t="n">
        <f aca="false">IF(C14&lt;2,"",C14-1)</f>
        <v>10</v>
      </c>
      <c r="K14" s="7" t="n">
        <f aca="false">IF(I14="","",CHIDIST(MAX(I14,0),J14))</f>
        <v>6.2439894521882E-006</v>
      </c>
      <c r="L14" s="7" t="n">
        <f aca="false">IF(C14&lt;2,0,MAX(0,(I14-J14)/(E14-H14/E14)))</f>
        <v>0.0604142355890319</v>
      </c>
      <c r="M14" s="20" t="n">
        <f aca="false">IF(OR(C14&lt;2,I14&lt;=0),"",MAX(0,(I14-J14)/I14))</f>
        <v>0.764408984848059</v>
      </c>
      <c r="N14" s="7" t="n">
        <f aca="false">IF(C14=0,"",SUMPRODUCT((ES_Data!$P$2:$P$347="Non-cognitive")*(ES_Data!$Q$2:$Q$347="Self-management")*(ES_Data!$AS$2:$AS$347&gt;0)*ES_Data!$AW$2:$AW$347/(ES_Data!$AX$2:$AX$347+L14))/SUMPRODUCT((ES_Data!$P$2:$P$347="Non-cognitive")*(ES_Data!$Q$2:$Q$347="Self-management")*(ES_Data!$AS$2:$AS$347&gt;0)/(ES_Data!$AX$2:$AX$347+L14)))</f>
        <v>1.17134811882369</v>
      </c>
      <c r="O14" s="7" t="n">
        <f aca="false">IF(C14=0,"",1/SQRT(SUMPRODUCT((ES_Data!$P$2:$P$347="Non-cognitive")*(ES_Data!$Q$2:$Q$347="Self-management")*(ES_Data!$AS$2:$AS$347&gt;0)/(ES_Data!$AX$2:$AX$347+L14))))</f>
        <v>0.0887707462786332</v>
      </c>
      <c r="P14" s="7" t="n">
        <f aca="false">IF(C14=0,"",N14-1.96*O14)</f>
        <v>0.997357456117568</v>
      </c>
      <c r="Q14" s="7" t="n">
        <f aca="false">IF(C14=0,"",N14+1.96*O14)</f>
        <v>1.34533878152981</v>
      </c>
      <c r="R14" s="7" t="n">
        <f aca="false">IF(C14=0,"",N14/O14)</f>
        <v>13.1952041401913</v>
      </c>
      <c r="S14" s="7" t="n">
        <f aca="false">IF(C14=0,"",2*(1-NORMSDIST(ABS(R14))))</f>
        <v>0</v>
      </c>
      <c r="T14" s="7" t="n">
        <f aca="false">IF(C14=0,"",F14/E14)</f>
        <v>1.25812235006423</v>
      </c>
    </row>
    <row r="15" customFormat="false" ht="15" hidden="false" customHeight="false" outlineLevel="0" collapsed="false">
      <c r="A15" s="18" t="s">
        <v>1451</v>
      </c>
      <c r="B15" s="14" t="s">
        <v>315</v>
      </c>
      <c r="C15" s="19" t="n">
        <f aca="false">COUNTIFS(ES_Data!$AS$2:$AS$347,"&gt;0",ES_Data!$P$2:$P$347,"Non-cognitive",ES_Data!$Q$2:$Q$347,"Social competence")</f>
        <v>10</v>
      </c>
      <c r="D15" s="19" t="n">
        <f aca="false">SUMPRODUCT(--(COUNTIFS(ES_Data!$B$2:$B$347,Study_Characteristics!$A$2:$A$82,ES_Data!$AS$2:$AS$347,"&gt;0",ES_Data!$P$2:$P$347,"Non-cognitive",ES_Data!$Q$2:$Q$347,"Social competence")&gt;0))</f>
        <v>5</v>
      </c>
      <c r="E15" s="7" t="n">
        <f aca="false">SUMIFS(ES_Data!$AS$2:$AS$347,ES_Data!$P$2:$P$347,"Non-cognitive",ES_Data!$Q$2:$Q$347,"Social competence")</f>
        <v>188.299138928128</v>
      </c>
      <c r="F15" s="7" t="n">
        <f aca="false">SUMIFS(ES_Data!$AT$2:$AT$347,ES_Data!$P$2:$P$347,"Non-cognitive",ES_Data!$Q$2:$Q$347,"Social competence")</f>
        <v>163.587738383917</v>
      </c>
      <c r="G15" s="7" t="n">
        <f aca="false">SUMIFS(ES_Data!$AU$2:$AU$347,ES_Data!$P$2:$P$347,"Non-cognitive",ES_Data!$Q$2:$Q$347,"Social competence")</f>
        <v>153.396628677191</v>
      </c>
      <c r="H15" s="7" t="n">
        <f aca="false">SUMIFS(ES_Data!$AV$2:$AV$347,ES_Data!$P$2:$P$347,"Non-cognitive",ES_Data!$Q$2:$Q$347,"Social competence")</f>
        <v>7745.85337227109</v>
      </c>
      <c r="I15" s="7" t="n">
        <f aca="false">IF(C15&lt;2,"",G15-F15^2/E15)</f>
        <v>11.2772950365883</v>
      </c>
      <c r="J15" s="7" t="n">
        <f aca="false">IF(C15&lt;2,"",C15-1)</f>
        <v>9</v>
      </c>
      <c r="K15" s="7" t="n">
        <f aca="false">IF(I15="","",CHIDIST(MAX(I15,0),J15))</f>
        <v>0.257179651795972</v>
      </c>
      <c r="L15" s="7" t="n">
        <f aca="false">IF(C15&lt;2,0,MAX(0,(I15-J15)/(E15-H15/E15)))</f>
        <v>0.0154746182298485</v>
      </c>
      <c r="M15" s="20" t="n">
        <f aca="false">IF(OR(C15&lt;2,I15&lt;=0),"",MAX(0,(I15-J15)/I15))</f>
        <v>0.201936282521635</v>
      </c>
      <c r="N15" s="7" t="n">
        <f aca="false">IF(C15=0,"",SUMPRODUCT((ES_Data!$P$2:$P$347="Non-cognitive")*(ES_Data!$Q$2:$Q$347="Social competence")*(ES_Data!$AS$2:$AS$347&gt;0)*ES_Data!$AW$2:$AW$347/(ES_Data!$AX$2:$AX$347+L15))/SUMPRODUCT((ES_Data!$P$2:$P$347="Non-cognitive")*(ES_Data!$Q$2:$Q$347="Social competence")*(ES_Data!$AS$2:$AS$347&gt;0)/(ES_Data!$AX$2:$AX$347+L15)))</f>
        <v>0.801454056141841</v>
      </c>
      <c r="O15" s="7" t="n">
        <f aca="false">IF(C15=0,"",1/SQRT(SUMPRODUCT((ES_Data!$P$2:$P$347="Non-cognitive")*(ES_Data!$Q$2:$Q$347="Social competence")*(ES_Data!$AS$2:$AS$347&gt;0)/(ES_Data!$AX$2:$AX$347+L15))))</f>
        <v>0.0888420871289616</v>
      </c>
      <c r="P15" s="7" t="n">
        <f aca="false">IF(C15=0,"",N15-1.96*O15)</f>
        <v>0.627323565369076</v>
      </c>
      <c r="Q15" s="7" t="n">
        <f aca="false">IF(C15=0,"",N15+1.96*O15)</f>
        <v>0.975584546914605</v>
      </c>
      <c r="R15" s="7" t="n">
        <f aca="false">IF(C15=0,"",N15/O15)</f>
        <v>9.021107923528</v>
      </c>
      <c r="S15" s="7" t="n">
        <f aca="false">IF(C15=0,"",2*(1-NORMSDIST(ABS(R15))))</f>
        <v>0</v>
      </c>
      <c r="T15" s="7" t="n">
        <f aca="false">IF(C15=0,"",F15/E15)</f>
        <v>0.868765196246365</v>
      </c>
    </row>
    <row r="16" customFormat="false" ht="15" hidden="false" customHeight="false" outlineLevel="0" collapsed="false">
      <c r="A16" s="18" t="s">
        <v>1451</v>
      </c>
      <c r="B16" s="14" t="s">
        <v>114</v>
      </c>
      <c r="C16" s="19" t="n">
        <f aca="false">COUNTIFS(ES_Data!$AS$2:$AS$347,"&gt;0",ES_Data!$P$2:$P$347,"Non-cognitive",ES_Data!$Q$2:$Q$347,"Curiosity")</f>
        <v>28</v>
      </c>
      <c r="D16" s="19" t="n">
        <f aca="false">SUMPRODUCT(--(COUNTIFS(ES_Data!$B$2:$B$347,Study_Characteristics!$A$2:$A$82,ES_Data!$AS$2:$AS$347,"&gt;0",ES_Data!$P$2:$P$347,"Non-cognitive",ES_Data!$Q$2:$Q$347,"Curiosity")&gt;0))</f>
        <v>23</v>
      </c>
      <c r="E16" s="7" t="n">
        <f aca="false">SUMIFS(ES_Data!$AS$2:$AS$347,ES_Data!$P$2:$P$347,"Non-cognitive",ES_Data!$Q$2:$Q$347,"Curiosity")</f>
        <v>729.387108415448</v>
      </c>
      <c r="F16" s="7" t="n">
        <f aca="false">SUMIFS(ES_Data!$AT$2:$AT$347,ES_Data!$P$2:$P$347,"Non-cognitive",ES_Data!$Q$2:$Q$347,"Curiosity")</f>
        <v>233.850864073657</v>
      </c>
      <c r="G16" s="7" t="n">
        <f aca="false">SUMIFS(ES_Data!$AU$2:$AU$347,ES_Data!$P$2:$P$347,"Non-cognitive",ES_Data!$Q$2:$Q$347,"Curiosity")</f>
        <v>263.450267194032</v>
      </c>
      <c r="H16" s="7" t="n">
        <f aca="false">SUMIFS(ES_Data!$AV$2:$AV$347,ES_Data!$P$2:$P$347,"Non-cognitive",ES_Data!$Q$2:$Q$347,"Curiosity")</f>
        <v>33795.7955937688</v>
      </c>
      <c r="I16" s="7" t="n">
        <f aca="false">IF(C16&lt;2,"",G16-F16^2/E16)</f>
        <v>188.474680160695</v>
      </c>
      <c r="J16" s="7" t="n">
        <f aca="false">IF(C16&lt;2,"",C16-1)</f>
        <v>27</v>
      </c>
      <c r="K16" s="7" t="n">
        <f aca="false">IF(I16="","",CHIDIST(MAX(I16,0),J16))</f>
        <v>3.79236218109719E-026</v>
      </c>
      <c r="L16" s="7" t="n">
        <f aca="false">IF(C16&lt;2,0,MAX(0,(I16-J16)/(E16-H16/E16)))</f>
        <v>0.236401531836258</v>
      </c>
      <c r="M16" s="20" t="n">
        <f aca="false">IF(OR(C16&lt;2,I16&lt;=0),"",MAX(0,(I16-J16)/I16))</f>
        <v>0.856744683280643</v>
      </c>
      <c r="N16" s="7" t="n">
        <f aca="false">IF(C16=0,"",SUMPRODUCT((ES_Data!$P$2:$P$347="Non-cognitive")*(ES_Data!$Q$2:$Q$347="Curiosity")*(ES_Data!$AS$2:$AS$347&gt;0)*ES_Data!$AW$2:$AW$347/(ES_Data!$AX$2:$AX$347+L16))/SUMPRODUCT((ES_Data!$P$2:$P$347="Non-cognitive")*(ES_Data!$Q$2:$Q$347="Curiosity")*(ES_Data!$AS$2:$AS$347&gt;0)/(ES_Data!$AX$2:$AX$347+L16)))</f>
        <v>0.460236850875168</v>
      </c>
      <c r="O16" s="7" t="n">
        <f aca="false">IF(C16=0,"",1/SQRT(SUMPRODUCT((ES_Data!$P$2:$P$347="Non-cognitive")*(ES_Data!$Q$2:$Q$347="Curiosity")*(ES_Data!$AS$2:$AS$347&gt;0)/(ES_Data!$AX$2:$AX$347+L16))))</f>
        <v>0.102196943362364</v>
      </c>
      <c r="P16" s="7" t="n">
        <f aca="false">IF(C16=0,"",N16-1.96*O16)</f>
        <v>0.259930841884935</v>
      </c>
      <c r="Q16" s="7" t="n">
        <f aca="false">IF(C16=0,"",N16+1.96*O16)</f>
        <v>0.660542859865401</v>
      </c>
      <c r="R16" s="7" t="n">
        <f aca="false">IF(C16=0,"",N16/O16)</f>
        <v>4.5034306871908</v>
      </c>
      <c r="S16" s="7" t="n">
        <f aca="false">IF(C16=0,"",2*(1-NORMSDIST(ABS(R16))))</f>
        <v>6.68651824198285E-006</v>
      </c>
      <c r="T16" s="7" t="n">
        <f aca="false">IF(C16=0,"",F16/E16)</f>
        <v>0.320612828737384</v>
      </c>
    </row>
    <row r="17" customFormat="false" ht="15" hidden="false" customHeight="false" outlineLevel="0" collapsed="false">
      <c r="A17" s="18" t="s">
        <v>1451</v>
      </c>
      <c r="B17" s="14" t="s">
        <v>782</v>
      </c>
      <c r="C17" s="19" t="n">
        <f aca="false">COUNTIFS(ES_Data!$AS$2:$AS$347,"&gt;0",ES_Data!$P$2:$P$347,"Non-cognitive",ES_Data!$Q$2:$Q$347,"Attitudes toward AI / technology acceptance")</f>
        <v>5</v>
      </c>
      <c r="D17" s="19" t="n">
        <f aca="false">SUMPRODUCT(--(COUNTIFS(ES_Data!$B$2:$B$347,Study_Characteristics!$A$2:$A$82,ES_Data!$AS$2:$AS$347,"&gt;0",ES_Data!$P$2:$P$347,"Non-cognitive",ES_Data!$Q$2:$Q$347,"Attitudes toward AI / technology acceptance")&gt;0))</f>
        <v>2</v>
      </c>
      <c r="E17" s="7" t="n">
        <f aca="false">SUMIFS(ES_Data!$AS$2:$AS$347,ES_Data!$P$2:$P$347,"Non-cognitive",ES_Data!$Q$2:$Q$347,"Attitudes toward AI / technology acceptance")</f>
        <v>71.1921689895872</v>
      </c>
      <c r="F17" s="7" t="n">
        <f aca="false">SUMIFS(ES_Data!$AT$2:$AT$347,ES_Data!$P$2:$P$347,"Non-cognitive",ES_Data!$Q$2:$Q$347,"Attitudes toward AI / technology acceptance")</f>
        <v>60.7463855324546</v>
      </c>
      <c r="G17" s="7" t="n">
        <f aca="false">SUMIFS(ES_Data!$AU$2:$AU$347,ES_Data!$P$2:$P$347,"Non-cognitive",ES_Data!$Q$2:$Q$347,"Attitudes toward AI / technology acceptance")</f>
        <v>54.462648083302</v>
      </c>
      <c r="H17" s="7" t="n">
        <f aca="false">SUMIFS(ES_Data!$AV$2:$AV$347,ES_Data!$P$2:$P$347,"Non-cognitive",ES_Data!$Q$2:$Q$347,"Attitudes toward AI / technology acceptance")</f>
        <v>1054.87943048546</v>
      </c>
      <c r="I17" s="7" t="n">
        <f aca="false">IF(C17&lt;2,"",G17-F17^2/E17)</f>
        <v>2.62937192904788</v>
      </c>
      <c r="J17" s="7" t="n">
        <f aca="false">IF(C17&lt;2,"",C17-1)</f>
        <v>4</v>
      </c>
      <c r="K17" s="7" t="n">
        <f aca="false">IF(I17="","",CHIDIST(MAX(I17,0),J17))</f>
        <v>0.621628930725337</v>
      </c>
      <c r="L17" s="7" t="n">
        <f aca="false">IF(C17&lt;2,0,MAX(0,(I17-J17)/(E17-H17/E17)))</f>
        <v>0</v>
      </c>
      <c r="M17" s="20" t="n">
        <f aca="false">IF(OR(C17&lt;2,I17&lt;=0),"",MAX(0,(I17-J17)/I17))</f>
        <v>0</v>
      </c>
      <c r="N17" s="7" t="n">
        <f aca="false">IF(C17=0,"",SUMPRODUCT((ES_Data!$P$2:$P$347="Non-cognitive")*(ES_Data!$Q$2:$Q$347="Attitudes toward AI / technology acceptance")*(ES_Data!$AS$2:$AS$347&gt;0)*ES_Data!$AW$2:$AW$347/(ES_Data!$AX$2:$AX$347+L17))/SUMPRODUCT((ES_Data!$P$2:$P$347="Non-cognitive")*(ES_Data!$Q$2:$Q$347="Attitudes toward AI / technology acceptance")*(ES_Data!$AS$2:$AS$347&gt;0)/(ES_Data!$AX$2:$AX$347+L17)))</f>
        <v>0.85327342030188</v>
      </c>
      <c r="O17" s="7" t="n">
        <f aca="false">IF(C17=0,"",1/SQRT(SUMPRODUCT((ES_Data!$P$2:$P$347="Non-cognitive")*(ES_Data!$Q$2:$Q$347="Attitudes toward AI / technology acceptance")*(ES_Data!$AS$2:$AS$347&gt;0)/(ES_Data!$AX$2:$AX$347+L17))))</f>
        <v>0.118517883624194</v>
      </c>
      <c r="P17" s="7" t="n">
        <f aca="false">IF(C17=0,"",N17-1.96*O17)</f>
        <v>0.620978368398459</v>
      </c>
      <c r="Q17" s="7" t="n">
        <f aca="false">IF(C17=0,"",N17+1.96*O17)</f>
        <v>1.0855684722053</v>
      </c>
      <c r="R17" s="7" t="n">
        <f aca="false">IF(C17=0,"",N17/O17)</f>
        <v>7.1995330511259</v>
      </c>
      <c r="S17" s="7" t="n">
        <f aca="false">IF(C17=0,"",2*(1-NORMSDIST(ABS(R17))))</f>
        <v>6.0418337000101E-013</v>
      </c>
      <c r="T17" s="7" t="n">
        <f aca="false">IF(C17=0,"",F17/E17)</f>
        <v>0.85327342030188</v>
      </c>
    </row>
    <row r="18" customFormat="false" ht="15" hidden="false" customHeight="false" outlineLevel="0" collapsed="false">
      <c r="A18" s="18" t="s">
        <v>1452</v>
      </c>
      <c r="B18" s="14" t="s">
        <v>161</v>
      </c>
      <c r="C18" s="19" t="n">
        <f aca="false">COUNTIFS(ES_Data!$AS$2:$AS$347,"&gt;0",ES_Data!$P$2:$P$347,"Cognitive",ES_Data!$H$2:$H$347,"AI educational robot")</f>
        <v>9</v>
      </c>
      <c r="D18" s="19" t="n">
        <f aca="false">SUMPRODUCT(--(COUNTIFS(ES_Data!$B$2:$B$347,Study_Characteristics!$A$2:$A$82,ES_Data!$AS$2:$AS$347,"&gt;0",ES_Data!$P$2:$P$347,"Cognitive",ES_Data!$H$2:$H$347,"AI educational robot")&gt;0))</f>
        <v>5</v>
      </c>
      <c r="E18" s="7" t="n">
        <f aca="false">SUMIFS(ES_Data!$AS$2:$AS$347,ES_Data!$P$2:$P$347,"Cognitive",ES_Data!$H$2:$H$347,"AI educational robot")</f>
        <v>107.432776505343</v>
      </c>
      <c r="F18" s="7" t="n">
        <f aca="false">SUMIFS(ES_Data!$AT$2:$AT$347,ES_Data!$P$2:$P$347,"Cognitive",ES_Data!$H$2:$H$347,"AI educational robot")</f>
        <v>94.5284356313297</v>
      </c>
      <c r="G18" s="7" t="n">
        <f aca="false">SUMIFS(ES_Data!$AU$2:$AU$347,ES_Data!$P$2:$P$347,"Cognitive",ES_Data!$H$2:$H$347,"AI educational robot")</f>
        <v>339.928243316312</v>
      </c>
      <c r="H18" s="7" t="n">
        <f aca="false">SUMIFS(ES_Data!$AV$2:$AV$347,ES_Data!$P$2:$P$347,"Cognitive",ES_Data!$H$2:$H$347,"AI educational robot")</f>
        <v>1638.9218366521</v>
      </c>
      <c r="I18" s="7" t="n">
        <f aca="false">IF(C18&lt;2,"",G18-F18^2/E18)</f>
        <v>256.754137297913</v>
      </c>
      <c r="J18" s="7" t="n">
        <f aca="false">IF(C18&lt;2,"",C18-1)</f>
        <v>8</v>
      </c>
      <c r="K18" s="7" t="n">
        <f aca="false">IF(I18="","",CHIDIST(MAX(I18,0),J18))</f>
        <v>6.36863537953241E-051</v>
      </c>
      <c r="L18" s="7" t="n">
        <f aca="false">IF(C18&lt;2,0,MAX(0,(I18-J18)/(E18-H18/E18)))</f>
        <v>2.69864409474006</v>
      </c>
      <c r="M18" s="20" t="n">
        <f aca="false">IF(OR(C18&lt;2,I18&lt;=0),"",MAX(0,(I18-J18)/I18))</f>
        <v>0.968841787383868</v>
      </c>
      <c r="N18" s="7" t="n">
        <f aca="false">IF(C18=0,"",SUMPRODUCT((ES_Data!$P$2:$P$347="Cognitive")*(ES_Data!$H$2:$H$347="AI educational robot")*(ES_Data!$AS$2:$AS$347&gt;0)*ES_Data!$AW$2:$AW$347/(ES_Data!$AX$2:$AX$347+L18))/SUMPRODUCT((ES_Data!$P$2:$P$347="Cognitive")*(ES_Data!$H$2:$H$347="AI educational robot")*(ES_Data!$AS$2:$AS$347&gt;0)/(ES_Data!$AX$2:$AX$347+L18)))</f>
        <v>1.81910929501625</v>
      </c>
      <c r="O18" s="7" t="n">
        <f aca="false">IF(C18=0,"",1/SQRT(SUMPRODUCT((ES_Data!$P$2:$P$347="Cognitive")*(ES_Data!$H$2:$H$347="AI educational robot")*(ES_Data!$AS$2:$AS$347&gt;0)/(ES_Data!$AX$2:$AX$347+L18))))</f>
        <v>0.561081669158244</v>
      </c>
      <c r="P18" s="7" t="n">
        <f aca="false">IF(C18=0,"",N18-1.96*O18)</f>
        <v>0.719389223466092</v>
      </c>
      <c r="Q18" s="7" t="n">
        <f aca="false">IF(C18=0,"",N18+1.96*O18)</f>
        <v>2.91882936656641</v>
      </c>
      <c r="R18" s="7" t="n">
        <f aca="false">IF(C18=0,"",N18/O18)</f>
        <v>3.24214707948906</v>
      </c>
      <c r="S18" s="7" t="n">
        <f aca="false">IF(C18=0,"",2*(1-NORMSDIST(ABS(R18))))</f>
        <v>0.00118632780517358</v>
      </c>
      <c r="T18" s="7" t="n">
        <f aca="false">IF(C18=0,"",F18/E18)</f>
        <v>0.879884507374974</v>
      </c>
    </row>
    <row r="19" customFormat="false" ht="15" hidden="false" customHeight="false" outlineLevel="0" collapsed="false">
      <c r="A19" s="18" t="s">
        <v>1452</v>
      </c>
      <c r="B19" s="14" t="s">
        <v>74</v>
      </c>
      <c r="C19" s="19" t="n">
        <f aca="false">COUNTIFS(ES_Data!$AS$2:$AS$347,"&gt;0",ES_Data!$P$2:$P$347,"Cognitive",ES_Data!$H$2:$H$347,"Conversational AI / chatbot")</f>
        <v>37</v>
      </c>
      <c r="D19" s="19" t="n">
        <f aca="false">SUMPRODUCT(--(COUNTIFS(ES_Data!$B$2:$B$347,Study_Characteristics!$A$2:$A$82,ES_Data!$AS$2:$AS$347,"&gt;0",ES_Data!$P$2:$P$347,"Cognitive",ES_Data!$H$2:$H$347,"Conversational AI / chatbot")&gt;0))</f>
        <v>19</v>
      </c>
      <c r="E19" s="7" t="n">
        <f aca="false">SUMIFS(ES_Data!$AS$2:$AS$347,ES_Data!$P$2:$P$347,"Cognitive",ES_Data!$H$2:$H$347,"Conversational AI / chatbot")</f>
        <v>486.695052506167</v>
      </c>
      <c r="F19" s="7" t="n">
        <f aca="false">SUMIFS(ES_Data!$AT$2:$AT$347,ES_Data!$P$2:$P$347,"Cognitive",ES_Data!$H$2:$H$347,"Conversational AI / chatbot")</f>
        <v>558.960495085969</v>
      </c>
      <c r="G19" s="7" t="n">
        <f aca="false">SUMIFS(ES_Data!$AU$2:$AU$347,ES_Data!$P$2:$P$347,"Cognitive",ES_Data!$H$2:$H$347,"Conversational AI / chatbot")</f>
        <v>1838.08532121297</v>
      </c>
      <c r="H19" s="7" t="n">
        <f aca="false">SUMIFS(ES_Data!$AV$2:$AV$347,ES_Data!$P$2:$P$347,"Cognitive",ES_Data!$H$2:$H$347,"Conversational AI / chatbot")</f>
        <v>9769.46785007671</v>
      </c>
      <c r="I19" s="7" t="n">
        <f aca="false">IF(C19&lt;2,"",G19-F19^2/E19)</f>
        <v>1196.12926791449</v>
      </c>
      <c r="J19" s="7" t="n">
        <f aca="false">IF(C19&lt;2,"",C19-1)</f>
        <v>36</v>
      </c>
      <c r="K19" s="7" t="n">
        <f aca="false">IF(I19="","",CHIDIST(MAX(I19,0),J19))</f>
        <v>8.51100980776918E-228</v>
      </c>
      <c r="L19" s="7" t="n">
        <f aca="false">IF(C19&lt;2,0,MAX(0,(I19-J19)/(E19-H19/E19)))</f>
        <v>2.48622939296318</v>
      </c>
      <c r="M19" s="20" t="n">
        <f aca="false">IF(OR(C19&lt;2,I19&lt;=0),"",MAX(0,(I19-J19)/I19))</f>
        <v>0.969902918550963</v>
      </c>
      <c r="N19" s="7" t="n">
        <f aca="false">IF(C19=0,"",SUMPRODUCT((ES_Data!$P$2:$P$347="Cognitive")*(ES_Data!$H$2:$H$347="Conversational AI / chatbot")*(ES_Data!$AS$2:$AS$347&gt;0)*ES_Data!$AW$2:$AW$347/(ES_Data!$AX$2:$AX$347+L19))/SUMPRODUCT((ES_Data!$P$2:$P$347="Cognitive")*(ES_Data!$H$2:$H$347="Conversational AI / chatbot")*(ES_Data!$AS$2:$AS$347&gt;0)/(ES_Data!$AX$2:$AX$347+L19)))</f>
        <v>1.26241826106483</v>
      </c>
      <c r="O19" s="7" t="n">
        <f aca="false">IF(C19=0,"",1/SQRT(SUMPRODUCT((ES_Data!$P$2:$P$347="Cognitive")*(ES_Data!$H$2:$H$347="Conversational AI / chatbot")*(ES_Data!$AS$2:$AS$347&gt;0)/(ES_Data!$AX$2:$AX$347+L19))))</f>
        <v>0.265573753833147</v>
      </c>
      <c r="P19" s="7" t="n">
        <f aca="false">IF(C19=0,"",N19-1.96*O19)</f>
        <v>0.74189370355186</v>
      </c>
      <c r="Q19" s="7" t="n">
        <f aca="false">IF(C19=0,"",N19+1.96*O19)</f>
        <v>1.7829428185778</v>
      </c>
      <c r="R19" s="7" t="n">
        <f aca="false">IF(C19=0,"",N19/O19)</f>
        <v>4.7535505404573</v>
      </c>
      <c r="S19" s="7" t="n">
        <f aca="false">IF(C19=0,"",2*(1-NORMSDIST(ABS(R19))))</f>
        <v>1.99875110240555E-006</v>
      </c>
      <c r="T19" s="7" t="n">
        <f aca="false">IF(C19=0,"",F19/E19)</f>
        <v>1.14848197491978</v>
      </c>
    </row>
    <row r="20" customFormat="false" ht="15" hidden="false" customHeight="false" outlineLevel="0" collapsed="false">
      <c r="A20" s="18" t="s">
        <v>1452</v>
      </c>
      <c r="B20" s="14" t="s">
        <v>131</v>
      </c>
      <c r="C20" s="19" t="n">
        <f aca="false">COUNTIFS(ES_Data!$AS$2:$AS$347,"&gt;0",ES_Data!$P$2:$P$347,"Cognitive",ES_Data!$H$2:$H$347,"Generative AI (LLM-based)")</f>
        <v>41</v>
      </c>
      <c r="D20" s="19" t="n">
        <f aca="false">SUMPRODUCT(--(COUNTIFS(ES_Data!$B$2:$B$347,Study_Characteristics!$A$2:$A$82,ES_Data!$AS$2:$AS$347,"&gt;0",ES_Data!$P$2:$P$347,"Cognitive",ES_Data!$H$2:$H$347,"Generative AI (LLM-based)")&gt;0))</f>
        <v>20</v>
      </c>
      <c r="E20" s="7" t="n">
        <f aca="false">SUMIFS(ES_Data!$AS$2:$AS$347,ES_Data!$P$2:$P$347,"Cognitive",ES_Data!$H$2:$H$347,"Generative AI (LLM-based)")</f>
        <v>675.035134228423</v>
      </c>
      <c r="F20" s="7" t="n">
        <f aca="false">SUMIFS(ES_Data!$AT$2:$AT$347,ES_Data!$P$2:$P$347,"Cognitive",ES_Data!$H$2:$H$347,"Generative AI (LLM-based)")</f>
        <v>608.991009352407</v>
      </c>
      <c r="G20" s="7" t="n">
        <f aca="false">SUMIFS(ES_Data!$AU$2:$AU$347,ES_Data!$P$2:$P$347,"Cognitive",ES_Data!$H$2:$H$347,"Generative AI (LLM-based)")</f>
        <v>2482.03675796891</v>
      </c>
      <c r="H20" s="7" t="n">
        <f aca="false">SUMIFS(ES_Data!$AV$2:$AV$347,ES_Data!$P$2:$P$347,"Cognitive",ES_Data!$H$2:$H$347,"Generative AI (LLM-based)")</f>
        <v>14824.9946564248</v>
      </c>
      <c r="I20" s="7" t="n">
        <f aca="false">IF(C20&lt;2,"",G20-F20^2/E20)</f>
        <v>1932.62824474245</v>
      </c>
      <c r="J20" s="7" t="n">
        <f aca="false">IF(C20&lt;2,"",C20-1)</f>
        <v>40</v>
      </c>
      <c r="K20" s="7" t="n">
        <f aca="false">IF(I20="","",CHIDIST(MAX(I20,0),J20))</f>
        <v>0</v>
      </c>
      <c r="L20" s="7" t="n">
        <f aca="false">IF(C20&lt;2,0,MAX(0,(I20-J20)/(E20-H20/E20)))</f>
        <v>2.8980333143126</v>
      </c>
      <c r="M20" s="20" t="n">
        <f aca="false">IF(OR(C20&lt;2,I20&lt;=0),"",MAX(0,(I20-J20)/I20))</f>
        <v>0.979302796536884</v>
      </c>
      <c r="N20" s="7" t="n">
        <f aca="false">IF(C20=0,"",SUMPRODUCT((ES_Data!$P$2:$P$347="Cognitive")*(ES_Data!$H$2:$H$347="Generative AI (LLM-based)")*(ES_Data!$AS$2:$AS$347&gt;0)*ES_Data!$AW$2:$AW$347/(ES_Data!$AX$2:$AX$347+L20))/SUMPRODUCT((ES_Data!$P$2:$P$347="Cognitive")*(ES_Data!$H$2:$H$347="Generative AI (LLM-based)")*(ES_Data!$AS$2:$AS$347&gt;0)/(ES_Data!$AX$2:$AX$347+L20)))</f>
        <v>1.80142137114792</v>
      </c>
      <c r="O20" s="7" t="n">
        <f aca="false">IF(C20=0,"",1/SQRT(SUMPRODUCT((ES_Data!$P$2:$P$347="Cognitive")*(ES_Data!$H$2:$H$347="Generative AI (LLM-based)")*(ES_Data!$AS$2:$AS$347&gt;0)/(ES_Data!$AX$2:$AX$347+L20))))</f>
        <v>0.269844598841546</v>
      </c>
      <c r="P20" s="7" t="n">
        <f aca="false">IF(C20=0,"",N20-1.96*O20)</f>
        <v>1.27252595741849</v>
      </c>
      <c r="Q20" s="7" t="n">
        <f aca="false">IF(C20=0,"",N20+1.96*O20)</f>
        <v>2.33031678487735</v>
      </c>
      <c r="R20" s="7" t="n">
        <f aca="false">IF(C20=0,"",N20/O20)</f>
        <v>6.67577331131138</v>
      </c>
      <c r="S20" s="7" t="n">
        <f aca="false">IF(C20=0,"",2*(1-NORMSDIST(ABS(R20))))</f>
        <v>2.45932163522866E-011</v>
      </c>
      <c r="T20" s="7" t="n">
        <f aca="false">IF(C20=0,"",F20/E20)</f>
        <v>0.902161944575661</v>
      </c>
    </row>
    <row r="21" customFormat="false" ht="15" hidden="false" customHeight="false" outlineLevel="0" collapsed="false">
      <c r="A21" s="18" t="s">
        <v>1452</v>
      </c>
      <c r="B21" s="14" t="s">
        <v>174</v>
      </c>
      <c r="C21" s="19" t="n">
        <f aca="false">COUNTIFS(ES_Data!$AS$2:$AS$347,"&gt;0",ES_Data!$P$2:$P$347,"Cognitive",ES_Data!$H$2:$H$347,"Intelligent tutoring / adaptive learning AI")</f>
        <v>21</v>
      </c>
      <c r="D21" s="19" t="n">
        <f aca="false">SUMPRODUCT(--(COUNTIFS(ES_Data!$B$2:$B$347,Study_Characteristics!$A$2:$A$82,ES_Data!$AS$2:$AS$347,"&gt;0",ES_Data!$P$2:$P$347,"Cognitive",ES_Data!$H$2:$H$347,"Intelligent tutoring / adaptive learning AI")&gt;0))</f>
        <v>11</v>
      </c>
      <c r="E21" s="7" t="n">
        <f aca="false">SUMIFS(ES_Data!$AS$2:$AS$347,ES_Data!$P$2:$P$347,"Cognitive",ES_Data!$H$2:$H$347,"Intelligent tutoring / adaptive learning AI")</f>
        <v>348.0484847176</v>
      </c>
      <c r="F21" s="7" t="n">
        <f aca="false">SUMIFS(ES_Data!$AT$2:$AT$347,ES_Data!$P$2:$P$347,"Cognitive",ES_Data!$H$2:$H$347,"Intelligent tutoring / adaptive learning AI")</f>
        <v>259.446974847025</v>
      </c>
      <c r="G21" s="7" t="n">
        <f aca="false">SUMIFS(ES_Data!$AU$2:$AU$347,ES_Data!$P$2:$P$347,"Cognitive",ES_Data!$H$2:$H$347,"Intelligent tutoring / adaptive learning AI")</f>
        <v>954.456848796784</v>
      </c>
      <c r="H21" s="7" t="n">
        <f aca="false">SUMIFS(ES_Data!$AV$2:$AV$347,ES_Data!$P$2:$P$347,"Cognitive",ES_Data!$H$2:$H$347,"Intelligent tutoring / adaptive learning AI")</f>
        <v>10593.8250346455</v>
      </c>
      <c r="I21" s="7" t="n">
        <f aca="false">IF(C21&lt;2,"",G21-F21^2/E21)</f>
        <v>761.05640112097</v>
      </c>
      <c r="J21" s="7" t="n">
        <f aca="false">IF(C21&lt;2,"",C21-1)</f>
        <v>20</v>
      </c>
      <c r="K21" s="7" t="n">
        <f aca="false">IF(I21="","",CHIDIST(MAX(I21,0),J21))</f>
        <v>2.58694850722699E-148</v>
      </c>
      <c r="L21" s="7" t="n">
        <f aca="false">IF(C21&lt;2,0,MAX(0,(I21-J21)/(E21-H21/E21)))</f>
        <v>2.33322240832779</v>
      </c>
      <c r="M21" s="20" t="n">
        <f aca="false">IF(OR(C21&lt;2,I21&lt;=0),"",MAX(0,(I21-J21)/I21))</f>
        <v>0.973720738738231</v>
      </c>
      <c r="N21" s="7" t="n">
        <f aca="false">IF(C21=0,"",SUMPRODUCT((ES_Data!$P$2:$P$347="Cognitive")*(ES_Data!$H$2:$H$347="Intelligent tutoring / adaptive learning AI")*(ES_Data!$AS$2:$AS$347&gt;0)*ES_Data!$AW$2:$AW$347/(ES_Data!$AX$2:$AX$347+L21))/SUMPRODUCT((ES_Data!$P$2:$P$347="Cognitive")*(ES_Data!$H$2:$H$347="Intelligent tutoring / adaptive learning AI")*(ES_Data!$AS$2:$AS$347&gt;0)/(ES_Data!$AX$2:$AX$347+L21)))</f>
        <v>1.24708790456286</v>
      </c>
      <c r="O21" s="7" t="n">
        <f aca="false">IF(C21=0,"",1/SQRT(SUMPRODUCT((ES_Data!$P$2:$P$347="Cognitive")*(ES_Data!$H$2:$H$347="Intelligent tutoring / adaptive learning AI")*(ES_Data!$AS$2:$AS$347&gt;0)/(ES_Data!$AX$2:$AX$347+L21))))</f>
        <v>0.33958724087056</v>
      </c>
      <c r="P21" s="7" t="n">
        <f aca="false">IF(C21=0,"",N21-1.96*O21)</f>
        <v>0.581496912456563</v>
      </c>
      <c r="Q21" s="7" t="n">
        <f aca="false">IF(C21=0,"",N21+1.96*O21)</f>
        <v>1.91267889666916</v>
      </c>
      <c r="R21" s="7" t="n">
        <f aca="false">IF(C21=0,"",N21/O21)</f>
        <v>3.67236384195663</v>
      </c>
      <c r="S21" s="7" t="n">
        <f aca="false">IF(C21=0,"",2*(1-NORMSDIST(ABS(R21))))</f>
        <v>0.000240317198912487</v>
      </c>
      <c r="T21" s="7" t="n">
        <f aca="false">IF(C21=0,"",F21/E21)</f>
        <v>0.745433427350028</v>
      </c>
    </row>
    <row r="22" customFormat="false" ht="15" hidden="false" customHeight="false" outlineLevel="0" collapsed="false">
      <c r="A22" s="18" t="s">
        <v>1452</v>
      </c>
      <c r="B22" s="14" t="s">
        <v>162</v>
      </c>
      <c r="C22" s="19" t="n">
        <f aca="false">COUNTIFS(ES_Data!$AS$2:$AS$347,"&gt;0",ES_Data!$P$2:$P$347,"Cognitive",ES_Data!$H$2:$H$347,"Not reported")</f>
        <v>22</v>
      </c>
      <c r="D22" s="19" t="n">
        <f aca="false">SUMPRODUCT(--(COUNTIFS(ES_Data!$B$2:$B$347,Study_Characteristics!$A$2:$A$82,ES_Data!$AS$2:$AS$347,"&gt;0",ES_Data!$P$2:$P$347,"Cognitive",ES_Data!$H$2:$H$347,"Not reported")&gt;0))</f>
        <v>5</v>
      </c>
      <c r="E22" s="7" t="n">
        <f aca="false">SUMIFS(ES_Data!$AS$2:$AS$347,ES_Data!$P$2:$P$347,"Cognitive",ES_Data!$H$2:$H$347,"Not reported")</f>
        <v>225.424648516952</v>
      </c>
      <c r="F22" s="7" t="n">
        <f aca="false">SUMIFS(ES_Data!$AT$2:$AT$347,ES_Data!$P$2:$P$347,"Cognitive",ES_Data!$H$2:$H$347,"Not reported")</f>
        <v>156.421109766387</v>
      </c>
      <c r="G22" s="7" t="n">
        <f aca="false">SUMIFS(ES_Data!$AU$2:$AU$347,ES_Data!$P$2:$P$347,"Cognitive",ES_Data!$H$2:$H$347,"Not reported")</f>
        <v>179.728276207265</v>
      </c>
      <c r="H22" s="7" t="n">
        <f aca="false">SUMIFS(ES_Data!$AV$2:$AV$347,ES_Data!$P$2:$P$347,"Cognitive",ES_Data!$H$2:$H$347,"Not reported")</f>
        <v>2415.94454829079</v>
      </c>
      <c r="I22" s="7" t="n">
        <f aca="false">IF(C22&lt;2,"",G22-F22^2/E22)</f>
        <v>71.1883993946891</v>
      </c>
      <c r="J22" s="7" t="n">
        <f aca="false">IF(C22&lt;2,"",C22-1)</f>
        <v>21</v>
      </c>
      <c r="K22" s="7" t="n">
        <f aca="false">IF(I22="","",CHIDIST(MAX(I22,0),J22))</f>
        <v>2.26335258500842E-007</v>
      </c>
      <c r="L22" s="7" t="n">
        <f aca="false">IF(C22&lt;2,0,MAX(0,(I22-J22)/(E22-H22/E22)))</f>
        <v>0.233752597382727</v>
      </c>
      <c r="M22" s="20" t="n">
        <f aca="false">IF(OR(C22&lt;2,I22&lt;=0),"",MAX(0,(I22-J22)/I22))</f>
        <v>0.705008116792036</v>
      </c>
      <c r="N22" s="7" t="n">
        <f aca="false">IF(C22=0,"",SUMPRODUCT((ES_Data!$P$2:$P$347="Cognitive")*(ES_Data!$H$2:$H$347="Not reported")*(ES_Data!$AS$2:$AS$347&gt;0)*ES_Data!$AW$2:$AW$347/(ES_Data!$AX$2:$AX$347+L22))/SUMPRODUCT((ES_Data!$P$2:$P$347="Cognitive")*(ES_Data!$H$2:$H$347="Not reported")*(ES_Data!$AS$2:$AS$347&gt;0)/(ES_Data!$AX$2:$AX$347+L22)))</f>
        <v>0.746131294733062</v>
      </c>
      <c r="O22" s="7" t="n">
        <f aca="false">IF(C22=0,"",1/SQRT(SUMPRODUCT((ES_Data!$P$2:$P$347="Cognitive")*(ES_Data!$H$2:$H$347="Not reported")*(ES_Data!$AS$2:$AS$347&gt;0)/(ES_Data!$AX$2:$AX$347+L22))))</f>
        <v>0.123341312709931</v>
      </c>
      <c r="P22" s="7" t="n">
        <f aca="false">IF(C22=0,"",N22-1.96*O22)</f>
        <v>0.504382321821596</v>
      </c>
      <c r="Q22" s="7" t="n">
        <f aca="false">IF(C22=0,"",N22+1.96*O22)</f>
        <v>0.987880267644527</v>
      </c>
      <c r="R22" s="7" t="n">
        <f aca="false">IF(C22=0,"",N22/O22)</f>
        <v>6.0493218236438</v>
      </c>
      <c r="S22" s="7" t="n">
        <f aca="false">IF(C22=0,"",2*(1-NORMSDIST(ABS(R22))))</f>
        <v>1.45456824363066E-009</v>
      </c>
      <c r="T22" s="7" t="n">
        <f aca="false">IF(C22=0,"",F22/E22)</f>
        <v>0.693895325091854</v>
      </c>
    </row>
    <row r="23" customFormat="false" ht="15" hidden="false" customHeight="false" outlineLevel="0" collapsed="false">
      <c r="A23" s="18" t="s">
        <v>1452</v>
      </c>
      <c r="B23" s="14" t="s">
        <v>265</v>
      </c>
      <c r="C23" s="19" t="n">
        <f aca="false">COUNTIFS(ES_Data!$AS$2:$AS$347,"&gt;0",ES_Data!$P$2:$P$347,"Cognitive",ES_Data!$H$2:$H$347,"Other AI tool (recognition / generation / analytics)")</f>
        <v>9</v>
      </c>
      <c r="D23" s="19" t="n">
        <f aca="false">SUMPRODUCT(--(COUNTIFS(ES_Data!$B$2:$B$347,Study_Characteristics!$A$2:$A$82,ES_Data!$AS$2:$AS$347,"&gt;0",ES_Data!$P$2:$P$347,"Cognitive",ES_Data!$H$2:$H$347,"Other AI tool (recognition / generation / analytics)")&gt;0))</f>
        <v>4</v>
      </c>
      <c r="E23" s="7" t="n">
        <f aca="false">SUMIFS(ES_Data!$AS$2:$AS$347,ES_Data!$P$2:$P$347,"Cognitive",ES_Data!$H$2:$H$347,"Other AI tool (recognition / generation / analytics)")</f>
        <v>91.5169903152216</v>
      </c>
      <c r="F23" s="7" t="n">
        <f aca="false">SUMIFS(ES_Data!$AT$2:$AT$347,ES_Data!$P$2:$P$347,"Cognitive",ES_Data!$H$2:$H$347,"Other AI tool (recognition / generation / analytics)")</f>
        <v>44.0612337796589</v>
      </c>
      <c r="G23" s="7" t="n">
        <f aca="false">SUMIFS(ES_Data!$AU$2:$AU$347,ES_Data!$P$2:$P$347,"Cognitive",ES_Data!$H$2:$H$347,"Other AI tool (recognition / generation / analytics)")</f>
        <v>31.8640774782273</v>
      </c>
      <c r="H23" s="7" t="n">
        <f aca="false">SUMIFS(ES_Data!$AV$2:$AV$347,ES_Data!$P$2:$P$347,"Cognitive",ES_Data!$H$2:$H$347,"Other AI tool (recognition / generation / analytics)")</f>
        <v>1004.00614144113</v>
      </c>
      <c r="I23" s="7" t="n">
        <f aca="false">IF(C23&lt;2,"",G23-F23^2/E23)</f>
        <v>10.6506141038439</v>
      </c>
      <c r="J23" s="7" t="n">
        <f aca="false">IF(C23&lt;2,"",C23-1)</f>
        <v>8</v>
      </c>
      <c r="K23" s="7" t="n">
        <f aca="false">IF(I23="","",CHIDIST(MAX(I23,0),J23))</f>
        <v>0.222292330025018</v>
      </c>
      <c r="L23" s="7" t="n">
        <f aca="false">IF(C23&lt;2,0,MAX(0,(I23-J23)/(E23-H23/E23)))</f>
        <v>0.0329079631559054</v>
      </c>
      <c r="M23" s="20" t="n">
        <f aca="false">IF(OR(C23&lt;2,I23&lt;=0),"",MAX(0,(I23-J23)/I23))</f>
        <v>0.248869603010708</v>
      </c>
      <c r="N23" s="7" t="n">
        <f aca="false">IF(C23=0,"",SUMPRODUCT((ES_Data!$P$2:$P$347="Cognitive")*(ES_Data!$H$2:$H$347="Other AI tool (recognition / generation / analytics)")*(ES_Data!$AS$2:$AS$347&gt;0)*ES_Data!$AW$2:$AW$347/(ES_Data!$AX$2:$AX$347+L23))/SUMPRODUCT((ES_Data!$P$2:$P$347="Cognitive")*(ES_Data!$H$2:$H$347="Other AI tool (recognition / generation / analytics)")*(ES_Data!$AS$2:$AS$347&gt;0)/(ES_Data!$AX$2:$AX$347+L23)))</f>
        <v>0.463875496349385</v>
      </c>
      <c r="O23" s="7" t="n">
        <f aca="false">IF(C23=0,"",1/SQRT(SUMPRODUCT((ES_Data!$P$2:$P$347="Cognitive")*(ES_Data!$H$2:$H$347="Other AI tool (recognition / generation / analytics)")*(ES_Data!$AS$2:$AS$347&gt;0)/(ES_Data!$AX$2:$AX$347+L23))))</f>
        <v>0.121619861142562</v>
      </c>
      <c r="P23" s="7" t="n">
        <f aca="false">IF(C23=0,"",N23-1.96*O23)</f>
        <v>0.225500568509965</v>
      </c>
      <c r="Q23" s="7" t="n">
        <f aca="false">IF(C23=0,"",N23+1.96*O23)</f>
        <v>0.702250424188806</v>
      </c>
      <c r="R23" s="7" t="n">
        <f aca="false">IF(C23=0,"",N23/O23)</f>
        <v>3.81414262433366</v>
      </c>
      <c r="S23" s="7" t="n">
        <f aca="false">IF(C23=0,"",2*(1-NORMSDIST(ABS(R23))))</f>
        <v>0.000136656533678226</v>
      </c>
      <c r="T23" s="7" t="n">
        <f aca="false">IF(C23=0,"",F23/E23)</f>
        <v>0.481454139039037</v>
      </c>
    </row>
    <row r="24" customFormat="false" ht="15" hidden="false" customHeight="false" outlineLevel="0" collapsed="false">
      <c r="A24" s="18" t="s">
        <v>1453</v>
      </c>
      <c r="B24" s="14" t="s">
        <v>161</v>
      </c>
      <c r="C24" s="19" t="n">
        <f aca="false">COUNTIFS(ES_Data!$AS$2:$AS$347,"&gt;0",ES_Data!$P$2:$P$347,"Non-cognitive",ES_Data!$H$2:$H$347,"AI educational robot")</f>
        <v>6</v>
      </c>
      <c r="D24" s="19" t="n">
        <f aca="false">SUMPRODUCT(--(COUNTIFS(ES_Data!$B$2:$B$347,Study_Characteristics!$A$2:$A$82,ES_Data!$AS$2:$AS$347,"&gt;0",ES_Data!$P$2:$P$347,"Non-cognitive",ES_Data!$H$2:$H$347,"AI educational robot")&gt;0))</f>
        <v>2</v>
      </c>
      <c r="E24" s="7" t="n">
        <f aca="false">SUMIFS(ES_Data!$AS$2:$AS$347,ES_Data!$P$2:$P$347,"Non-cognitive",ES_Data!$H$2:$H$347,"AI educational robot")</f>
        <v>92.376233487859</v>
      </c>
      <c r="F24" s="7" t="n">
        <f aca="false">SUMIFS(ES_Data!$AT$2:$AT$347,ES_Data!$P$2:$P$347,"Non-cognitive",ES_Data!$H$2:$H$347,"AI educational robot")</f>
        <v>96.5946775741407</v>
      </c>
      <c r="G24" s="7" t="n">
        <f aca="false">SUMIFS(ES_Data!$AU$2:$AU$347,ES_Data!$P$2:$P$347,"Non-cognitive",ES_Data!$H$2:$H$347,"AI educational robot")</f>
        <v>107.983952417603</v>
      </c>
      <c r="H24" s="7" t="n">
        <f aca="false">SUMIFS(ES_Data!$AV$2:$AV$347,ES_Data!$P$2:$P$347,"Non-cognitive",ES_Data!$H$2:$H$347,"AI educational robot")</f>
        <v>1442.99607741359</v>
      </c>
      <c r="I24" s="7" t="n">
        <f aca="false">IF(C24&lt;2,"",G24-F24^2/E24)</f>
        <v>6.9781917001728</v>
      </c>
      <c r="J24" s="7" t="n">
        <f aca="false">IF(C24&lt;2,"",C24-1)</f>
        <v>5</v>
      </c>
      <c r="K24" s="7" t="n">
        <f aca="false">IF(I24="","",CHIDIST(MAX(I24,0),J24))</f>
        <v>0.222267278409878</v>
      </c>
      <c r="L24" s="7" t="n">
        <f aca="false">IF(C24&lt;2,0,MAX(0,(I24-J24)/(E24-H24/E24)))</f>
        <v>0.0257726797891959</v>
      </c>
      <c r="M24" s="20" t="n">
        <f aca="false">IF(OR(C24&lt;2,I24&lt;=0),"",MAX(0,(I24-J24)/I24))</f>
        <v>0.283481994357337</v>
      </c>
      <c r="N24" s="7" t="n">
        <f aca="false">IF(C24=0,"",SUMPRODUCT((ES_Data!$P$2:$P$347="Non-cognitive")*(ES_Data!$H$2:$H$347="AI educational robot")*(ES_Data!$AS$2:$AS$347&gt;0)*ES_Data!$AW$2:$AW$347/(ES_Data!$AX$2:$AX$347+L24))/SUMPRODUCT((ES_Data!$P$2:$P$347="Non-cognitive")*(ES_Data!$H$2:$H$347="AI educational robot")*(ES_Data!$AS$2:$AS$347&gt;0)/(ES_Data!$AX$2:$AX$347+L24)))</f>
        <v>1.04661129704616</v>
      </c>
      <c r="O24" s="7" t="n">
        <f aca="false">IF(C24=0,"",1/SQRT(SUMPRODUCT((ES_Data!$P$2:$P$347="Non-cognitive")*(ES_Data!$H$2:$H$347="AI educational robot")*(ES_Data!$AS$2:$AS$347&gt;0)/(ES_Data!$AX$2:$AX$347+L24))))</f>
        <v>0.123146105175411</v>
      </c>
      <c r="P24" s="7" t="n">
        <f aca="false">IF(C24=0,"",N24-1.96*O24)</f>
        <v>0.805244930902358</v>
      </c>
      <c r="Q24" s="7" t="n">
        <f aca="false">IF(C24=0,"",N24+1.96*O24)</f>
        <v>1.28797766318997</v>
      </c>
      <c r="R24" s="7" t="n">
        <f aca="false">IF(C24=0,"",N24/O24)</f>
        <v>8.49893949593744</v>
      </c>
      <c r="S24" s="7" t="n">
        <f aca="false">IF(C24=0,"",2*(1-NORMSDIST(ABS(R24))))</f>
        <v>0</v>
      </c>
      <c r="T24" s="7" t="n">
        <f aca="false">IF(C24=0,"",F24/E24)</f>
        <v>1.04566590265705</v>
      </c>
    </row>
    <row r="25" customFormat="false" ht="15" hidden="false" customHeight="false" outlineLevel="0" collapsed="false">
      <c r="A25" s="18" t="s">
        <v>1453</v>
      </c>
      <c r="B25" s="14" t="s">
        <v>74</v>
      </c>
      <c r="C25" s="19" t="n">
        <f aca="false">COUNTIFS(ES_Data!$AS$2:$AS$347,"&gt;0",ES_Data!$P$2:$P$347,"Non-cognitive",ES_Data!$H$2:$H$347,"Conversational AI / chatbot")</f>
        <v>15</v>
      </c>
      <c r="D25" s="19" t="n">
        <f aca="false">SUMPRODUCT(--(COUNTIFS(ES_Data!$B$2:$B$347,Study_Characteristics!$A$2:$A$82,ES_Data!$AS$2:$AS$347,"&gt;0",ES_Data!$P$2:$P$347,"Non-cognitive",ES_Data!$H$2:$H$347,"Conversational AI / chatbot")&gt;0))</f>
        <v>10</v>
      </c>
      <c r="E25" s="7" t="n">
        <f aca="false">SUMIFS(ES_Data!$AS$2:$AS$347,ES_Data!$P$2:$P$347,"Non-cognitive",ES_Data!$H$2:$H$347,"Conversational AI / chatbot")</f>
        <v>383.334246756201</v>
      </c>
      <c r="F25" s="7" t="n">
        <f aca="false">SUMIFS(ES_Data!$AT$2:$AT$347,ES_Data!$P$2:$P$347,"Non-cognitive",ES_Data!$H$2:$H$347,"Conversational AI / chatbot")</f>
        <v>271.576010060914</v>
      </c>
      <c r="G25" s="7" t="n">
        <f aca="false">SUMIFS(ES_Data!$AU$2:$AU$347,ES_Data!$P$2:$P$347,"Non-cognitive",ES_Data!$H$2:$H$347,"Conversational AI / chatbot")</f>
        <v>319.98579739119</v>
      </c>
      <c r="H25" s="7" t="n">
        <f aca="false">SUMIFS(ES_Data!$AV$2:$AV$347,ES_Data!$P$2:$P$347,"Non-cognitive",ES_Data!$H$2:$H$347,"Conversational AI / chatbot")</f>
        <v>18267.046760112</v>
      </c>
      <c r="I25" s="7" t="n">
        <f aca="false">IF(C25&lt;2,"",G25-F25^2/E25)</f>
        <v>127.585744787718</v>
      </c>
      <c r="J25" s="7" t="n">
        <f aca="false">IF(C25&lt;2,"",C25-1)</f>
        <v>14</v>
      </c>
      <c r="K25" s="7" t="n">
        <f aca="false">IF(I25="","",CHIDIST(MAX(I25,0),J25))</f>
        <v>2.0349534071675E-020</v>
      </c>
      <c r="L25" s="7" t="n">
        <f aca="false">IF(C25&lt;2,0,MAX(0,(I25-J25)/(E25-H25/E25)))</f>
        <v>0.338373869409789</v>
      </c>
      <c r="M25" s="20" t="n">
        <f aca="false">IF(OR(C25&lt;2,I25&lt;=0),"",MAX(0,(I25-J25)/I25))</f>
        <v>0.890269872834981</v>
      </c>
      <c r="N25" s="7" t="n">
        <f aca="false">IF(C25=0,"",SUMPRODUCT((ES_Data!$P$2:$P$347="Non-cognitive")*(ES_Data!$H$2:$H$347="Conversational AI / chatbot")*(ES_Data!$AS$2:$AS$347&gt;0)*ES_Data!$AW$2:$AW$347/(ES_Data!$AX$2:$AX$347+L25))/SUMPRODUCT((ES_Data!$P$2:$P$347="Non-cognitive")*(ES_Data!$H$2:$H$347="Conversational AI / chatbot")*(ES_Data!$AS$2:$AS$347&gt;0)/(ES_Data!$AX$2:$AX$347+L25)))</f>
        <v>0.572831448030989</v>
      </c>
      <c r="O25" s="7" t="n">
        <f aca="false">IF(C25=0,"",1/SQRT(SUMPRODUCT((ES_Data!$P$2:$P$347="Non-cognitive")*(ES_Data!$H$2:$H$347="Conversational AI / chatbot")*(ES_Data!$AS$2:$AS$347&gt;0)/(ES_Data!$AX$2:$AX$347+L25))))</f>
        <v>0.163404834483637</v>
      </c>
      <c r="P25" s="7" t="n">
        <f aca="false">IF(C25=0,"",N25-1.96*O25)</f>
        <v>0.25255797244306</v>
      </c>
      <c r="Q25" s="7" t="n">
        <f aca="false">IF(C25=0,"",N25+1.96*O25)</f>
        <v>0.893104923618918</v>
      </c>
      <c r="R25" s="7" t="n">
        <f aca="false">IF(C25=0,"",N25/O25)</f>
        <v>3.50559669694687</v>
      </c>
      <c r="S25" s="7" t="n">
        <f aca="false">IF(C25=0,"",2*(1-NORMSDIST(ABS(R25))))</f>
        <v>0.000455584978218404</v>
      </c>
      <c r="T25" s="7" t="n">
        <f aca="false">IF(C25=0,"",F25/E25)</f>
        <v>0.708457468538247</v>
      </c>
    </row>
    <row r="26" customFormat="false" ht="15" hidden="false" customHeight="false" outlineLevel="0" collapsed="false">
      <c r="A26" s="18" t="s">
        <v>1453</v>
      </c>
      <c r="B26" s="14" t="s">
        <v>131</v>
      </c>
      <c r="C26" s="19" t="n">
        <f aca="false">COUNTIFS(ES_Data!$AS$2:$AS$347,"&gt;0",ES_Data!$P$2:$P$347,"Non-cognitive",ES_Data!$H$2:$H$347,"Generative AI (LLM-based)")</f>
        <v>30</v>
      </c>
      <c r="D26" s="19" t="n">
        <f aca="false">SUMPRODUCT(--(COUNTIFS(ES_Data!$B$2:$B$347,Study_Characteristics!$A$2:$A$82,ES_Data!$AS$2:$AS$347,"&gt;0",ES_Data!$P$2:$P$347,"Non-cognitive",ES_Data!$H$2:$H$347,"Generative AI (LLM-based)")&gt;0))</f>
        <v>12</v>
      </c>
      <c r="E26" s="7" t="n">
        <f aca="false">SUMIFS(ES_Data!$AS$2:$AS$347,ES_Data!$P$2:$P$347,"Non-cognitive",ES_Data!$H$2:$H$347,"Generative AI (LLM-based)")</f>
        <v>752.310705349905</v>
      </c>
      <c r="F26" s="7" t="n">
        <f aca="false">SUMIFS(ES_Data!$AT$2:$AT$347,ES_Data!$P$2:$P$347,"Non-cognitive",ES_Data!$H$2:$H$347,"Generative AI (LLM-based)")</f>
        <v>163.027635668783</v>
      </c>
      <c r="G26" s="7" t="n">
        <f aca="false">SUMIFS(ES_Data!$AU$2:$AU$347,ES_Data!$P$2:$P$347,"Non-cognitive",ES_Data!$H$2:$H$347,"Generative AI (LLM-based)")</f>
        <v>113.604910239214</v>
      </c>
      <c r="H26" s="7" t="n">
        <f aca="false">SUMIFS(ES_Data!$AV$2:$AV$347,ES_Data!$P$2:$P$347,"Non-cognitive",ES_Data!$H$2:$H$347,"Generative AI (LLM-based)")</f>
        <v>32164.4829298148</v>
      </c>
      <c r="I26" s="7" t="n">
        <f aca="false">IF(C26&lt;2,"",G26-F26^2/E26)</f>
        <v>78.2764085938835</v>
      </c>
      <c r="J26" s="7" t="n">
        <f aca="false">IF(C26&lt;2,"",C26-1)</f>
        <v>29</v>
      </c>
      <c r="K26" s="7" t="n">
        <f aca="false">IF(I26="","",CHIDIST(MAX(I26,0),J26))</f>
        <v>2.06484740663675E-006</v>
      </c>
      <c r="L26" s="7" t="n">
        <f aca="false">IF(C26&lt;2,0,MAX(0,(I26-J26)/(E26-H26/E26)))</f>
        <v>0.0694467769198434</v>
      </c>
      <c r="M26" s="20" t="n">
        <f aca="false">IF(OR(C26&lt;2,I26&lt;=0),"",MAX(0,(I26-J26)/I26))</f>
        <v>0.629518005220975</v>
      </c>
      <c r="N26" s="7" t="n">
        <f aca="false">IF(C26=0,"",SUMPRODUCT((ES_Data!$P$2:$P$347="Non-cognitive")*(ES_Data!$H$2:$H$347="Generative AI (LLM-based)")*(ES_Data!$AS$2:$AS$347&gt;0)*ES_Data!$AW$2:$AW$347/(ES_Data!$AX$2:$AX$347+L26))/SUMPRODUCT((ES_Data!$P$2:$P$347="Non-cognitive")*(ES_Data!$H$2:$H$347="Generative AI (LLM-based)")*(ES_Data!$AS$2:$AS$347&gt;0)/(ES_Data!$AX$2:$AX$347+L26)))</f>
        <v>0.275272469267963</v>
      </c>
      <c r="O26" s="7" t="n">
        <f aca="false">IF(C26=0,"",1/SQRT(SUMPRODUCT((ES_Data!$P$2:$P$347="Non-cognitive")*(ES_Data!$H$2:$H$347="Generative AI (LLM-based)")*(ES_Data!$AS$2:$AS$347&gt;0)/(ES_Data!$AX$2:$AX$347+L26))))</f>
        <v>0.0629322588932977</v>
      </c>
      <c r="P26" s="7" t="n">
        <f aca="false">IF(C26=0,"",N26-1.96*O26)</f>
        <v>0.1519252418371</v>
      </c>
      <c r="Q26" s="7" t="n">
        <f aca="false">IF(C26=0,"",N26+1.96*O26)</f>
        <v>0.398619696698827</v>
      </c>
      <c r="R26" s="7" t="n">
        <f aca="false">IF(C26=0,"",N26/O26)</f>
        <v>4.37410755801235</v>
      </c>
      <c r="S26" s="7" t="n">
        <f aca="false">IF(C26=0,"",2*(1-NORMSDIST(ABS(R26))))</f>
        <v>1.21930254513014E-005</v>
      </c>
      <c r="T26" s="7" t="n">
        <f aca="false">IF(C26=0,"",F26/E26)</f>
        <v>0.216702533287703</v>
      </c>
    </row>
    <row r="27" customFormat="false" ht="15" hidden="false" customHeight="false" outlineLevel="0" collapsed="false">
      <c r="A27" s="18" t="s">
        <v>1453</v>
      </c>
      <c r="B27" s="14" t="s">
        <v>174</v>
      </c>
      <c r="C27" s="19" t="n">
        <f aca="false">COUNTIFS(ES_Data!$AS$2:$AS$347,"&gt;0",ES_Data!$P$2:$P$347,"Non-cognitive",ES_Data!$H$2:$H$347,"Intelligent tutoring / adaptive learning AI")</f>
        <v>20</v>
      </c>
      <c r="D27" s="19" t="n">
        <f aca="false">SUMPRODUCT(--(COUNTIFS(ES_Data!$B$2:$B$347,Study_Characteristics!$A$2:$A$82,ES_Data!$AS$2:$AS$347,"&gt;0",ES_Data!$P$2:$P$347,"Non-cognitive",ES_Data!$H$2:$H$347,"Intelligent tutoring / adaptive learning AI")&gt;0))</f>
        <v>9</v>
      </c>
      <c r="E27" s="7" t="n">
        <f aca="false">SUMIFS(ES_Data!$AS$2:$AS$347,ES_Data!$P$2:$P$347,"Non-cognitive",ES_Data!$H$2:$H$347,"Intelligent tutoring / adaptive learning AI")</f>
        <v>829.17778890155</v>
      </c>
      <c r="F27" s="7" t="n">
        <f aca="false">SUMIFS(ES_Data!$AT$2:$AT$347,ES_Data!$P$2:$P$347,"Non-cognitive",ES_Data!$H$2:$H$347,"Intelligent tutoring / adaptive learning AI")</f>
        <v>954.966029141351</v>
      </c>
      <c r="G27" s="7" t="n">
        <f aca="false">SUMIFS(ES_Data!$AU$2:$AU$347,ES_Data!$P$2:$P$347,"Non-cognitive",ES_Data!$H$2:$H$347,"Intelligent tutoring / adaptive learning AI")</f>
        <v>1260.77651964233</v>
      </c>
      <c r="H27" s="7" t="n">
        <f aca="false">SUMIFS(ES_Data!$AV$2:$AV$347,ES_Data!$P$2:$P$347,"Non-cognitive",ES_Data!$H$2:$H$347,"Intelligent tutoring / adaptive learning AI")</f>
        <v>54117.277365821</v>
      </c>
      <c r="I27" s="7" t="n">
        <f aca="false">IF(C27&lt;2,"",G27-F27^2/E27)</f>
        <v>160.939875414178</v>
      </c>
      <c r="J27" s="7" t="n">
        <f aca="false">IF(C27&lt;2,"",C27-1)</f>
        <v>19</v>
      </c>
      <c r="K27" s="7" t="n">
        <f aca="false">IF(I27="","",CHIDIST(MAX(I27,0),J27))</f>
        <v>1.66500197951771E-024</v>
      </c>
      <c r="L27" s="7" t="n">
        <f aca="false">IF(C27&lt;2,0,MAX(0,(I27-J27)/(E27-H27/E27)))</f>
        <v>0.185806677268452</v>
      </c>
      <c r="M27" s="20" t="n">
        <f aca="false">IF(OR(C27&lt;2,I27&lt;=0),"",MAX(0,(I27-J27)/I27))</f>
        <v>0.881943490069794</v>
      </c>
      <c r="N27" s="7" t="n">
        <f aca="false">IF(C27=0,"",SUMPRODUCT((ES_Data!$P$2:$P$347="Non-cognitive")*(ES_Data!$H$2:$H$347="Intelligent tutoring / adaptive learning AI")*(ES_Data!$AS$2:$AS$347&gt;0)*ES_Data!$AW$2:$AW$347/(ES_Data!$AX$2:$AX$347+L27))/SUMPRODUCT((ES_Data!$P$2:$P$347="Non-cognitive")*(ES_Data!$H$2:$H$347="Intelligent tutoring / adaptive learning AI")*(ES_Data!$AS$2:$AS$347&gt;0)/(ES_Data!$AX$2:$AX$347+L27)))</f>
        <v>0.99528155571128</v>
      </c>
      <c r="O27" s="7" t="n">
        <f aca="false">IF(C27=0,"",1/SQRT(SUMPRODUCT((ES_Data!$P$2:$P$347="Non-cognitive")*(ES_Data!$H$2:$H$347="Intelligent tutoring / adaptive learning AI")*(ES_Data!$AS$2:$AS$347&gt;0)/(ES_Data!$AX$2:$AX$347+L27))))</f>
        <v>0.10720988198474</v>
      </c>
      <c r="P27" s="7" t="n">
        <f aca="false">IF(C27=0,"",N27-1.96*O27)</f>
        <v>0.785150187021189</v>
      </c>
      <c r="Q27" s="7" t="n">
        <f aca="false">IF(C27=0,"",N27+1.96*O27)</f>
        <v>1.20541292440137</v>
      </c>
      <c r="R27" s="7" t="n">
        <f aca="false">IF(C27=0,"",N27/O27)</f>
        <v>9.28348709359594</v>
      </c>
      <c r="S27" s="7" t="n">
        <f aca="false">IF(C27=0,"",2*(1-NORMSDIST(ABS(R27))))</f>
        <v>0</v>
      </c>
      <c r="T27" s="7" t="n">
        <f aca="false">IF(C27=0,"",F27/E27)</f>
        <v>1.15170237544163</v>
      </c>
    </row>
    <row r="28" customFormat="false" ht="15" hidden="false" customHeight="false" outlineLevel="0" collapsed="false">
      <c r="A28" s="18" t="s">
        <v>1453</v>
      </c>
      <c r="B28" s="14" t="s">
        <v>162</v>
      </c>
      <c r="C28" s="19" t="n">
        <f aca="false">COUNTIFS(ES_Data!$AS$2:$AS$347,"&gt;0",ES_Data!$P$2:$P$347,"Non-cognitive",ES_Data!$H$2:$H$347,"Not reported")</f>
        <v>5</v>
      </c>
      <c r="D28" s="19" t="n">
        <f aca="false">SUMPRODUCT(--(COUNTIFS(ES_Data!$B$2:$B$347,Study_Characteristics!$A$2:$A$82,ES_Data!$AS$2:$AS$347,"&gt;0",ES_Data!$P$2:$P$347,"Non-cognitive",ES_Data!$H$2:$H$347,"Not reported")&gt;0))</f>
        <v>2</v>
      </c>
      <c r="E28" s="7" t="n">
        <f aca="false">SUMIFS(ES_Data!$AS$2:$AS$347,ES_Data!$P$2:$P$347,"Non-cognitive",ES_Data!$H$2:$H$347,"Not reported")</f>
        <v>61.7211614186324</v>
      </c>
      <c r="F28" s="7" t="n">
        <f aca="false">SUMIFS(ES_Data!$AT$2:$AT$347,ES_Data!$P$2:$P$347,"Non-cognitive",ES_Data!$H$2:$H$347,"Not reported")</f>
        <v>37.3416001877848</v>
      </c>
      <c r="G28" s="7" t="n">
        <f aca="false">SUMIFS(ES_Data!$AU$2:$AU$347,ES_Data!$P$2:$P$347,"Non-cognitive",ES_Data!$H$2:$H$347,"Not reported")</f>
        <v>22.7480230339601</v>
      </c>
      <c r="H28" s="7" t="n">
        <f aca="false">SUMIFS(ES_Data!$AV$2:$AV$347,ES_Data!$P$2:$P$347,"Non-cognitive",ES_Data!$H$2:$H$347,"Not reported")</f>
        <v>765.221610638969</v>
      </c>
      <c r="I28" s="7" t="n">
        <f aca="false">IF(C28&lt;2,"",G28-F28^2/E28)</f>
        <v>0.156174913561181</v>
      </c>
      <c r="J28" s="7" t="n">
        <f aca="false">IF(C28&lt;2,"",C28-1)</f>
        <v>4</v>
      </c>
      <c r="K28" s="7" t="n">
        <f aca="false">IF(I28="","",CHIDIST(MAX(I28,0),J28))</f>
        <v>0.997105338788616</v>
      </c>
      <c r="L28" s="7" t="n">
        <f aca="false">IF(C28&lt;2,0,MAX(0,(I28-J28)/(E28-H28/E28)))</f>
        <v>0</v>
      </c>
      <c r="M28" s="20" t="n">
        <f aca="false">IF(OR(C28&lt;2,I28&lt;=0),"",MAX(0,(I28-J28)/I28))</f>
        <v>0</v>
      </c>
      <c r="N28" s="7" t="n">
        <f aca="false">IF(C28=0,"",SUMPRODUCT((ES_Data!$P$2:$P$347="Non-cognitive")*(ES_Data!$H$2:$H$347="Not reported")*(ES_Data!$AS$2:$AS$347&gt;0)*ES_Data!$AW$2:$AW$347/(ES_Data!$AX$2:$AX$347+L28))/SUMPRODUCT((ES_Data!$P$2:$P$347="Non-cognitive")*(ES_Data!$H$2:$H$347="Not reported")*(ES_Data!$AS$2:$AS$347&gt;0)/(ES_Data!$AX$2:$AX$347+L28)))</f>
        <v>0.605004820542993</v>
      </c>
      <c r="O28" s="7" t="n">
        <f aca="false">IF(C28=0,"",1/SQRT(SUMPRODUCT((ES_Data!$P$2:$P$347="Non-cognitive")*(ES_Data!$H$2:$H$347="Not reported")*(ES_Data!$AS$2:$AS$347&gt;0)/(ES_Data!$AX$2:$AX$347+L28))))</f>
        <v>0.127286678877972</v>
      </c>
      <c r="P28" s="7" t="n">
        <f aca="false">IF(C28=0,"",N28-1.96*O28)</f>
        <v>0.355522929942169</v>
      </c>
      <c r="Q28" s="7" t="n">
        <f aca="false">IF(C28=0,"",N28+1.96*O28)</f>
        <v>0.854486711143818</v>
      </c>
      <c r="R28" s="7" t="n">
        <f aca="false">IF(C28=0,"",N28/O28)</f>
        <v>4.75308827189218</v>
      </c>
      <c r="S28" s="7" t="n">
        <f aca="false">IF(C28=0,"",2*(1-NORMSDIST(ABS(R28))))</f>
        <v>2.00332830257999E-006</v>
      </c>
      <c r="T28" s="7" t="n">
        <f aca="false">IF(C28=0,"",F28/E28)</f>
        <v>0.605004820542993</v>
      </c>
    </row>
    <row r="29" customFormat="false" ht="15" hidden="false" customHeight="false" outlineLevel="0" collapsed="false">
      <c r="A29" s="18" t="s">
        <v>1453</v>
      </c>
      <c r="B29" s="14" t="s">
        <v>265</v>
      </c>
      <c r="C29" s="19" t="n">
        <f aca="false">COUNTIFS(ES_Data!$AS$2:$AS$347,"&gt;0",ES_Data!$P$2:$P$347,"Non-cognitive",ES_Data!$H$2:$H$347,"Other AI tool (recognition / generation / analytics)")</f>
        <v>10</v>
      </c>
      <c r="D29" s="19" t="n">
        <f aca="false">SUMPRODUCT(--(COUNTIFS(ES_Data!$B$2:$B$347,Study_Characteristics!$A$2:$A$82,ES_Data!$AS$2:$AS$347,"&gt;0",ES_Data!$P$2:$P$347,"Non-cognitive",ES_Data!$H$2:$H$347,"Other AI tool (recognition / generation / analytics)")&gt;0))</f>
        <v>1</v>
      </c>
      <c r="E29" s="7" t="n">
        <f aca="false">SUMIFS(ES_Data!$AS$2:$AS$347,ES_Data!$P$2:$P$347,"Non-cognitive",ES_Data!$H$2:$H$347,"Other AI tool (recognition / generation / analytics)")</f>
        <v>144.512944340278</v>
      </c>
      <c r="F29" s="7" t="n">
        <f aca="false">SUMIFS(ES_Data!$AT$2:$AT$347,ES_Data!$P$2:$P$347,"Non-cognitive",ES_Data!$H$2:$H$347,"Other AI tool (recognition / generation / analytics)")</f>
        <v>77.2801419655212</v>
      </c>
      <c r="G29" s="7" t="n">
        <f aca="false">SUMIFS(ES_Data!$AU$2:$AU$347,ES_Data!$P$2:$P$347,"Non-cognitive",ES_Data!$H$2:$H$347,"Other AI tool (recognition / generation / analytics)")</f>
        <v>43.8964452777782</v>
      </c>
      <c r="H29" s="7" t="n">
        <f aca="false">SUMIFS(ES_Data!$AV$2:$AV$347,ES_Data!$P$2:$P$347,"Non-cognitive",ES_Data!$H$2:$H$347,"Other AI tool (recognition / generation / analytics)")</f>
        <v>2088.87759824714</v>
      </c>
      <c r="I29" s="7" t="n">
        <f aca="false">IF(C29&lt;2,"",G29-F29^2/E29)</f>
        <v>2.56990273534263</v>
      </c>
      <c r="J29" s="7" t="n">
        <f aca="false">IF(C29&lt;2,"",C29-1)</f>
        <v>9</v>
      </c>
      <c r="K29" s="7" t="n">
        <f aca="false">IF(I29="","",CHIDIST(MAX(I29,0),J29))</f>
        <v>0.978944073612886</v>
      </c>
      <c r="L29" s="7" t="n">
        <f aca="false">IF(C29&lt;2,0,MAX(0,(I29-J29)/(E29-H29/E29)))</f>
        <v>0</v>
      </c>
      <c r="M29" s="20" t="n">
        <f aca="false">IF(OR(C29&lt;2,I29&lt;=0),"",MAX(0,(I29-J29)/I29))</f>
        <v>0</v>
      </c>
      <c r="N29" s="7" t="n">
        <f aca="false">IF(C29=0,"",SUMPRODUCT((ES_Data!$P$2:$P$347="Non-cognitive")*(ES_Data!$H$2:$H$347="Other AI tool (recognition / generation / analytics)")*(ES_Data!$AS$2:$AS$347&gt;0)*ES_Data!$AW$2:$AW$347/(ES_Data!$AX$2:$AX$347+L29))/SUMPRODUCT((ES_Data!$P$2:$P$347="Non-cognitive")*(ES_Data!$H$2:$H$347="Other AI tool (recognition / generation / analytics)")*(ES_Data!$AS$2:$AS$347&gt;0)/(ES_Data!$AX$2:$AX$347+L29)))</f>
        <v>0.534762766880961</v>
      </c>
      <c r="O29" s="7" t="n">
        <f aca="false">IF(C29=0,"",1/SQRT(SUMPRODUCT((ES_Data!$P$2:$P$347="Non-cognitive")*(ES_Data!$H$2:$H$347="Other AI tool (recognition / generation / analytics)")*(ES_Data!$AS$2:$AS$347&gt;0)/(ES_Data!$AX$2:$AX$347+L29))))</f>
        <v>0.0831853072855794</v>
      </c>
      <c r="P29" s="7" t="n">
        <f aca="false">IF(C29=0,"",N29-1.96*O29)</f>
        <v>0.371719564601225</v>
      </c>
      <c r="Q29" s="7" t="n">
        <f aca="false">IF(C29=0,"",N29+1.96*O29)</f>
        <v>0.697805969160696</v>
      </c>
      <c r="R29" s="7" t="n">
        <f aca="false">IF(C29=0,"",N29/O29)</f>
        <v>6.42857235647508</v>
      </c>
      <c r="S29" s="7" t="n">
        <f aca="false">IF(C29=0,"",2*(1-NORMSDIST(ABS(R29))))</f>
        <v>1.28807853272406E-010</v>
      </c>
      <c r="T29" s="7" t="n">
        <f aca="false">IF(C29=0,"",F29/E29)</f>
        <v>0.534762766880961</v>
      </c>
    </row>
    <row r="30" customFormat="false" ht="15" hidden="false" customHeight="false" outlineLevel="0" collapsed="false">
      <c r="A30" s="18" t="s">
        <v>1454</v>
      </c>
      <c r="B30" s="14" t="s">
        <v>72</v>
      </c>
      <c r="C30" s="19" t="n">
        <f aca="false">COUNTIFS(ES_Data!$AS$2:$AS$347,"&gt;0",ES_Data!$P$2:$P$347,"Cognitive",ES_Data!$F$2:$F$347,"Primary education*")</f>
        <v>20</v>
      </c>
      <c r="D30" s="19" t="n">
        <f aca="false">SUMPRODUCT(--(COUNTIFS(ES_Data!$B$2:$B$347,Study_Characteristics!$A$2:$A$82,ES_Data!$AS$2:$AS$347,"&gt;0",ES_Data!$P$2:$P$347,"Cognitive",ES_Data!$F$2:$F$347,"Primary education*")&gt;0))</f>
        <v>10</v>
      </c>
      <c r="E30" s="7" t="n">
        <f aca="false">SUMIFS(ES_Data!$AS$2:$AS$347,ES_Data!$P$2:$P$347,"Cognitive",ES_Data!$F$2:$F$347,"Primary education*")</f>
        <v>223.975087853899</v>
      </c>
      <c r="F30" s="7" t="n">
        <f aca="false">SUMIFS(ES_Data!$AT$2:$AT$347,ES_Data!$P$2:$P$347,"Cognitive",ES_Data!$F$2:$F$347,"Primary education*")</f>
        <v>319.807429460981</v>
      </c>
      <c r="G30" s="7" t="n">
        <f aca="false">SUMIFS(ES_Data!$AU$2:$AU$347,ES_Data!$P$2:$P$347,"Cognitive",ES_Data!$F$2:$F$347,"Primary education*")</f>
        <v>997.3192615001</v>
      </c>
      <c r="H30" s="7" t="n">
        <f aca="false">SUMIFS(ES_Data!$AV$2:$AV$347,ES_Data!$P$2:$P$347,"Cognitive",ES_Data!$F$2:$F$347,"Primary education*")</f>
        <v>3241.70616521719</v>
      </c>
      <c r="I30" s="7" t="n">
        <f aca="false">IF(C30&lt;2,"",G30-F30^2/E30)</f>
        <v>540.675654755959</v>
      </c>
      <c r="J30" s="7" t="n">
        <f aca="false">IF(C30&lt;2,"",C30-1)</f>
        <v>19</v>
      </c>
      <c r="K30" s="7" t="n">
        <f aca="false">IF(I30="","",CHIDIST(MAX(I30,0),J30))</f>
        <v>1.59290285429808E-102</v>
      </c>
      <c r="L30" s="7" t="n">
        <f aca="false">IF(C30&lt;2,0,MAX(0,(I30-J30)/(E30-H30/E30)))</f>
        <v>2.49007986270693</v>
      </c>
      <c r="M30" s="20" t="n">
        <f aca="false">IF(OR(C30&lt;2,I30&lt;=0),"",MAX(0,(I30-J30)/I30))</f>
        <v>0.964858783943997</v>
      </c>
      <c r="N30" s="7" t="n">
        <f aca="false">IF(C30=0,"",SUMPRODUCT((ES_Data!$P$2:$P$347="Cognitive")*(ISNUMBER(SEARCH("Primary education",ES_Data!$F$2:$F$347)))*(ES_Data!$AS$2:$AS$347&gt;0)*ES_Data!$AW$2:$AW$347/(ES_Data!$AX$2:$AX$347+L30))/SUMPRODUCT((ES_Data!$P$2:$P$347="Cognitive")*(ISNUMBER(SEARCH("Primary education",ES_Data!$F$2:$F$347)))*(ES_Data!$AS$2:$AS$347&gt;0)/(ES_Data!$AX$2:$AX$347+L30)))</f>
        <v>2.16725558788923</v>
      </c>
      <c r="O30" s="7" t="n">
        <f aca="false">IF(C30=0,"",1/SQRT(SUMPRODUCT((ES_Data!$P$2:$P$347="Cognitive")*(ISNUMBER(SEARCH("Primary education",ES_Data!$F$2:$F$347)))*(ES_Data!$AS$2:$AS$347&gt;0)/(ES_Data!$AX$2:$AX$347+L30))))</f>
        <v>0.361436562768292</v>
      </c>
      <c r="P30" s="7" t="n">
        <f aca="false">IF(C30=0,"",N30-1.96*O30)</f>
        <v>1.45883992486338</v>
      </c>
      <c r="Q30" s="7" t="n">
        <f aca="false">IF(C30=0,"",N30+1.96*O30)</f>
        <v>2.87567125091508</v>
      </c>
      <c r="R30" s="7" t="n">
        <f aca="false">IF(C30=0,"",N30/O30)</f>
        <v>5.9962267549523</v>
      </c>
      <c r="S30" s="7" t="n">
        <f aca="false">IF(C30=0,"",2*(1-NORMSDIST(ABS(R30))))</f>
        <v>2.01954963863216E-009</v>
      </c>
      <c r="T30" s="7" t="n">
        <f aca="false">IF(C30=0,"",F30/E30)</f>
        <v>1.42787053919851</v>
      </c>
    </row>
    <row r="31" customFormat="false" ht="15" hidden="false" customHeight="false" outlineLevel="0" collapsed="false">
      <c r="A31" s="18" t="s">
        <v>1454</v>
      </c>
      <c r="B31" s="14" t="s">
        <v>222</v>
      </c>
      <c r="C31" s="19" t="n">
        <f aca="false">COUNTIFS(ES_Data!$AS$2:$AS$347,"&gt;0",ES_Data!$P$2:$P$347,"Cognitive",ES_Data!$F$2:$F$347,"Secondary education*")</f>
        <v>14</v>
      </c>
      <c r="D31" s="19" t="n">
        <f aca="false">SUMPRODUCT(--(COUNTIFS(ES_Data!$B$2:$B$347,Study_Characteristics!$A$2:$A$82,ES_Data!$AS$2:$AS$347,"&gt;0",ES_Data!$P$2:$P$347,"Cognitive",ES_Data!$F$2:$F$347,"Secondary education*")&gt;0))</f>
        <v>11</v>
      </c>
      <c r="E31" s="7" t="n">
        <f aca="false">SUMIFS(ES_Data!$AS$2:$AS$347,ES_Data!$P$2:$P$347,"Cognitive",ES_Data!$F$2:$F$347,"Secondary education*")</f>
        <v>328.044197660356</v>
      </c>
      <c r="F31" s="7" t="n">
        <f aca="false">SUMIFS(ES_Data!$AT$2:$AT$347,ES_Data!$P$2:$P$347,"Cognitive",ES_Data!$F$2:$F$347,"Secondary education*")</f>
        <v>118.960504102347</v>
      </c>
      <c r="G31" s="7" t="n">
        <f aca="false">SUMIFS(ES_Data!$AU$2:$AU$347,ES_Data!$P$2:$P$347,"Cognitive",ES_Data!$F$2:$F$347,"Secondary education*")</f>
        <v>104.986223805875</v>
      </c>
      <c r="H31" s="7" t="n">
        <f aca="false">SUMIFS(ES_Data!$AV$2:$AV$347,ES_Data!$P$2:$P$347,"Cognitive",ES_Data!$F$2:$F$347,"Secondary education*")</f>
        <v>9564.36714812819</v>
      </c>
      <c r="I31" s="7" t="n">
        <f aca="false">IF(C31&lt;2,"",G31-F31^2/E31)</f>
        <v>61.8469101487053</v>
      </c>
      <c r="J31" s="7" t="n">
        <f aca="false">IF(C31&lt;2,"",C31-1)</f>
        <v>13</v>
      </c>
      <c r="K31" s="7" t="n">
        <f aca="false">IF(I31="","",CHIDIST(MAX(I31,0),J31))</f>
        <v>2.44994679626518E-008</v>
      </c>
      <c r="L31" s="7" t="n">
        <f aca="false">IF(C31&lt;2,0,MAX(0,(I31-J31)/(E31-H31/E31)))</f>
        <v>0.16342855272821</v>
      </c>
      <c r="M31" s="20" t="n">
        <f aca="false">IF(OR(C31&lt;2,I31&lt;=0),"",MAX(0,(I31-J31)/I31))</f>
        <v>0.789803565469274</v>
      </c>
      <c r="N31" s="7" t="n">
        <f aca="false">IF(C31=0,"",SUMPRODUCT((ES_Data!$P$2:$P$347="Cognitive")*(ISNUMBER(SEARCH("Secondary education",ES_Data!$F$2:$F$347)))*(ES_Data!$AS$2:$AS$347&gt;0)*ES_Data!$AW$2:$AW$347/(ES_Data!$AX$2:$AX$347+L31))/SUMPRODUCT((ES_Data!$P$2:$P$347="Cognitive")*(ISNUMBER(SEARCH("Secondary education",ES_Data!$F$2:$F$347)))*(ES_Data!$AS$2:$AS$347&gt;0)/(ES_Data!$AX$2:$AX$347+L31)))</f>
        <v>0.366731836598657</v>
      </c>
      <c r="O31" s="7" t="n">
        <f aca="false">IF(C31=0,"",1/SQRT(SUMPRODUCT((ES_Data!$P$2:$P$347="Cognitive")*(ISNUMBER(SEARCH("Secondary education",ES_Data!$F$2:$F$347)))*(ES_Data!$AS$2:$AS$347&gt;0)/(ES_Data!$AX$2:$AX$347+L31))))</f>
        <v>0.123776953985398</v>
      </c>
      <c r="P31" s="7" t="n">
        <f aca="false">IF(C31=0,"",N31-1.96*O31)</f>
        <v>0.124129006787276</v>
      </c>
      <c r="Q31" s="7" t="n">
        <f aca="false">IF(C31=0,"",N31+1.96*O31)</f>
        <v>0.609334666410038</v>
      </c>
      <c r="R31" s="7" t="n">
        <f aca="false">IF(C31=0,"",N31/O31)</f>
        <v>2.96284425161989</v>
      </c>
      <c r="S31" s="7" t="n">
        <f aca="false">IF(C31=0,"",2*(1-NORMSDIST(ABS(R31))))</f>
        <v>0.00304810756188378</v>
      </c>
      <c r="T31" s="7" t="n">
        <f aca="false">IF(C31=0,"",F31/E31)</f>
        <v>0.362635598955218</v>
      </c>
    </row>
    <row r="32" customFormat="false" ht="15" hidden="false" customHeight="false" outlineLevel="0" collapsed="false">
      <c r="A32" s="18" t="s">
        <v>1454</v>
      </c>
      <c r="B32" s="14" t="s">
        <v>173</v>
      </c>
      <c r="C32" s="19" t="n">
        <f aca="false">COUNTIFS(ES_Data!$AS$2:$AS$347,"&gt;0",ES_Data!$P$2:$P$347,"Cognitive",ES_Data!$F$2:$F$347,"Higher education*")</f>
        <v>66</v>
      </c>
      <c r="D32" s="19" t="n">
        <f aca="false">SUMPRODUCT(--(COUNTIFS(ES_Data!$B$2:$B$347,Study_Characteristics!$A$2:$A$82,ES_Data!$AS$2:$AS$347,"&gt;0",ES_Data!$P$2:$P$347,"Cognitive",ES_Data!$F$2:$F$347,"Higher education*")&gt;0))</f>
        <v>25</v>
      </c>
      <c r="E32" s="7" t="n">
        <f aca="false">SUMIFS(ES_Data!$AS$2:$AS$347,ES_Data!$P$2:$P$347,"Cognitive",ES_Data!$F$2:$F$347,"Higher education*")</f>
        <v>802.503943863834</v>
      </c>
      <c r="F32" s="7" t="n">
        <f aca="false">SUMIFS(ES_Data!$AT$2:$AT$347,ES_Data!$P$2:$P$347,"Cognitive",ES_Data!$F$2:$F$347,"Higher education*")</f>
        <v>1022.6807289919</v>
      </c>
      <c r="G32" s="7" t="n">
        <f aca="false">SUMIFS(ES_Data!$AU$2:$AU$347,ES_Data!$P$2:$P$347,"Cognitive",ES_Data!$F$2:$F$347,"Higher education*")</f>
        <v>4376.57882259108</v>
      </c>
      <c r="H32" s="7" t="n">
        <f aca="false">SUMIFS(ES_Data!$AV$2:$AV$347,ES_Data!$P$2:$P$347,"Cognitive",ES_Data!$F$2:$F$347,"Higher education*")</f>
        <v>13729.4099167742</v>
      </c>
      <c r="I32" s="7" t="n">
        <f aca="false">IF(C32&lt;2,"",G32-F32^2/E32)</f>
        <v>3073.31311100368</v>
      </c>
      <c r="J32" s="7" t="n">
        <f aca="false">IF(C32&lt;2,"",C32-1)</f>
        <v>65</v>
      </c>
      <c r="K32" s="7" t="n">
        <f aca="false">IF(I32="","",CHIDIST(MAX(I32,0),J32))</f>
        <v>0</v>
      </c>
      <c r="L32" s="7" t="n">
        <f aca="false">IF(C32&lt;2,0,MAX(0,(I32-J32)/(E32-H32/E32)))</f>
        <v>3.8303150883068</v>
      </c>
      <c r="M32" s="20" t="n">
        <f aca="false">IF(OR(C32&lt;2,I32&lt;=0),"",MAX(0,(I32-J32)/I32))</f>
        <v>0.978850186215237</v>
      </c>
      <c r="N32" s="7" t="n">
        <f aca="false">IF(C32=0,"",SUMPRODUCT((ES_Data!$P$2:$P$347="Cognitive")*(ISNUMBER(SEARCH("Higher education",ES_Data!$F$2:$F$347)))*(ES_Data!$AS$2:$AS$347&gt;0)*ES_Data!$AW$2:$AW$347/(ES_Data!$AX$2:$AX$347+L32))/SUMPRODUCT((ES_Data!$P$2:$P$347="Cognitive")*(ISNUMBER(SEARCH("Higher education",ES_Data!$F$2:$F$347)))*(ES_Data!$AS$2:$AS$347&gt;0)/(ES_Data!$AX$2:$AX$347+L32)))</f>
        <v>1.74300607549598</v>
      </c>
      <c r="O32" s="7" t="n">
        <f aca="false">IF(C32=0,"",1/SQRT(SUMPRODUCT((ES_Data!$P$2:$P$347="Cognitive")*(ISNUMBER(SEARCH("Higher education",ES_Data!$F$2:$F$347)))*(ES_Data!$AS$2:$AS$347&gt;0)/(ES_Data!$AX$2:$AX$347+L32))))</f>
        <v>0.244693655856331</v>
      </c>
      <c r="P32" s="7" t="n">
        <f aca="false">IF(C32=0,"",N32-1.96*O32)</f>
        <v>1.26340651001757</v>
      </c>
      <c r="Q32" s="7" t="n">
        <f aca="false">IF(C32=0,"",N32+1.96*O32)</f>
        <v>2.22260564097439</v>
      </c>
      <c r="R32" s="7" t="n">
        <f aca="false">IF(C32=0,"",N32/O32)</f>
        <v>7.1232172709838</v>
      </c>
      <c r="S32" s="7" t="n">
        <f aca="false">IF(C32=0,"",2*(1-NORMSDIST(ABS(R32))))</f>
        <v>1.05426778418405E-012</v>
      </c>
      <c r="T32" s="7" t="n">
        <f aca="false">IF(C32=0,"",F32/E32)</f>
        <v>1.27436224682956</v>
      </c>
    </row>
    <row r="33" customFormat="false" ht="15" hidden="false" customHeight="false" outlineLevel="0" collapsed="false">
      <c r="A33" s="18" t="s">
        <v>1455</v>
      </c>
      <c r="B33" s="14" t="s">
        <v>81</v>
      </c>
      <c r="C33" s="19" t="n">
        <f aca="false">COUNTIFS(ES_Data!$AS$2:$AS$347,"&gt;0",ES_Data!$P$2:$P$347,"Cognitive",ES_Data!$O$2:$O$347,"Less than 1 week")</f>
        <v>15</v>
      </c>
      <c r="D33" s="19" t="n">
        <f aca="false">SUMPRODUCT(--(COUNTIFS(ES_Data!$B$2:$B$347,Study_Characteristics!$A$2:$A$82,ES_Data!$AS$2:$AS$347,"&gt;0",ES_Data!$P$2:$P$347,"Cognitive",ES_Data!$O$2:$O$347,"Less than 1 week")&gt;0))</f>
        <v>7</v>
      </c>
      <c r="E33" s="7" t="n">
        <f aca="false">SUMIFS(ES_Data!$AS$2:$AS$347,ES_Data!$P$2:$P$347,"Cognitive",ES_Data!$O$2:$O$347,"Less than 1 week")</f>
        <v>174.37445241608</v>
      </c>
      <c r="F33" s="7" t="n">
        <f aca="false">SUMIFS(ES_Data!$AT$2:$AT$347,ES_Data!$P$2:$P$347,"Cognitive",ES_Data!$O$2:$O$347,"Less than 1 week")</f>
        <v>96.5431215437179</v>
      </c>
      <c r="G33" s="7" t="n">
        <f aca="false">SUMIFS(ES_Data!$AU$2:$AU$347,ES_Data!$P$2:$P$347,"Cognitive",ES_Data!$O$2:$O$347,"Less than 1 week")</f>
        <v>94.4685634947213</v>
      </c>
      <c r="H33" s="7" t="n">
        <f aca="false">SUMIFS(ES_Data!$AV$2:$AV$347,ES_Data!$P$2:$P$347,"Cognitive",ES_Data!$O$2:$O$347,"Less than 1 week")</f>
        <v>2348.90331192232</v>
      </c>
      <c r="I33" s="7" t="n">
        <f aca="false">IF(C33&lt;2,"",G33-F33^2/E33)</f>
        <v>41.0170733924614</v>
      </c>
      <c r="J33" s="7" t="n">
        <f aca="false">IF(C33&lt;2,"",C33-1)</f>
        <v>14</v>
      </c>
      <c r="K33" s="7" t="n">
        <f aca="false">IF(I33="","",CHIDIST(MAX(I33,0),J33))</f>
        <v>0.000176776156907925</v>
      </c>
      <c r="L33" s="7" t="n">
        <f aca="false">IF(C33&lt;2,0,MAX(0,(I33-J33)/(E33-H33/E33)))</f>
        <v>0.167908031622635</v>
      </c>
      <c r="M33" s="20" t="n">
        <f aca="false">IF(OR(C33&lt;2,I33&lt;=0),"",MAX(0,(I33-J33)/I33))</f>
        <v>0.658678719809077</v>
      </c>
      <c r="N33" s="7" t="n">
        <f aca="false">IF(C33=0,"",SUMPRODUCT((ES_Data!$P$2:$P$347="Cognitive")*(ES_Data!$O$2:$O$347="Less than 1 week")*(ES_Data!$AS$2:$AS$347&gt;0)*ES_Data!$AW$2:$AW$347/(ES_Data!$AX$2:$AX$347+L33))/SUMPRODUCT((ES_Data!$P$2:$P$347="Cognitive")*(ES_Data!$O$2:$O$347="Less than 1 week")*(ES_Data!$AS$2:$AS$347&gt;0)/(ES_Data!$AX$2:$AX$347+L33)))</f>
        <v>0.572437954511024</v>
      </c>
      <c r="O33" s="7" t="n">
        <f aca="false">IF(C33=0,"",1/SQRT(SUMPRODUCT((ES_Data!$P$2:$P$347="Cognitive")*(ES_Data!$O$2:$O$347="Less than 1 week")*(ES_Data!$AS$2:$AS$347&gt;0)/(ES_Data!$AX$2:$AX$347+L33))))</f>
        <v>0.131525540787068</v>
      </c>
      <c r="P33" s="7" t="n">
        <f aca="false">IF(C33=0,"",N33-1.96*O33)</f>
        <v>0.314647894568371</v>
      </c>
      <c r="Q33" s="7" t="n">
        <f aca="false">IF(C33=0,"",N33+1.96*O33)</f>
        <v>0.830228014453676</v>
      </c>
      <c r="R33" s="7" t="n">
        <f aca="false">IF(C33=0,"",N33/O33)</f>
        <v>4.35229500738391</v>
      </c>
      <c r="S33" s="7" t="n">
        <f aca="false">IF(C33=0,"",2*(1-NORMSDIST(ABS(R33))))</f>
        <v>1.34719816566875E-005</v>
      </c>
      <c r="T33" s="7" t="n">
        <f aca="false">IF(C33=0,"",F33/E33)</f>
        <v>0.55365404854923</v>
      </c>
    </row>
    <row r="34" customFormat="false" ht="15" hidden="false" customHeight="false" outlineLevel="0" collapsed="false">
      <c r="A34" s="18" t="s">
        <v>1455</v>
      </c>
      <c r="B34" s="14" t="s">
        <v>190</v>
      </c>
      <c r="C34" s="19" t="n">
        <f aca="false">COUNTIFS(ES_Data!$AS$2:$AS$347,"&gt;0",ES_Data!$P$2:$P$347,"Cognitive",ES_Data!$O$2:$O$347,"1 week to 1 month")</f>
        <v>38</v>
      </c>
      <c r="D34" s="19" t="n">
        <f aca="false">SUMPRODUCT(--(COUNTIFS(ES_Data!$B$2:$B$347,Study_Characteristics!$A$2:$A$82,ES_Data!$AS$2:$AS$347,"&gt;0",ES_Data!$P$2:$P$347,"Cognitive",ES_Data!$O$2:$O$347,"1 week to 1 month")&gt;0))</f>
        <v>18</v>
      </c>
      <c r="E34" s="7" t="n">
        <f aca="false">SUMIFS(ES_Data!$AS$2:$AS$347,ES_Data!$P$2:$P$347,"Cognitive",ES_Data!$O$2:$O$347,"1 week to 1 month")</f>
        <v>483.691523402905</v>
      </c>
      <c r="F34" s="7" t="n">
        <f aca="false">SUMIFS(ES_Data!$AT$2:$AT$347,ES_Data!$P$2:$P$347,"Cognitive",ES_Data!$O$2:$O$347,"1 week to 1 month")</f>
        <v>675.401708496712</v>
      </c>
      <c r="G34" s="7" t="n">
        <f aca="false">SUMIFS(ES_Data!$AU$2:$AU$347,ES_Data!$P$2:$P$347,"Cognitive",ES_Data!$O$2:$O$347,"1 week to 1 month")</f>
        <v>3248.02792017855</v>
      </c>
      <c r="H34" s="7" t="n">
        <f aca="false">SUMIFS(ES_Data!$AV$2:$AV$347,ES_Data!$P$2:$P$347,"Cognitive",ES_Data!$O$2:$O$347,"1 week to 1 month")</f>
        <v>9891.54969922886</v>
      </c>
      <c r="I34" s="7" t="n">
        <f aca="false">IF(C34&lt;2,"",G34-F34^2/E34)</f>
        <v>2304.93207133876</v>
      </c>
      <c r="J34" s="7" t="n">
        <f aca="false">IF(C34&lt;2,"",C34-1)</f>
        <v>37</v>
      </c>
      <c r="K34" s="7" t="n">
        <f aca="false">IF(I34="","",CHIDIST(MAX(I34,0),J34))</f>
        <v>0</v>
      </c>
      <c r="L34" s="7" t="n">
        <f aca="false">IF(C34&lt;2,0,MAX(0,(I34-J34)/(E34-H34/E34)))</f>
        <v>4.8957887932852</v>
      </c>
      <c r="M34" s="20" t="n">
        <f aca="false">IF(OR(C34&lt;2,I34&lt;=0),"",MAX(0,(I34-J34)/I34))</f>
        <v>0.983947466192134</v>
      </c>
      <c r="N34" s="7" t="n">
        <f aca="false">IF(C34=0,"",SUMPRODUCT((ES_Data!$P$2:$P$347="Cognitive")*(ES_Data!$O$2:$O$347="1 week to 1 month")*(ES_Data!$AS$2:$AS$347&gt;0)*ES_Data!$AW$2:$AW$347/(ES_Data!$AX$2:$AX$347+L34))/SUMPRODUCT((ES_Data!$P$2:$P$347="Cognitive")*(ES_Data!$O$2:$O$347="1 week to 1 month")*(ES_Data!$AS$2:$AS$347&gt;0)/(ES_Data!$AX$2:$AX$347+L34)))</f>
        <v>2.22007543749447</v>
      </c>
      <c r="O34" s="7" t="n">
        <f aca="false">IF(C34=0,"",1/SQRT(SUMPRODUCT((ES_Data!$P$2:$P$347="Cognitive")*(ES_Data!$O$2:$O$347="1 week to 1 month")*(ES_Data!$AS$2:$AS$347&gt;0)/(ES_Data!$AX$2:$AX$347+L34))))</f>
        <v>0.364043767406007</v>
      </c>
      <c r="P34" s="7" t="n">
        <f aca="false">IF(C34=0,"",N34-1.96*O34)</f>
        <v>1.5065496533787</v>
      </c>
      <c r="Q34" s="7" t="n">
        <f aca="false">IF(C34=0,"",N34+1.96*O34)</f>
        <v>2.93360122161024</v>
      </c>
      <c r="R34" s="7" t="n">
        <f aca="false">IF(C34=0,"",N34/O34)</f>
        <v>6.09837507537517</v>
      </c>
      <c r="S34" s="7" t="n">
        <f aca="false">IF(C34=0,"",2*(1-NORMSDIST(ABS(R34))))</f>
        <v>1.07152087203133E-009</v>
      </c>
      <c r="T34" s="7" t="n">
        <f aca="false">IF(C34=0,"",F34/E34)</f>
        <v>1.39634803551047</v>
      </c>
    </row>
    <row r="35" customFormat="false" ht="15" hidden="false" customHeight="false" outlineLevel="0" collapsed="false">
      <c r="A35" s="18" t="s">
        <v>1455</v>
      </c>
      <c r="B35" s="14" t="s">
        <v>261</v>
      </c>
      <c r="C35" s="19" t="n">
        <f aca="false">COUNTIFS(ES_Data!$AS$2:$AS$347,"&gt;0",ES_Data!$P$2:$P$347,"Cognitive",ES_Data!$O$2:$O$347,"1 to 4 months")</f>
        <v>40</v>
      </c>
      <c r="D35" s="19" t="n">
        <f aca="false">SUMPRODUCT(--(COUNTIFS(ES_Data!$B$2:$B$347,Study_Characteristics!$A$2:$A$82,ES_Data!$AS$2:$AS$347,"&gt;0",ES_Data!$P$2:$P$347,"Cognitive",ES_Data!$O$2:$O$347,"1 to 4 months")&gt;0))</f>
        <v>21</v>
      </c>
      <c r="E35" s="7" t="n">
        <f aca="false">SUMIFS(ES_Data!$AS$2:$AS$347,ES_Data!$P$2:$P$347,"Cognitive",ES_Data!$O$2:$O$347,"1 to 4 months")</f>
        <v>682.394429589575</v>
      </c>
      <c r="F35" s="7" t="n">
        <f aca="false">SUMIFS(ES_Data!$AT$2:$AT$347,ES_Data!$P$2:$P$347,"Cognitive",ES_Data!$O$2:$O$347,"1 to 4 months")</f>
        <v>546.552473976542</v>
      </c>
      <c r="G35" s="7" t="n">
        <f aca="false">SUMIFS(ES_Data!$AU$2:$AU$347,ES_Data!$P$2:$P$347,"Cognitive",ES_Data!$O$2:$O$347,"1 to 4 months")</f>
        <v>1311.33755383273</v>
      </c>
      <c r="H35" s="7" t="n">
        <f aca="false">SUMIFS(ES_Data!$AV$2:$AV$347,ES_Data!$P$2:$P$347,"Cognitive",ES_Data!$O$2:$O$347,"1 to 4 months")</f>
        <v>14689.0665631153</v>
      </c>
      <c r="I35" s="7" t="n">
        <f aca="false">IF(C35&lt;2,"",G35-F35^2/E35)</f>
        <v>873.585435912389</v>
      </c>
      <c r="J35" s="7" t="n">
        <f aca="false">IF(C35&lt;2,"",C35-1)</f>
        <v>39</v>
      </c>
      <c r="K35" s="7" t="n">
        <f aca="false">IF(I35="","",CHIDIST(MAX(I35,0),J35))</f>
        <v>5.3004898297544E-158</v>
      </c>
      <c r="L35" s="7" t="n">
        <f aca="false">IF(C35&lt;2,0,MAX(0,(I35-J35)/(E35-H35/E35)))</f>
        <v>1.26286127461839</v>
      </c>
      <c r="M35" s="20" t="n">
        <f aca="false">IF(OR(C35&lt;2,I35&lt;=0),"",MAX(0,(I35-J35)/I35))</f>
        <v>0.95535639858823</v>
      </c>
      <c r="N35" s="7" t="n">
        <f aca="false">IF(C35=0,"",SUMPRODUCT((ES_Data!$P$2:$P$347="Cognitive")*(ES_Data!$O$2:$O$347="1 to 4 months")*(ES_Data!$AS$2:$AS$347&gt;0)*ES_Data!$AW$2:$AW$347/(ES_Data!$AX$2:$AX$347+L35))/SUMPRODUCT((ES_Data!$P$2:$P$347="Cognitive")*(ES_Data!$O$2:$O$347="1 to 4 months")*(ES_Data!$AS$2:$AS$347&gt;0)/(ES_Data!$AX$2:$AX$347+L35)))</f>
        <v>0.961919694033461</v>
      </c>
      <c r="O35" s="7" t="n">
        <f aca="false">IF(C35=0,"",1/SQRT(SUMPRODUCT((ES_Data!$P$2:$P$347="Cognitive")*(ES_Data!$O$2:$O$347="1 to 4 months")*(ES_Data!$AS$2:$AS$347&gt;0)/(ES_Data!$AX$2:$AX$347+L35))))</f>
        <v>0.182746093406794</v>
      </c>
      <c r="P35" s="7" t="n">
        <f aca="false">IF(C35=0,"",N35-1.96*O35)</f>
        <v>0.603737350956144</v>
      </c>
      <c r="Q35" s="7" t="n">
        <f aca="false">IF(C35=0,"",N35+1.96*O35)</f>
        <v>1.32010203711078</v>
      </c>
      <c r="R35" s="7" t="n">
        <f aca="false">IF(C35=0,"",N35/O35)</f>
        <v>5.26369497755676</v>
      </c>
      <c r="S35" s="7" t="n">
        <f aca="false">IF(C35=0,"",2*(1-NORMSDIST(ABS(R35))))</f>
        <v>1.41188621904931E-007</v>
      </c>
      <c r="T35" s="7" t="n">
        <f aca="false">IF(C35=0,"",F35/E35)</f>
        <v>0.800933375592273</v>
      </c>
    </row>
    <row r="36" customFormat="false" ht="15" hidden="false" customHeight="false" outlineLevel="0" collapsed="false">
      <c r="A36" s="18" t="s">
        <v>1456</v>
      </c>
      <c r="B36" s="14" t="s">
        <v>72</v>
      </c>
      <c r="C36" s="19" t="n">
        <f aca="false">COUNTIFS(ES_Data!$AS$2:$AS$347,"&gt;0",ES_Data!$P$2:$P$347,"Non-cognitive",ES_Data!$F$2:$F$347,"Primary education*")</f>
        <v>8</v>
      </c>
      <c r="D36" s="19" t="n">
        <f aca="false">SUMPRODUCT(--(COUNTIFS(ES_Data!$B$2:$B$347,Study_Characteristics!$A$2:$A$82,ES_Data!$AS$2:$AS$347,"&gt;0",ES_Data!$P$2:$P$347,"Non-cognitive",ES_Data!$F$2:$F$347,"Primary education*")&gt;0))</f>
        <v>6</v>
      </c>
      <c r="E36" s="7" t="n">
        <f aca="false">SUMIFS(ES_Data!$AS$2:$AS$347,ES_Data!$P$2:$P$347,"Non-cognitive",ES_Data!$F$2:$F$347,"Primary education*")</f>
        <v>171.959797034297</v>
      </c>
      <c r="F36" s="7" t="n">
        <f aca="false">SUMIFS(ES_Data!$AT$2:$AT$347,ES_Data!$P$2:$P$347,"Non-cognitive",ES_Data!$F$2:$F$347,"Primary education*")</f>
        <v>54.2035679751542</v>
      </c>
      <c r="G36" s="7" t="n">
        <f aca="false">SUMIFS(ES_Data!$AU$2:$AU$347,ES_Data!$P$2:$P$347,"Non-cognitive",ES_Data!$F$2:$F$347,"Primary education*")</f>
        <v>81.1201142743085</v>
      </c>
      <c r="H36" s="7" t="n">
        <f aca="false">SUMIFS(ES_Data!$AV$2:$AV$347,ES_Data!$P$2:$P$347,"Non-cognitive",ES_Data!$F$2:$F$347,"Primary education*")</f>
        <v>5233.27935460438</v>
      </c>
      <c r="I36" s="7" t="n">
        <f aca="false">IF(C36&lt;2,"",G36-F36^2/E36)</f>
        <v>64.0345696766303</v>
      </c>
      <c r="J36" s="7" t="n">
        <f aca="false">IF(C36&lt;2,"",C36-1)</f>
        <v>7</v>
      </c>
      <c r="K36" s="7" t="n">
        <f aca="false">IF(I36="","",CHIDIST(MAX(I36,0),J36))</f>
        <v>2.35017815320154E-011</v>
      </c>
      <c r="L36" s="7" t="n">
        <f aca="false">IF(C36&lt;2,0,MAX(0,(I36-J36)/(E36-H36/E36)))</f>
        <v>0.402995289933513</v>
      </c>
      <c r="M36" s="20" t="n">
        <f aca="false">IF(OR(C36&lt;2,I36&lt;=0),"",MAX(0,(I36-J36)/I36))</f>
        <v>0.890684047142825</v>
      </c>
      <c r="N36" s="7" t="n">
        <f aca="false">IF(C36=0,"",SUMPRODUCT((ES_Data!$P$2:$P$347="Non-cognitive")*(ISNUMBER(SEARCH("Primary education",ES_Data!$F$2:$F$347)))*(ES_Data!$AS$2:$AS$347&gt;0)*ES_Data!$AW$2:$AW$347/(ES_Data!$AX$2:$AX$347+L36))/SUMPRODUCT((ES_Data!$P$2:$P$347="Non-cognitive")*(ISNUMBER(SEARCH("Primary education",ES_Data!$F$2:$F$347)))*(ES_Data!$AS$2:$AS$347&gt;0)/(ES_Data!$AX$2:$AX$347+L36)))</f>
        <v>0.579799908523945</v>
      </c>
      <c r="O36" s="7" t="n">
        <f aca="false">IF(C36=0,"",1/SQRT(SUMPRODUCT((ES_Data!$P$2:$P$347="Non-cognitive")*(ISNUMBER(SEARCH("Primary education",ES_Data!$F$2:$F$347)))*(ES_Data!$AS$2:$AS$347&gt;0)/(ES_Data!$AX$2:$AX$347+L36))))</f>
        <v>0.241053977488934</v>
      </c>
      <c r="P36" s="7" t="n">
        <f aca="false">IF(C36=0,"",N36-1.96*O36)</f>
        <v>0.107334112645635</v>
      </c>
      <c r="Q36" s="7" t="n">
        <f aca="false">IF(C36=0,"",N36+1.96*O36)</f>
        <v>1.05226570440226</v>
      </c>
      <c r="R36" s="7" t="n">
        <f aca="false">IF(C36=0,"",N36/O36)</f>
        <v>2.40527003355737</v>
      </c>
      <c r="S36" s="7" t="n">
        <f aca="false">IF(C36=0,"",2*(1-NORMSDIST(ABS(R36))))</f>
        <v>0.0161605195311736</v>
      </c>
      <c r="T36" s="7" t="n">
        <f aca="false">IF(C36=0,"",F36/E36)</f>
        <v>0.315210699884365</v>
      </c>
    </row>
    <row r="37" customFormat="false" ht="15" hidden="false" customHeight="false" outlineLevel="0" collapsed="false">
      <c r="A37" s="18" t="s">
        <v>1456</v>
      </c>
      <c r="B37" s="14" t="s">
        <v>222</v>
      </c>
      <c r="C37" s="19" t="n">
        <f aca="false">COUNTIFS(ES_Data!$AS$2:$AS$347,"&gt;0",ES_Data!$P$2:$P$347,"Non-cognitive",ES_Data!$F$2:$F$347,"Secondary education*")</f>
        <v>6</v>
      </c>
      <c r="D37" s="19" t="n">
        <f aca="false">SUMPRODUCT(--(COUNTIFS(ES_Data!$B$2:$B$347,Study_Characteristics!$A$2:$A$82,ES_Data!$AS$2:$AS$347,"&gt;0",ES_Data!$P$2:$P$347,"Non-cognitive",ES_Data!$F$2:$F$347,"Secondary education*")&gt;0))</f>
        <v>4</v>
      </c>
      <c r="E37" s="7" t="n">
        <f aca="false">SUMIFS(ES_Data!$AS$2:$AS$347,ES_Data!$P$2:$P$347,"Non-cognitive",ES_Data!$F$2:$F$347,"Secondary education*")</f>
        <v>144.895094651873</v>
      </c>
      <c r="F37" s="7" t="n">
        <f aca="false">SUMIFS(ES_Data!$AT$2:$AT$347,ES_Data!$P$2:$P$347,"Non-cognitive",ES_Data!$F$2:$F$347,"Secondary education*")</f>
        <v>59.195886105036</v>
      </c>
      <c r="G37" s="7" t="n">
        <f aca="false">SUMIFS(ES_Data!$AU$2:$AU$347,ES_Data!$P$2:$P$347,"Non-cognitive",ES_Data!$F$2:$F$347,"Secondary education*")</f>
        <v>31.9893928269421</v>
      </c>
      <c r="H37" s="7" t="n">
        <f aca="false">SUMIFS(ES_Data!$AV$2:$AV$347,ES_Data!$P$2:$P$347,"Non-cognitive",ES_Data!$F$2:$F$347,"Secondary education*")</f>
        <v>3785.52413075534</v>
      </c>
      <c r="I37" s="7" t="n">
        <f aca="false">IF(C37&lt;2,"",G37-F37^2/E37)</f>
        <v>7.8053240689244</v>
      </c>
      <c r="J37" s="7" t="n">
        <f aca="false">IF(C37&lt;2,"",C37-1)</f>
        <v>5</v>
      </c>
      <c r="K37" s="7" t="n">
        <f aca="false">IF(I37="","",CHIDIST(MAX(I37,0),J37))</f>
        <v>0.167295991990677</v>
      </c>
      <c r="L37" s="7" t="n">
        <f aca="false">IF(C37&lt;2,0,MAX(0,(I37-J37)/(E37-H37/E37)))</f>
        <v>0.0236199765923822</v>
      </c>
      <c r="M37" s="20" t="n">
        <f aca="false">IF(OR(C37&lt;2,I37&lt;=0),"",MAX(0,(I37-J37)/I37))</f>
        <v>0.359411607276286</v>
      </c>
      <c r="N37" s="7" t="n">
        <f aca="false">IF(C37=0,"",SUMPRODUCT((ES_Data!$P$2:$P$347="Non-cognitive")*(ISNUMBER(SEARCH("Secondary education",ES_Data!$F$2:$F$347)))*(ES_Data!$AS$2:$AS$347&gt;0)*ES_Data!$AW$2:$AW$347/(ES_Data!$AX$2:$AX$347+L37))/SUMPRODUCT((ES_Data!$P$2:$P$347="Non-cognitive")*(ISNUMBER(SEARCH("Secondary education",ES_Data!$F$2:$F$347)))*(ES_Data!$AS$2:$AS$347&gt;0)/(ES_Data!$AX$2:$AX$347+L37)))</f>
        <v>0.423263370386048</v>
      </c>
      <c r="O37" s="7" t="n">
        <f aca="false">IF(C37=0,"",1/SQRT(SUMPRODUCT((ES_Data!$P$2:$P$347="Non-cognitive")*(ISNUMBER(SEARCH("Secondary education",ES_Data!$F$2:$F$347)))*(ES_Data!$AS$2:$AS$347&gt;0)/(ES_Data!$AX$2:$AX$347+L37))))</f>
        <v>0.105054935213199</v>
      </c>
      <c r="P37" s="7" t="n">
        <f aca="false">IF(C37=0,"",N37-1.96*O37)</f>
        <v>0.217355697368179</v>
      </c>
      <c r="Q37" s="7" t="n">
        <f aca="false">IF(C37=0,"",N37+1.96*O37)</f>
        <v>0.629171043403917</v>
      </c>
      <c r="R37" s="7" t="n">
        <f aca="false">IF(C37=0,"",N37/O37)</f>
        <v>4.02897179011226</v>
      </c>
      <c r="S37" s="7" t="n">
        <f aca="false">IF(C37=0,"",2*(1-NORMSDIST(ABS(R37))))</f>
        <v>5.60213395794928E-005</v>
      </c>
      <c r="T37" s="7" t="n">
        <f aca="false">IF(C37=0,"",F37/E37)</f>
        <v>0.408543065224263</v>
      </c>
    </row>
    <row r="38" customFormat="false" ht="15" hidden="false" customHeight="false" outlineLevel="0" collapsed="false">
      <c r="A38" s="18" t="s">
        <v>1456</v>
      </c>
      <c r="B38" s="14" t="s">
        <v>173</v>
      </c>
      <c r="C38" s="19" t="n">
        <f aca="false">COUNTIFS(ES_Data!$AS$2:$AS$347,"&gt;0",ES_Data!$P$2:$P$347,"Non-cognitive",ES_Data!$F$2:$F$347,"Higher education*")</f>
        <v>62</v>
      </c>
      <c r="D38" s="19" t="n">
        <f aca="false">SUMPRODUCT(--(COUNTIFS(ES_Data!$B$2:$B$347,Study_Characteristics!$A$2:$A$82,ES_Data!$AS$2:$AS$347,"&gt;0",ES_Data!$P$2:$P$347,"Non-cognitive",ES_Data!$F$2:$F$347,"Higher education*")&gt;0))</f>
        <v>22</v>
      </c>
      <c r="E38" s="7" t="n">
        <f aca="false">SUMIFS(ES_Data!$AS$2:$AS$347,ES_Data!$P$2:$P$347,"Non-cognitive",ES_Data!$F$2:$F$347,"Higher education*")</f>
        <v>1808.22503686237</v>
      </c>
      <c r="F38" s="7" t="n">
        <f aca="false">SUMIFS(ES_Data!$AT$2:$AT$347,ES_Data!$P$2:$P$347,"Non-cognitive",ES_Data!$F$2:$F$347,"Higher education*")</f>
        <v>1396.53175259048</v>
      </c>
      <c r="G38" s="7" t="n">
        <f aca="false">SUMIFS(ES_Data!$AU$2:$AU$347,ES_Data!$P$2:$P$347,"Non-cognitive",ES_Data!$F$2:$F$347,"Higher education*")</f>
        <v>1642.45618098975</v>
      </c>
      <c r="H38" s="7" t="n">
        <f aca="false">SUMIFS(ES_Data!$AV$2:$AV$347,ES_Data!$P$2:$P$347,"Non-cognitive",ES_Data!$F$2:$F$347,"Higher education*")</f>
        <v>97860.8079727588</v>
      </c>
      <c r="I38" s="7" t="n">
        <f aca="false">IF(C38&lt;2,"",G38-F38^2/E38)</f>
        <v>563.884158019878</v>
      </c>
      <c r="J38" s="7" t="n">
        <f aca="false">IF(C38&lt;2,"",C38-1)</f>
        <v>61</v>
      </c>
      <c r="K38" s="7" t="n">
        <f aca="false">IF(I38="","",CHIDIST(MAX(I38,0),J38))</f>
        <v>1.57883517977915E-082</v>
      </c>
      <c r="L38" s="7" t="n">
        <f aca="false">IF(C38&lt;2,0,MAX(0,(I38-J38)/(E38-H38/E38)))</f>
        <v>0.286689847511414</v>
      </c>
      <c r="M38" s="20" t="n">
        <f aca="false">IF(OR(C38&lt;2,I38&lt;=0),"",MAX(0,(I38-J38)/I38))</f>
        <v>0.891821752513484</v>
      </c>
      <c r="N38" s="7" t="n">
        <f aca="false">IF(C38=0,"",SUMPRODUCT((ES_Data!$P$2:$P$347="Non-cognitive")*(ISNUMBER(SEARCH("Higher education",ES_Data!$F$2:$F$347)))*(ES_Data!$AS$2:$AS$347&gt;0)*ES_Data!$AW$2:$AW$347/(ES_Data!$AX$2:$AX$347+L38))/SUMPRODUCT((ES_Data!$P$2:$P$347="Non-cognitive")*(ISNUMBER(SEARCH("Higher education",ES_Data!$F$2:$F$347)))*(ES_Data!$AS$2:$AS$347&gt;0)/(ES_Data!$AX$2:$AX$347+L38)))</f>
        <v>0.626671741579528</v>
      </c>
      <c r="O38" s="7" t="n">
        <f aca="false">IF(C38=0,"",1/SQRT(SUMPRODUCT((ES_Data!$P$2:$P$347="Non-cognitive")*(ISNUMBER(SEARCH("Higher education",ES_Data!$F$2:$F$347)))*(ES_Data!$AS$2:$AS$347&gt;0)/(ES_Data!$AX$2:$AX$347+L38))))</f>
        <v>0.0742154772285104</v>
      </c>
      <c r="P38" s="7" t="n">
        <f aca="false">IF(C38=0,"",N38-1.96*O38)</f>
        <v>0.481209406211648</v>
      </c>
      <c r="Q38" s="7" t="n">
        <f aca="false">IF(C38=0,"",N38+1.96*O38)</f>
        <v>0.772134076947409</v>
      </c>
      <c r="R38" s="7" t="n">
        <f aca="false">IF(C38=0,"",N38/O38)</f>
        <v>8.44394949654502</v>
      </c>
      <c r="S38" s="7" t="n">
        <f aca="false">IF(C38=0,"",2*(1-NORMSDIST(ABS(R38))))</f>
        <v>0</v>
      </c>
      <c r="T38" s="7" t="n">
        <f aca="false">IF(C38=0,"",F38/E38)</f>
        <v>0.772321875939587</v>
      </c>
    </row>
    <row r="39" customFormat="false" ht="15" hidden="false" customHeight="false" outlineLevel="0" collapsed="false">
      <c r="A39" s="18" t="s">
        <v>1457</v>
      </c>
      <c r="B39" s="14" t="s">
        <v>81</v>
      </c>
      <c r="C39" s="19" t="n">
        <f aca="false">COUNTIFS(ES_Data!$AS$2:$AS$347,"&gt;0",ES_Data!$P$2:$P$347,"Non-cognitive",ES_Data!$O$2:$O$347,"Less than 1 week")</f>
        <v>25</v>
      </c>
      <c r="D39" s="19" t="n">
        <f aca="false">SUMPRODUCT(--(COUNTIFS(ES_Data!$B$2:$B$347,Study_Characteristics!$A$2:$A$82,ES_Data!$AS$2:$AS$347,"&gt;0",ES_Data!$P$2:$P$347,"Non-cognitive",ES_Data!$O$2:$O$347,"Less than 1 week")&gt;0))</f>
        <v>12</v>
      </c>
      <c r="E39" s="7" t="n">
        <f aca="false">SUMIFS(ES_Data!$AS$2:$AS$347,ES_Data!$P$2:$P$347,"Non-cognitive",ES_Data!$O$2:$O$347,"Less than 1 week")</f>
        <v>687.271030522553</v>
      </c>
      <c r="F39" s="7" t="n">
        <f aca="false">SUMIFS(ES_Data!$AT$2:$AT$347,ES_Data!$P$2:$P$347,"Non-cognitive",ES_Data!$O$2:$O$347,"Less than 1 week")</f>
        <v>296.198236245823</v>
      </c>
      <c r="G39" s="7" t="n">
        <f aca="false">SUMIFS(ES_Data!$AU$2:$AU$347,ES_Data!$P$2:$P$347,"Non-cognitive",ES_Data!$O$2:$O$347,"Less than 1 week")</f>
        <v>337.98048831889</v>
      </c>
      <c r="H39" s="7" t="n">
        <f aca="false">SUMIFS(ES_Data!$AV$2:$AV$347,ES_Data!$P$2:$P$347,"Non-cognitive",ES_Data!$O$2:$O$347,"Less than 1 week")</f>
        <v>29126.4645576383</v>
      </c>
      <c r="I39" s="7" t="n">
        <f aca="false">IF(C39&lt;2,"",G39-F39^2/E39)</f>
        <v>210.325762222796</v>
      </c>
      <c r="J39" s="7" t="n">
        <f aca="false">IF(C39&lt;2,"",C39-1)</f>
        <v>24</v>
      </c>
      <c r="K39" s="7" t="n">
        <f aca="false">IF(I39="","",CHIDIST(MAX(I39,0),J39))</f>
        <v>1.03545000676244E-031</v>
      </c>
      <c r="L39" s="7" t="n">
        <f aca="false">IF(C39&lt;2,0,MAX(0,(I39-J39)/(E39-H39/E39)))</f>
        <v>0.288925910039074</v>
      </c>
      <c r="M39" s="20" t="n">
        <f aca="false">IF(OR(C39&lt;2,I39&lt;=0),"",MAX(0,(I39-J39)/I39))</f>
        <v>0.88589129668967</v>
      </c>
      <c r="N39" s="7" t="n">
        <f aca="false">IF(C39=0,"",SUMPRODUCT((ES_Data!$P$2:$P$347="Non-cognitive")*(ES_Data!$O$2:$O$347="Less than 1 week")*(ES_Data!$AS$2:$AS$347&gt;0)*ES_Data!$AW$2:$AW$347/(ES_Data!$AX$2:$AX$347+L39))/SUMPRODUCT((ES_Data!$P$2:$P$347="Non-cognitive")*(ES_Data!$O$2:$O$347="Less than 1 week")*(ES_Data!$AS$2:$AS$347&gt;0)/(ES_Data!$AX$2:$AX$347+L39)))</f>
        <v>0.413378600332118</v>
      </c>
      <c r="O39" s="7" t="n">
        <f aca="false">IF(C39=0,"",1/SQRT(SUMPRODUCT((ES_Data!$P$2:$P$347="Non-cognitive")*(ES_Data!$O$2:$O$347="Less than 1 week")*(ES_Data!$AS$2:$AS$347&gt;0)/(ES_Data!$AX$2:$AX$347+L39))))</f>
        <v>0.116682302335895</v>
      </c>
      <c r="P39" s="7" t="n">
        <f aca="false">IF(C39=0,"",N39-1.96*O39)</f>
        <v>0.184681287753764</v>
      </c>
      <c r="Q39" s="7" t="n">
        <f aca="false">IF(C39=0,"",N39+1.96*O39)</f>
        <v>0.642075912910472</v>
      </c>
      <c r="R39" s="7" t="n">
        <f aca="false">IF(C39=0,"",N39/O39)</f>
        <v>3.54277034354464</v>
      </c>
      <c r="S39" s="7" t="n">
        <f aca="false">IF(C39=0,"",2*(1-NORMSDIST(ABS(R39))))</f>
        <v>0.000395947352863413</v>
      </c>
      <c r="T39" s="7" t="n">
        <f aca="false">IF(C39=0,"",F39/E39)</f>
        <v>0.430977333673755</v>
      </c>
    </row>
    <row r="40" customFormat="false" ht="15" hidden="false" customHeight="false" outlineLevel="0" collapsed="false">
      <c r="A40" s="18" t="s">
        <v>1457</v>
      </c>
      <c r="B40" s="14" t="s">
        <v>190</v>
      </c>
      <c r="C40" s="19" t="n">
        <f aca="false">COUNTIFS(ES_Data!$AS$2:$AS$347,"&gt;0",ES_Data!$P$2:$P$347,"Non-cognitive",ES_Data!$O$2:$O$347,"1 week to 1 month")</f>
        <v>21</v>
      </c>
      <c r="D40" s="19" t="n">
        <f aca="false">SUMPRODUCT(--(COUNTIFS(ES_Data!$B$2:$B$347,Study_Characteristics!$A$2:$A$82,ES_Data!$AS$2:$AS$347,"&gt;0",ES_Data!$P$2:$P$347,"Non-cognitive",ES_Data!$O$2:$O$347,"1 week to 1 month")&gt;0))</f>
        <v>11</v>
      </c>
      <c r="E40" s="7" t="n">
        <f aca="false">SUMIFS(ES_Data!$AS$2:$AS$347,ES_Data!$P$2:$P$347,"Non-cognitive",ES_Data!$O$2:$O$347,"1 week to 1 month")</f>
        <v>347.935619656775</v>
      </c>
      <c r="F40" s="7" t="n">
        <f aca="false">SUMIFS(ES_Data!$AT$2:$AT$347,ES_Data!$P$2:$P$347,"Non-cognitive",ES_Data!$O$2:$O$347,"1 week to 1 month")</f>
        <v>196.743538202047</v>
      </c>
      <c r="G40" s="7" t="n">
        <f aca="false">SUMIFS(ES_Data!$AU$2:$AU$347,ES_Data!$P$2:$P$347,"Non-cognitive",ES_Data!$O$2:$O$347,"1 week to 1 month")</f>
        <v>197.760425745423</v>
      </c>
      <c r="H40" s="7" t="n">
        <f aca="false">SUMIFS(ES_Data!$AV$2:$AV$347,ES_Data!$P$2:$P$347,"Non-cognitive",ES_Data!$O$2:$O$347,"1 week to 1 month")</f>
        <v>6518.15611485486</v>
      </c>
      <c r="I40" s="7" t="n">
        <f aca="false">IF(C40&lt;2,"",G40-F40^2/E40)</f>
        <v>86.5099022651184</v>
      </c>
      <c r="J40" s="7" t="n">
        <f aca="false">IF(C40&lt;2,"",C40-1)</f>
        <v>20</v>
      </c>
      <c r="K40" s="7" t="n">
        <f aca="false">IF(I40="","",CHIDIST(MAX(I40,0),J40))</f>
        <v>3.00181907599236E-010</v>
      </c>
      <c r="L40" s="7" t="n">
        <f aca="false">IF(C40&lt;2,0,MAX(0,(I40-J40)/(E40-H40/E40)))</f>
        <v>0.202033822960826</v>
      </c>
      <c r="M40" s="20" t="n">
        <f aca="false">IF(OR(C40&lt;2,I40&lt;=0),"",MAX(0,(I40-J40)/I40))</f>
        <v>0.768812592820785</v>
      </c>
      <c r="N40" s="7" t="n">
        <f aca="false">IF(C40=0,"",SUMPRODUCT((ES_Data!$P$2:$P$347="Non-cognitive")*(ES_Data!$O$2:$O$347="1 week to 1 month")*(ES_Data!$AS$2:$AS$347&gt;0)*ES_Data!$AW$2:$AW$347/(ES_Data!$AX$2:$AX$347+L40))/SUMPRODUCT((ES_Data!$P$2:$P$347="Non-cognitive")*(ES_Data!$O$2:$O$347="1 week to 1 month")*(ES_Data!$AS$2:$AS$347&gt;0)/(ES_Data!$AX$2:$AX$347+L40)))</f>
        <v>0.560594861920632</v>
      </c>
      <c r="O40" s="7" t="n">
        <f aca="false">IF(C40=0,"",1/SQRT(SUMPRODUCT((ES_Data!$P$2:$P$347="Non-cognitive")*(ES_Data!$O$2:$O$347="1 week to 1 month")*(ES_Data!$AS$2:$AS$347&gt;0)/(ES_Data!$AX$2:$AX$347+L40))))</f>
        <v>0.112904271424769</v>
      </c>
      <c r="P40" s="7" t="n">
        <f aca="false">IF(C40=0,"",N40-1.96*O40)</f>
        <v>0.339302489928084</v>
      </c>
      <c r="Q40" s="7" t="n">
        <f aca="false">IF(C40=0,"",N40+1.96*O40)</f>
        <v>0.781887233913179</v>
      </c>
      <c r="R40" s="7" t="n">
        <f aca="false">IF(C40=0,"",N40/O40)</f>
        <v>4.9652227931356</v>
      </c>
      <c r="S40" s="7" t="n">
        <f aca="false">IF(C40=0,"",2*(1-NORMSDIST(ABS(R40))))</f>
        <v>6.86222463741615E-007</v>
      </c>
      <c r="T40" s="7" t="n">
        <f aca="false">IF(C40=0,"",F40/E40)</f>
        <v>0.565459605418171</v>
      </c>
    </row>
    <row r="41" customFormat="false" ht="15" hidden="false" customHeight="false" outlineLevel="0" collapsed="false">
      <c r="A41" s="18" t="s">
        <v>1457</v>
      </c>
      <c r="B41" s="14" t="s">
        <v>261</v>
      </c>
      <c r="C41" s="19" t="n">
        <f aca="false">COUNTIFS(ES_Data!$AS$2:$AS$347,"&gt;0",ES_Data!$P$2:$P$347,"Non-cognitive",ES_Data!$O$2:$O$347,"1 to 4 months")</f>
        <v>35</v>
      </c>
      <c r="D41" s="19" t="n">
        <f aca="false">SUMPRODUCT(--(COUNTIFS(ES_Data!$B$2:$B$347,Study_Characteristics!$A$2:$A$82,ES_Data!$AS$2:$AS$347,"&gt;0",ES_Data!$P$2:$P$347,"Non-cognitive",ES_Data!$O$2:$O$347,"1 to 4 months")&gt;0))</f>
        <v>11</v>
      </c>
      <c r="E41" s="7" t="n">
        <f aca="false">SUMIFS(ES_Data!$AS$2:$AS$347,ES_Data!$P$2:$P$347,"Non-cognitive",ES_Data!$O$2:$O$347,"1 to 4 months")</f>
        <v>1166.50526865647</v>
      </c>
      <c r="F41" s="7" t="n">
        <f aca="false">SUMIFS(ES_Data!$AT$2:$AT$347,ES_Data!$P$2:$P$347,"Non-cognitive",ES_Data!$O$2:$O$347,"1 to 4 months")</f>
        <v>1070.50271996284</v>
      </c>
      <c r="G41" s="7" t="n">
        <f aca="false">SUMIFS(ES_Data!$AU$2:$AU$347,ES_Data!$P$2:$P$347,"Non-cognitive",ES_Data!$O$2:$O$347,"1 to 4 months")</f>
        <v>1310.5067109038</v>
      </c>
      <c r="H41" s="7" t="n">
        <f aca="false">SUMIFS(ES_Data!$AV$2:$AV$347,ES_Data!$P$2:$P$347,"Non-cognitive",ES_Data!$O$2:$O$347,"1 to 4 months")</f>
        <v>72436.0600589154</v>
      </c>
      <c r="I41" s="7" t="n">
        <f aca="false">IF(C41&lt;2,"",G41-F41^2/E41)</f>
        <v>328.105598590158</v>
      </c>
      <c r="J41" s="7" t="n">
        <f aca="false">IF(C41&lt;2,"",C41-1)</f>
        <v>34</v>
      </c>
      <c r="K41" s="7" t="n">
        <f aca="false">IF(I41="","",CHIDIST(MAX(I41,0),J41))</f>
        <v>8.24419048502807E-050</v>
      </c>
      <c r="L41" s="7" t="n">
        <f aca="false">IF(C41&lt;2,0,MAX(0,(I41-J41)/(E41-H41/E41)))</f>
        <v>0.266301431817457</v>
      </c>
      <c r="M41" s="20" t="n">
        <f aca="false">IF(OR(C41&lt;2,I41&lt;=0),"",MAX(0,(I41-J41)/I41))</f>
        <v>0.896374825220615</v>
      </c>
      <c r="N41" s="7" t="n">
        <f aca="false">IF(C41=0,"",SUMPRODUCT((ES_Data!$P$2:$P$347="Non-cognitive")*(ES_Data!$O$2:$O$347="1 to 4 months")*(ES_Data!$AS$2:$AS$347&gt;0)*ES_Data!$AW$2:$AW$347/(ES_Data!$AX$2:$AX$347+L41))/SUMPRODUCT((ES_Data!$P$2:$P$347="Non-cognitive")*(ES_Data!$O$2:$O$347="1 to 4 months")*(ES_Data!$AS$2:$AS$347&gt;0)/(ES_Data!$AX$2:$AX$347+L41)))</f>
        <v>0.77258960900716</v>
      </c>
      <c r="O41" s="7" t="n">
        <f aca="false">IF(C41=0,"",1/SQRT(SUMPRODUCT((ES_Data!$P$2:$P$347="Non-cognitive")*(ES_Data!$O$2:$O$347="1 to 4 months")*(ES_Data!$AS$2:$AS$347&gt;0)/(ES_Data!$AX$2:$AX$347+L41))))</f>
        <v>0.0953197658333143</v>
      </c>
      <c r="P41" s="7" t="n">
        <f aca="false">IF(C41=0,"",N41-1.96*O41)</f>
        <v>0.585762867973864</v>
      </c>
      <c r="Q41" s="7" t="n">
        <f aca="false">IF(C41=0,"",N41+1.96*O41)</f>
        <v>0.959416350040456</v>
      </c>
      <c r="R41" s="7" t="n">
        <f aca="false">IF(C41=0,"",N41/O41)</f>
        <v>8.10524031666409</v>
      </c>
      <c r="S41" s="7" t="n">
        <f aca="false">IF(C41=0,"",2*(1-NORMSDIST(ABS(R41))))</f>
        <v>0</v>
      </c>
      <c r="T41" s="7" t="n">
        <f aca="false">IF(C41=0,"",F41/E41)</f>
        <v>0.917700715741989</v>
      </c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customFormat="false" ht="17.35" hidden="false" customHeight="false" outlineLevel="0" collapsed="false">
      <c r="A44" s="15" t="s">
        <v>1458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customFormat="false" ht="42" hidden="false" customHeight="true" outlineLevel="0" collapsed="false">
      <c r="A45" s="13" t="s">
        <v>1429</v>
      </c>
      <c r="B45" s="13" t="s">
        <v>1430</v>
      </c>
      <c r="C45" s="13" t="s">
        <v>1459</v>
      </c>
      <c r="D45" s="13" t="s">
        <v>1432</v>
      </c>
      <c r="E45" s="13" t="s">
        <v>1433</v>
      </c>
      <c r="F45" s="13" t="s">
        <v>1460</v>
      </c>
      <c r="G45" s="13" t="s">
        <v>1461</v>
      </c>
      <c r="H45" s="13" t="s">
        <v>1436</v>
      </c>
      <c r="I45" s="13" t="s">
        <v>1437</v>
      </c>
      <c r="J45" s="13" t="s">
        <v>1438</v>
      </c>
      <c r="K45" s="13" t="s">
        <v>1439</v>
      </c>
      <c r="L45" s="13" t="s">
        <v>1440</v>
      </c>
      <c r="M45" s="13" t="s">
        <v>1441</v>
      </c>
      <c r="N45" s="13" t="s">
        <v>1462</v>
      </c>
      <c r="O45" s="13" t="s">
        <v>1443</v>
      </c>
      <c r="P45" s="13" t="s">
        <v>1463</v>
      </c>
      <c r="Q45" s="13" t="s">
        <v>1225</v>
      </c>
      <c r="R45" s="13" t="s">
        <v>1226</v>
      </c>
      <c r="S45" s="13" t="s">
        <v>1464</v>
      </c>
      <c r="T45" s="13" t="s">
        <v>1446</v>
      </c>
    </row>
    <row r="46" customFormat="false" ht="15" hidden="false" customHeight="false" outlineLevel="0" collapsed="false">
      <c r="A46" s="18" t="s">
        <v>1448</v>
      </c>
      <c r="B46" s="14" t="s">
        <v>1449</v>
      </c>
      <c r="C46" s="19" t="n">
        <f aca="false">COUNTIFS(Correlational_Studies!$AB$2:$AB$42,"&gt;0")</f>
        <v>37</v>
      </c>
      <c r="D46" s="19" t="n">
        <f aca="false">SUMPRODUCT(--(COUNTIFS(Correlational_Studies!$B$2:$B$42,"R"&amp;TEXT(ROW($A$1:$A$40),"00"),Correlational_Studies!$AB$2:$AB$42,"&gt;0")&gt;0))</f>
        <v>11</v>
      </c>
      <c r="E46" s="7" t="n">
        <f aca="false">SUM(Correlational_Studies!$AB$2:$AB$42)</f>
        <v>16641</v>
      </c>
      <c r="F46" s="7" t="n">
        <f aca="false">SUM(Correlational_Studies!$AC$2:$AC$42)</f>
        <v>9955.89731015973</v>
      </c>
      <c r="G46" s="7" t="n">
        <f aca="false">SUM(Correlational_Studies!$AD$2:$AD$42)</f>
        <v>8426.79693103351</v>
      </c>
      <c r="H46" s="7" t="n">
        <f aca="false">SUM(Correlational_Studies!$AE$2:$AE$42)</f>
        <v>8711959</v>
      </c>
      <c r="I46" s="7" t="n">
        <f aca="false">IF(C46&lt;2,"",G46-F46^2/E46)</f>
        <v>2470.43065193696</v>
      </c>
      <c r="J46" s="7" t="n">
        <f aca="false">IF(C46&lt;2,"",C46-1)</f>
        <v>36</v>
      </c>
      <c r="K46" s="7" t="n">
        <f aca="false">IF(I46="","",CHIDIST(MAX(I46,0),J46))</f>
        <v>0</v>
      </c>
      <c r="L46" s="7" t="n">
        <f aca="false">IF(C46&lt;2,0,MAX(0,(I46-J46)/(E46-H46/E46)))</f>
        <v>0.151042918673099</v>
      </c>
      <c r="M46" s="20" t="n">
        <f aca="false">IF(OR(C46&lt;2,I46&lt;=0),"",MAX(0,(I46-J46)/I46))</f>
        <v>0.985427641949077</v>
      </c>
      <c r="N46" s="7" t="n">
        <f aca="false">IF(C46=0,"",SUMPRODUCT((Correlational_Studies!$AB$2:$AB$42&gt;0)*Correlational_Studies!$T$2:$T$42/(Correlational_Studies!$U$2:$U$42+L46))/SUMPRODUCT((Correlational_Studies!$AB$2:$AB$42&gt;0)/(Correlational_Studies!$U$2:$U$42+L46)))</f>
        <v>0.539608624123134</v>
      </c>
      <c r="O46" s="7" t="n">
        <f aca="false">IF(C46=0,"",1/SQRT(SUMPRODUCT((Correlational_Studies!$AB$2:$AB$42&gt;0)/(Correlational_Studies!$U$2:$U$42+L46))))</f>
        <v>0.0644824945445532</v>
      </c>
      <c r="P46" s="7" t="n">
        <f aca="false">IF(C46=0,"",FISHERINV(N46))</f>
        <v>0.492691652513601</v>
      </c>
      <c r="Q46" s="7" t="n">
        <f aca="false">IF(C46=0,"",FISHERINV(N46-1.96*O46))</f>
        <v>0.391205807242089</v>
      </c>
      <c r="R46" s="7" t="n">
        <f aca="false">IF(C46=0,"",FISHERINV(N46+1.96*O46))</f>
        <v>0.582338773473874</v>
      </c>
      <c r="S46" s="7" t="n">
        <f aca="false">IF(C46=0,"",2*P46/SQRT(1-P46^2))</f>
        <v>1.13235901928273</v>
      </c>
      <c r="T46" s="7" t="n">
        <f aca="false">IF(C46=0,"",2*(1-NORMSDIST(ABS(N46/O46))))</f>
        <v>0</v>
      </c>
    </row>
    <row r="47" customFormat="false" ht="15" hidden="false" customHeight="false" outlineLevel="0" collapsed="false">
      <c r="A47" s="18" t="s">
        <v>33</v>
      </c>
      <c r="B47" s="14" t="s">
        <v>82</v>
      </c>
      <c r="C47" s="19" t="n">
        <f aca="false">COUNTIFS(Correlational_Studies!$AB$2:$AB$42,"&gt;0",Correlational_Studies!$N$2:$N$42,"Cognitive")</f>
        <v>13</v>
      </c>
      <c r="D47" s="19" t="n">
        <f aca="false">SUMPRODUCT(--(COUNTIFS(Correlational_Studies!$B$2:$B$42,"R"&amp;TEXT(ROW($A$1:$A$40),"00"),Correlational_Studies!$AB$2:$AB$42,"&gt;0",Correlational_Studies!$N$2:$N$42,"Cognitive")&gt;0))</f>
        <v>6</v>
      </c>
      <c r="E47" s="7" t="n">
        <f aca="false">SUMIFS(Correlational_Studies!$AB$2:$AB$42,Correlational_Studies!$N$2:$N$42,"Cognitive")</f>
        <v>4805</v>
      </c>
      <c r="F47" s="7" t="n">
        <f aca="false">SUMIFS(Correlational_Studies!$AC$2:$AC$42,Correlational_Studies!$N$2:$N$42,"Cognitive")</f>
        <v>2122.54212233548</v>
      </c>
      <c r="G47" s="7" t="n">
        <f aca="false">SUMIFS(Correlational_Studies!$AD$2:$AD$42,Correlational_Studies!$N$2:$N$42,"Cognitive")</f>
        <v>1107.96318820483</v>
      </c>
      <c r="H47" s="7" t="n">
        <f aca="false">SUMIFS(Correlational_Studies!$AE$2:$AE$42,Correlational_Studies!$N$2:$N$42,"Cognitive")</f>
        <v>1972871</v>
      </c>
      <c r="I47" s="7" t="n">
        <f aca="false">IF(C47&lt;2,"",G47-F47^2/E47)</f>
        <v>170.359637510056</v>
      </c>
      <c r="J47" s="7" t="n">
        <f aca="false">IF(C47&lt;2,"",C47-1)</f>
        <v>12</v>
      </c>
      <c r="K47" s="7" t="n">
        <f aca="false">IF(I47="","",CHIDIST(MAX(I47,0),J47))</f>
        <v>4.03013553255494E-030</v>
      </c>
      <c r="L47" s="7" t="n">
        <f aca="false">IF(C47&lt;2,0,MAX(0,(I47-J47)/(E47-H47/E47)))</f>
        <v>0.0360365857732234</v>
      </c>
      <c r="M47" s="20" t="n">
        <f aca="false">IF(OR(C47&lt;2,I47&lt;=0),"",MAX(0,(I47-J47)/I47))</f>
        <v>0.929560779916008</v>
      </c>
      <c r="N47" s="7" t="n">
        <f aca="false">IF(C47=0,"",SUMPRODUCT((Correlational_Studies!$N$2:$N$42="Cognitive")*(Correlational_Studies!$AB$2:$AB$42&gt;0)*Correlational_Studies!$T$2:$T$42/(Correlational_Studies!$U$2:$U$42+L47))/SUMPRODUCT((Correlational_Studies!$N$2:$N$42="Cognitive")*(Correlational_Studies!$AB$2:$AB$42&gt;0)/(Correlational_Studies!$U$2:$U$42+L47)))</f>
        <v>0.413430612593363</v>
      </c>
      <c r="O47" s="7" t="n">
        <f aca="false">IF(C47=0,"",1/SQRT(SUMPRODUCT((Correlational_Studies!$N$2:$N$42="Cognitive")*(Correlational_Studies!$AB$2:$AB$42&gt;0)/(Correlational_Studies!$U$2:$U$42+L47))))</f>
        <v>0.0548699207659068</v>
      </c>
      <c r="P47" s="7" t="n">
        <f aca="false">IF(C47=0,"",FISHERINV(N47))</f>
        <v>0.391381687308751</v>
      </c>
      <c r="Q47" s="7" t="n">
        <f aca="false">IF(C47=0,"",FISHERINV(N47-1.96*O47))</f>
        <v>0.296689432313451</v>
      </c>
      <c r="R47" s="7" t="n">
        <f aca="false">IF(C47=0,"",FISHERINV(N47+1.96*O47))</f>
        <v>0.478452676067097</v>
      </c>
      <c r="S47" s="7" t="n">
        <f aca="false">IF(C47=0,"",2*P47/SQRT(1-P47^2))</f>
        <v>0.850618546224836</v>
      </c>
      <c r="T47" s="7" t="n">
        <f aca="false">IF(C47=0,"",2*(1-NORMSDIST(ABS(N47/O47))))</f>
        <v>4.88498130835069E-014</v>
      </c>
    </row>
    <row r="48" customFormat="false" ht="15" hidden="false" customHeight="false" outlineLevel="0" collapsed="false">
      <c r="A48" s="18" t="s">
        <v>33</v>
      </c>
      <c r="B48" s="14" t="s">
        <v>113</v>
      </c>
      <c r="C48" s="19" t="n">
        <f aca="false">COUNTIFS(Correlational_Studies!$AB$2:$AB$42,"&gt;0",Correlational_Studies!$N$2:$N$42,"Non-cognitive")</f>
        <v>24</v>
      </c>
      <c r="D48" s="19" t="n">
        <f aca="false">SUMPRODUCT(--(COUNTIFS(Correlational_Studies!$B$2:$B$42,"R"&amp;TEXT(ROW($A$1:$A$40),"00"),Correlational_Studies!$AB$2:$AB$42,"&gt;0",Correlational_Studies!$N$2:$N$42,"Non-cognitive")&gt;0))</f>
        <v>9</v>
      </c>
      <c r="E48" s="7" t="n">
        <f aca="false">SUMIFS(Correlational_Studies!$AB$2:$AB$42,Correlational_Studies!$N$2:$N$42,"Non-cognitive")</f>
        <v>11836</v>
      </c>
      <c r="F48" s="7" t="n">
        <f aca="false">SUMIFS(Correlational_Studies!$AC$2:$AC$42,Correlational_Studies!$N$2:$N$42,"Non-cognitive")</f>
        <v>7833.35518782425</v>
      </c>
      <c r="G48" s="7" t="n">
        <f aca="false">SUMIFS(Correlational_Studies!$AD$2:$AD$42,Correlational_Studies!$N$2:$N$42,"Non-cognitive")</f>
        <v>7318.83374282868</v>
      </c>
      <c r="H48" s="7" t="n">
        <f aca="false">SUMIFS(Correlational_Studies!$AE$2:$AE$42,Correlational_Studies!$N$2:$N$42,"Non-cognitive")</f>
        <v>6739088</v>
      </c>
      <c r="I48" s="7" t="n">
        <f aca="false">IF(C48&lt;2,"",G48-F48^2/E48)</f>
        <v>2134.52709374004</v>
      </c>
      <c r="J48" s="7" t="n">
        <f aca="false">IF(C48&lt;2,"",C48-1)</f>
        <v>23</v>
      </c>
      <c r="K48" s="7" t="n">
        <f aca="false">IF(I48="","",CHIDIST(MAX(I48,0),J48))</f>
        <v>0</v>
      </c>
      <c r="L48" s="7" t="n">
        <f aca="false">IF(C48&lt;2,0,MAX(0,(I48-J48)/(E48-H48/E48)))</f>
        <v>0.187414291987006</v>
      </c>
      <c r="M48" s="20" t="n">
        <f aca="false">IF(OR(C48&lt;2,I48&lt;=0),"",MAX(0,(I48-J48)/I48))</f>
        <v>0.98922477954604</v>
      </c>
      <c r="N48" s="7" t="n">
        <f aca="false">IF(C48=0,"",SUMPRODUCT((Correlational_Studies!$N$2:$N$42="Non-cognitive")*(Correlational_Studies!$AB$2:$AB$42&gt;0)*Correlational_Studies!$T$2:$T$42/(Correlational_Studies!$U$2:$U$42+L48))/SUMPRODUCT((Correlational_Studies!$N$2:$N$42="Non-cognitive")*(Correlational_Studies!$AB$2:$AB$42&gt;0)/(Correlational_Studies!$U$2:$U$42+L48)))</f>
        <v>0.608494709599962</v>
      </c>
      <c r="O48" s="7" t="n">
        <f aca="false">IF(C48=0,"",1/SQRT(SUMPRODUCT((Correlational_Studies!$N$2:$N$42="Non-cognitive")*(Correlational_Studies!$AB$2:$AB$42&gt;0)/(Correlational_Studies!$U$2:$U$42+L48))))</f>
        <v>0.0889844873703092</v>
      </c>
      <c r="P48" s="7" t="n">
        <f aca="false">IF(C48=0,"",FISHERINV(N48))</f>
        <v>0.543066618448616</v>
      </c>
      <c r="Q48" s="7" t="n">
        <f aca="false">IF(C48=0,"",FISHERINV(N48-1.96*O48))</f>
        <v>0.40872963613467</v>
      </c>
      <c r="R48" s="7" t="n">
        <f aca="false">IF(C48=0,"",FISHERINV(N48+1.96*O48))</f>
        <v>0.654370542558346</v>
      </c>
      <c r="S48" s="7" t="n">
        <f aca="false">IF(C48=0,"",2*P48/SQRT(1-P48^2))</f>
        <v>1.29349371331558</v>
      </c>
      <c r="T48" s="7" t="n">
        <f aca="false">IF(C48=0,"",2*(1-NORMSDIST(ABS(N48/O48))))</f>
        <v>8.01891886226258E-012</v>
      </c>
    </row>
    <row r="49" customFormat="false" ht="15" hidden="false" customHeight="false" outlineLevel="0" collapsed="false">
      <c r="A49" s="18" t="s">
        <v>1465</v>
      </c>
      <c r="B49" s="14" t="s">
        <v>83</v>
      </c>
      <c r="C49" s="19" t="n">
        <f aca="false">COUNTIFS(Correlational_Studies!$AB$2:$AB$42,"&gt;0",Correlational_Studies!$O$2:$O$42,"Higher-order thinking skills")</f>
        <v>11</v>
      </c>
      <c r="D49" s="19" t="n">
        <f aca="false">SUMPRODUCT(--(COUNTIFS(Correlational_Studies!$B$2:$B$42,"R"&amp;TEXT(ROW($A$1:$A$40),"00"),Correlational_Studies!$AB$2:$AB$42,"&gt;0",Correlational_Studies!$O$2:$O$42,"Higher-order thinking skills")&gt;0))</f>
        <v>6</v>
      </c>
      <c r="E49" s="7" t="n">
        <f aca="false">SUMIFS(Correlational_Studies!$AB$2:$AB$42,Correlational_Studies!$O$2:$O$42,"Higher-order thinking skills")</f>
        <v>4237</v>
      </c>
      <c r="F49" s="7" t="n">
        <f aca="false">SUMIFS(Correlational_Studies!$AC$2:$AC$42,Correlational_Studies!$O$2:$O$42,"Higher-order thinking skills")</f>
        <v>1771.7097192442</v>
      </c>
      <c r="G49" s="7" t="n">
        <f aca="false">SUMIFS(Correlational_Studies!$AD$2:$AD$42,Correlational_Studies!$O$2:$O$42,"Higher-order thinking skills")</f>
        <v>873.828596662825</v>
      </c>
      <c r="H49" s="7" t="n">
        <f aca="false">SUMIFS(Correlational_Studies!$AE$2:$AE$42,Correlational_Studies!$O$2:$O$42,"Higher-order thinking skills")</f>
        <v>1778277</v>
      </c>
      <c r="I49" s="7" t="n">
        <f aca="false">IF(C49&lt;2,"",G49-F49^2/E49)</f>
        <v>132.984761575654</v>
      </c>
      <c r="J49" s="7" t="n">
        <f aca="false">IF(C49&lt;2,"",C49-1)</f>
        <v>10</v>
      </c>
      <c r="K49" s="7" t="n">
        <f aca="false">IF(I49="","",CHIDIST(MAX(I49,0),J49))</f>
        <v>1.1484625106465E-023</v>
      </c>
      <c r="L49" s="7" t="n">
        <f aca="false">IF(C49&lt;2,0,MAX(0,(I49-J49)/(E49-H49/E49)))</f>
        <v>0.03221775159597</v>
      </c>
      <c r="M49" s="20" t="n">
        <f aca="false">IF(OR(C49&lt;2,I49&lt;=0),"",MAX(0,(I49-J49)/I49))</f>
        <v>0.924803414455038</v>
      </c>
      <c r="N49" s="7" t="n">
        <f aca="false">IF(C49=0,"",SUMPRODUCT((Correlational_Studies!$O$2:$O$42="Higher-order thinking skills")*(Correlational_Studies!$AB$2:$AB$42&gt;0)*Correlational_Studies!$T$2:$T$42/(Correlational_Studies!$U$2:$U$42+L49))/SUMPRODUCT((Correlational_Studies!$O$2:$O$42="Higher-order thinking skills")*(Correlational_Studies!$AB$2:$AB$42&gt;0)/(Correlational_Studies!$U$2:$U$42+L49)))</f>
        <v>0.391833229137631</v>
      </c>
      <c r="O49" s="7" t="n">
        <f aca="false">IF(C49=0,"",1/SQRT(SUMPRODUCT((Correlational_Studies!$O$2:$O$42="Higher-order thinking skills")*(Correlational_Studies!$AB$2:$AB$42&gt;0)/(Correlational_Studies!$U$2:$U$42+L49))))</f>
        <v>0.0564884653541225</v>
      </c>
      <c r="P49" s="7" t="n">
        <f aca="false">IF(C49=0,"",FISHERINV(N49))</f>
        <v>0.372939562320589</v>
      </c>
      <c r="Q49" s="7" t="n">
        <f aca="false">IF(C49=0,"",FISHERINV(N49-1.96*O49))</f>
        <v>0.273937498389115</v>
      </c>
      <c r="R49" s="7" t="n">
        <f aca="false">IF(C49=0,"",FISHERINV(N49+1.96*O49))</f>
        <v>0.464120721627569</v>
      </c>
      <c r="S49" s="7" t="n">
        <f aca="false">IF(C49=0,"",2*P49/SQRT(1-P49^2))</f>
        <v>0.803874110377704</v>
      </c>
      <c r="T49" s="7" t="n">
        <f aca="false">IF(C49=0,"",2*(1-NORMSDIST(ABS(N49/O49))))</f>
        <v>4.01878530453814E-012</v>
      </c>
    </row>
    <row r="50" customFormat="false" ht="15" hidden="false" customHeight="false" outlineLevel="0" collapsed="false">
      <c r="A50" s="18" t="s">
        <v>1465</v>
      </c>
      <c r="B50" s="14" t="s">
        <v>191</v>
      </c>
      <c r="C50" s="19" t="n">
        <f aca="false">COUNTIFS(Correlational_Studies!$AB$2:$AB$42,"&gt;0",Correlational_Studies!$O$2:$O$42,"Skill-based outcome")</f>
        <v>1</v>
      </c>
      <c r="D50" s="19" t="n">
        <f aca="false">SUMPRODUCT(--(COUNTIFS(Correlational_Studies!$B$2:$B$42,"R"&amp;TEXT(ROW($A$1:$A$40),"00"),Correlational_Studies!$AB$2:$AB$42,"&gt;0",Correlational_Studies!$O$2:$O$42,"Skill-based outcome")&gt;0))</f>
        <v>1</v>
      </c>
      <c r="E50" s="7" t="n">
        <f aca="false">SUMIFS(Correlational_Studies!$AB$2:$AB$42,Correlational_Studies!$O$2:$O$42,"Skill-based outcome")</f>
        <v>155</v>
      </c>
      <c r="F50" s="7" t="n">
        <f aca="false">SUMIFS(Correlational_Studies!$AC$2:$AC$42,Correlational_Studies!$O$2:$O$42,"Skill-based outcome")</f>
        <v>51.4053018492955</v>
      </c>
      <c r="G50" s="7" t="n">
        <f aca="false">SUMIFS(Correlational_Studies!$AD$2:$AD$42,Correlational_Studies!$O$2:$O$42,"Skill-based outcome")</f>
        <v>17.0484197304334</v>
      </c>
      <c r="H50" s="7" t="n">
        <f aca="false">SUMIFS(Correlational_Studies!$AE$2:$AE$42,Correlational_Studies!$O$2:$O$42,"Skill-based outcome")</f>
        <v>24025</v>
      </c>
      <c r="I50" s="7" t="str">
        <f aca="false">IF(C50&lt;2,"",G50-F50^2/E50)</f>
        <v/>
      </c>
      <c r="J50" s="7" t="str">
        <f aca="false">IF(C50&lt;2,"",C50-1)</f>
        <v/>
      </c>
      <c r="K50" s="7" t="str">
        <f aca="false">IF(I50="","",CHIDIST(MAX(I50,0),J50))</f>
        <v/>
      </c>
      <c r="L50" s="7" t="n">
        <f aca="false">IF(C50&lt;2,0,MAX(0,(I50-J50)/(E50-H50/E50)))</f>
        <v>0</v>
      </c>
      <c r="M50" s="20" t="str">
        <f aca="false">IF(OR(C50&lt;2,I50&lt;=0),"",MAX(0,(I50-J50)/I50))</f>
        <v/>
      </c>
      <c r="N50" s="7" t="n">
        <f aca="false">IF(C50=0,"",SUMPRODUCT((Correlational_Studies!$O$2:$O$42="Skill-based outcome")*(Correlational_Studies!$AB$2:$AB$42&gt;0)*Correlational_Studies!$T$2:$T$42/(Correlational_Studies!$U$2:$U$42+L50))/SUMPRODUCT((Correlational_Studies!$O$2:$O$42="Skill-based outcome")*(Correlational_Studies!$AB$2:$AB$42&gt;0)/(Correlational_Studies!$U$2:$U$42+L50)))</f>
        <v>0.331647108705132</v>
      </c>
      <c r="O50" s="7" t="n">
        <f aca="false">IF(C50=0,"",1/SQRT(SUMPRODUCT((Correlational_Studies!$O$2:$O$42="Skill-based outcome")*(Correlational_Studies!$AB$2:$AB$42&gt;0)/(Correlational_Studies!$U$2:$U$42+L50))))</f>
        <v>0.0803219328902499</v>
      </c>
      <c r="P50" s="7" t="n">
        <f aca="false">IF(C50=0,"",FISHERINV(N50))</f>
        <v>0.32</v>
      </c>
      <c r="Q50" s="7" t="n">
        <f aca="false">IF(C50=0,"",FISHERINV(N50-1.96*O50))</f>
        <v>0.172474699524568</v>
      </c>
      <c r="R50" s="7" t="n">
        <f aca="false">IF(C50=0,"",FISHERINV(N50+1.96*O50))</f>
        <v>0.453484423675749</v>
      </c>
      <c r="S50" s="7" t="n">
        <f aca="false">IF(C50=0,"",2*P50/SQRT(1-P50^2))</f>
        <v>0.675520529473199</v>
      </c>
      <c r="T50" s="7" t="n">
        <f aca="false">IF(C50=0,"",2*(1-NORMSDIST(ABS(N50/O50))))</f>
        <v>3.64386860316479E-005</v>
      </c>
    </row>
    <row r="51" customFormat="false" ht="15" hidden="false" customHeight="false" outlineLevel="0" collapsed="false">
      <c r="A51" s="18" t="s">
        <v>1465</v>
      </c>
      <c r="B51" s="14" t="s">
        <v>103</v>
      </c>
      <c r="C51" s="19" t="n">
        <f aca="false">COUNTIFS(Correlational_Studies!$AB$2:$AB$42,"&gt;0",Correlational_Studies!$O$2:$O$42,"Knowledge-based outcome")</f>
        <v>1</v>
      </c>
      <c r="D51" s="19" t="n">
        <f aca="false">SUMPRODUCT(--(COUNTIFS(Correlational_Studies!$B$2:$B$42,"R"&amp;TEXT(ROW($A$1:$A$40),"00"),Correlational_Studies!$AB$2:$AB$42,"&gt;0",Correlational_Studies!$O$2:$O$42,"Knowledge-based outcome")&gt;0))</f>
        <v>1</v>
      </c>
      <c r="E51" s="7" t="n">
        <f aca="false">SUMIFS(Correlational_Studies!$AB$2:$AB$42,Correlational_Studies!$O$2:$O$42,"Knowledge-based outcome")</f>
        <v>413</v>
      </c>
      <c r="F51" s="7" t="n">
        <f aca="false">SUMIFS(Correlational_Studies!$AC$2:$AC$42,Correlational_Studies!$O$2:$O$42,"Knowledge-based outcome")</f>
        <v>299.427101241989</v>
      </c>
      <c r="G51" s="7" t="n">
        <f aca="false">SUMIFS(Correlational_Studies!$AD$2:$AD$42,Correlational_Studies!$O$2:$O$42,"Knowledge-based outcome")</f>
        <v>217.086171811574</v>
      </c>
      <c r="H51" s="7" t="n">
        <f aca="false">SUMIFS(Correlational_Studies!$AE$2:$AE$42,Correlational_Studies!$O$2:$O$42,"Knowledge-based outcome")</f>
        <v>170569</v>
      </c>
      <c r="I51" s="7" t="str">
        <f aca="false">IF(C51&lt;2,"",G51-F51^2/E51)</f>
        <v/>
      </c>
      <c r="J51" s="7" t="str">
        <f aca="false">IF(C51&lt;2,"",C51-1)</f>
        <v/>
      </c>
      <c r="K51" s="7" t="str">
        <f aca="false">IF(I51="","",CHIDIST(MAX(I51,0),J51))</f>
        <v/>
      </c>
      <c r="L51" s="7" t="n">
        <f aca="false">IF(C51&lt;2,0,MAX(0,(I51-J51)/(E51-H51/E51)))</f>
        <v>0</v>
      </c>
      <c r="M51" s="20" t="str">
        <f aca="false">IF(OR(C51&lt;2,I51&lt;=0),"",MAX(0,(I51-J51)/I51))</f>
        <v/>
      </c>
      <c r="N51" s="7" t="n">
        <f aca="false">IF(C51=0,"",SUMPRODUCT((Correlational_Studies!$O$2:$O$42="Knowledge-based outcome")*(Correlational_Studies!$AB$2:$AB$42&gt;0)*Correlational_Studies!$T$2:$T$42/(Correlational_Studies!$U$2:$U$42+L51))/SUMPRODUCT((Correlational_Studies!$O$2:$O$42="Knowledge-based outcome")*(Correlational_Studies!$AB$2:$AB$42&gt;0)/(Correlational_Studies!$U$2:$U$42+L51)))</f>
        <v>0.725005087752999</v>
      </c>
      <c r="O51" s="7" t="n">
        <f aca="false">IF(C51=0,"",1/SQRT(SUMPRODUCT((Correlational_Studies!$O$2:$O$42="Knowledge-based outcome")*(Correlational_Studies!$AB$2:$AB$42&gt;0)/(Correlational_Studies!$U$2:$U$42+L51))))</f>
        <v>0.0492067831305123</v>
      </c>
      <c r="P51" s="7" t="n">
        <f aca="false">IF(C51=0,"",FISHERINV(N51))</f>
        <v>0.62</v>
      </c>
      <c r="Q51" s="7" t="n">
        <f aca="false">IF(C51=0,"",FISHERINV(N51-1.96*O51))</f>
        <v>0.55705972398458</v>
      </c>
      <c r="R51" s="7" t="n">
        <f aca="false">IF(C51=0,"",FISHERINV(N51+1.96*O51))</f>
        <v>0.675858517371127</v>
      </c>
      <c r="S51" s="7" t="n">
        <f aca="false">IF(C51=0,"",2*P51/SQRT(1-P51^2))</f>
        <v>1.5804194999972</v>
      </c>
      <c r="T51" s="7" t="n">
        <f aca="false">IF(C51=0,"",2*(1-NORMSDIST(ABS(N51/O51))))</f>
        <v>0</v>
      </c>
    </row>
    <row r="52" customFormat="false" ht="15" hidden="false" customHeight="false" outlineLevel="0" collapsed="false">
      <c r="A52" s="18" t="s">
        <v>1465</v>
      </c>
      <c r="B52" s="14" t="s">
        <v>425</v>
      </c>
      <c r="C52" s="19" t="n">
        <f aca="false">COUNTIFS(Correlational_Studies!$AB$2:$AB$42,"&gt;0",Correlational_Studies!$O$2:$O$42,"Learning dispositions")</f>
        <v>12</v>
      </c>
      <c r="D52" s="19" t="n">
        <f aca="false">SUMPRODUCT(--(COUNTIFS(Correlational_Studies!$B$2:$B$42,"R"&amp;TEXT(ROW($A$1:$A$40),"00"),Correlational_Studies!$AB$2:$AB$42,"&gt;0",Correlational_Studies!$O$2:$O$42,"Learning dispositions")&gt;0))</f>
        <v>7</v>
      </c>
      <c r="E52" s="7" t="n">
        <f aca="false">SUMIFS(Correlational_Studies!$AB$2:$AB$42,Correlational_Studies!$O$2:$O$42,"Learning dispositions")</f>
        <v>5934</v>
      </c>
      <c r="F52" s="7" t="n">
        <f aca="false">SUMIFS(Correlational_Studies!$AC$2:$AC$42,Correlational_Studies!$O$2:$O$42,"Learning dispositions")</f>
        <v>4787.15044902935</v>
      </c>
      <c r="G52" s="7" t="n">
        <f aca="false">SUMIFS(Correlational_Studies!$AD$2:$AD$42,Correlational_Studies!$O$2:$O$42,"Learning dispositions")</f>
        <v>4931.78625287122</v>
      </c>
      <c r="H52" s="7" t="n">
        <f aca="false">SUMIFS(Correlational_Studies!$AE$2:$AE$42,Correlational_Studies!$O$2:$O$42,"Learning dispositions")</f>
        <v>3205578</v>
      </c>
      <c r="I52" s="7" t="n">
        <f aca="false">IF(C52&lt;2,"",G52-F52^2/E52)</f>
        <v>1069.83656941286</v>
      </c>
      <c r="J52" s="7" t="n">
        <f aca="false">IF(C52&lt;2,"",C52-1)</f>
        <v>11</v>
      </c>
      <c r="K52" s="7" t="n">
        <f aca="false">IF(I52="","",CHIDIST(MAX(I52,0),J52))</f>
        <v>1.77844094133695E-222</v>
      </c>
      <c r="L52" s="7" t="n">
        <f aca="false">IF(C52&lt;2,0,MAX(0,(I52-J52)/(E52-H52/E52)))</f>
        <v>0.196306426185601</v>
      </c>
      <c r="M52" s="20" t="n">
        <f aca="false">IF(OR(C52&lt;2,I52&lt;=0),"",MAX(0,(I52-J52)/I52))</f>
        <v>0.989718055715709</v>
      </c>
      <c r="N52" s="7" t="n">
        <f aca="false">IF(C52=0,"",SUMPRODUCT((Correlational_Studies!$O$2:$O$42="Learning dispositions")*(Correlational_Studies!$AB$2:$AB$42&gt;0)*Correlational_Studies!$T$2:$T$42/(Correlational_Studies!$U$2:$U$42+L52))/SUMPRODUCT((Correlational_Studies!$O$2:$O$42="Learning dispositions")*(Correlational_Studies!$AB$2:$AB$42&gt;0)/(Correlational_Studies!$U$2:$U$42+L52)))</f>
        <v>0.76828747920681</v>
      </c>
      <c r="O52" s="7" t="n">
        <f aca="false">IF(C52=0,"",1/SQRT(SUMPRODUCT((Correlational_Studies!$O$2:$O$42="Learning dispositions")*(Correlational_Studies!$AB$2:$AB$42&gt;0)/(Correlational_Studies!$U$2:$U$42+L52))))</f>
        <v>0.128662889422327</v>
      </c>
      <c r="P52" s="7" t="n">
        <f aca="false">IF(C52=0,"",FISHERINV(N52))</f>
        <v>0.645932546460292</v>
      </c>
      <c r="Q52" s="7" t="n">
        <f aca="false">IF(C52=0,"",FISHERINV(N52-1.96*O52))</f>
        <v>0.474690743373984</v>
      </c>
      <c r="R52" s="7" t="n">
        <f aca="false">IF(C52=0,"",FISHERINV(N52+1.96*O52))</f>
        <v>0.770056574393542</v>
      </c>
      <c r="S52" s="7" t="n">
        <f aca="false">IF(C52=0,"",2*P52/SQRT(1-P52^2))</f>
        <v>1.69226410721117</v>
      </c>
      <c r="T52" s="7" t="n">
        <f aca="false">IF(C52=0,"",2*(1-NORMSDIST(ABS(N52/O52))))</f>
        <v>2.35339436827076E-009</v>
      </c>
    </row>
    <row r="53" customFormat="false" ht="15" hidden="false" customHeight="false" outlineLevel="0" collapsed="false">
      <c r="A53" s="18" t="s">
        <v>1465</v>
      </c>
      <c r="B53" s="14" t="s">
        <v>422</v>
      </c>
      <c r="C53" s="19" t="n">
        <f aca="false">COUNTIFS(Correlational_Studies!$AB$2:$AB$42,"&gt;0",Correlational_Studies!$O$2:$O$42,"Emotional functioning")</f>
        <v>4</v>
      </c>
      <c r="D53" s="19" t="n">
        <f aca="false">SUMPRODUCT(--(COUNTIFS(Correlational_Studies!$B$2:$B$42,"R"&amp;TEXT(ROW($A$1:$A$40),"00"),Correlational_Studies!$AB$2:$AB$42,"&gt;0",Correlational_Studies!$O$2:$O$42,"Emotional functioning")&gt;0))</f>
        <v>3</v>
      </c>
      <c r="E53" s="7" t="n">
        <f aca="false">SUMIFS(Correlational_Studies!$AB$2:$AB$42,Correlational_Studies!$O$2:$O$42,"Emotional functioning")</f>
        <v>1560</v>
      </c>
      <c r="F53" s="7" t="n">
        <f aca="false">SUMIFS(Correlational_Studies!$AC$2:$AC$42,Correlational_Studies!$O$2:$O$42,"Emotional functioning")</f>
        <v>1388.03578973247</v>
      </c>
      <c r="G53" s="7" t="n">
        <f aca="false">SUMIFS(Correlational_Studies!$AD$2:$AD$42,Correlational_Studies!$O$2:$O$42,"Emotional functioning")</f>
        <v>1528.90051573</v>
      </c>
      <c r="H53" s="7" t="n">
        <f aca="false">SUMIFS(Correlational_Studies!$AE$2:$AE$42,Correlational_Studies!$O$2:$O$42,"Emotional functioning")</f>
        <v>899988</v>
      </c>
      <c r="I53" s="7" t="n">
        <f aca="false">IF(C53&lt;2,"",G53-F53^2/E53)</f>
        <v>293.872724974716</v>
      </c>
      <c r="J53" s="7" t="n">
        <f aca="false">IF(C53&lt;2,"",C53-1)</f>
        <v>3</v>
      </c>
      <c r="K53" s="7" t="n">
        <f aca="false">IF(I53="","",CHIDIST(MAX(I53,0),J53))</f>
        <v>2.10784486432419E-063</v>
      </c>
      <c r="L53" s="7" t="n">
        <f aca="false">IF(C53&lt;2,0,MAX(0,(I53-J53)/(E53-H53/E53)))</f>
        <v>0.295877608521945</v>
      </c>
      <c r="M53" s="20" t="n">
        <f aca="false">IF(OR(C53&lt;2,I53&lt;=0),"",MAX(0,(I53-J53)/I53))</f>
        <v>0.989791499023061</v>
      </c>
      <c r="N53" s="7" t="n">
        <f aca="false">IF(C53=0,"",SUMPRODUCT((Correlational_Studies!$O$2:$O$42="Emotional functioning")*(Correlational_Studies!$AB$2:$AB$42&gt;0)*Correlational_Studies!$T$2:$T$42/(Correlational_Studies!$U$2:$U$42+L53))/SUMPRODUCT((Correlational_Studies!$O$2:$O$42="Emotional functioning")*(Correlational_Studies!$AB$2:$AB$42&gt;0)/(Correlational_Studies!$U$2:$U$42+L53)))</f>
        <v>0.656318630234578</v>
      </c>
      <c r="O53" s="7" t="n">
        <f aca="false">IF(C53=0,"",1/SQRT(SUMPRODUCT((Correlational_Studies!$O$2:$O$42="Emotional functioning")*(Correlational_Studies!$AB$2:$AB$42&gt;0)/(Correlational_Studies!$U$2:$U$42+L53))))</f>
        <v>0.273844925294308</v>
      </c>
      <c r="P53" s="7" t="n">
        <f aca="false">IF(C53=0,"",FISHERINV(N53))</f>
        <v>0.57590826072108</v>
      </c>
      <c r="Q53" s="7" t="n">
        <f aca="false">IF(C53=0,"",FISHERINV(N53-1.96*O53))</f>
        <v>0.119015808361405</v>
      </c>
      <c r="R53" s="7" t="n">
        <f aca="false">IF(C53=0,"",FISHERINV(N53+1.96*O53))</f>
        <v>0.83152384384766</v>
      </c>
      <c r="S53" s="7" t="n">
        <f aca="false">IF(C53=0,"",2*P53/SQRT(1-P53^2))</f>
        <v>1.4089251809677</v>
      </c>
      <c r="T53" s="7" t="n">
        <f aca="false">IF(C53=0,"",2*(1-NORMSDIST(ABS(N53/O53))))</f>
        <v>0.0165443694259935</v>
      </c>
    </row>
    <row r="54" customFormat="false" ht="15" hidden="false" customHeight="false" outlineLevel="0" collapsed="false">
      <c r="A54" s="18" t="s">
        <v>1465</v>
      </c>
      <c r="B54" s="14" t="s">
        <v>430</v>
      </c>
      <c r="C54" s="19" t="n">
        <f aca="false">COUNTIFS(Correlational_Studies!$AB$2:$AB$42,"&gt;0",Correlational_Studies!$O$2:$O$42,"Self-management")</f>
        <v>7</v>
      </c>
      <c r="D54" s="19" t="n">
        <f aca="false">SUMPRODUCT(--(COUNTIFS(Correlational_Studies!$B$2:$B$42,"R"&amp;TEXT(ROW($A$1:$A$40),"00"),Correlational_Studies!$AB$2:$AB$42,"&gt;0",Correlational_Studies!$O$2:$O$42,"Self-management")&gt;0))</f>
        <v>3</v>
      </c>
      <c r="E54" s="7" t="n">
        <f aca="false">SUMIFS(Correlational_Studies!$AB$2:$AB$42,Correlational_Studies!$O$2:$O$42,"Self-management")</f>
        <v>4187</v>
      </c>
      <c r="F54" s="7" t="n">
        <f aca="false">SUMIFS(Correlational_Studies!$AC$2:$AC$42,Correlational_Studies!$O$2:$O$42,"Self-management")</f>
        <v>1634.10751728414</v>
      </c>
      <c r="G54" s="7" t="n">
        <f aca="false">SUMIFS(Correlational_Studies!$AD$2:$AD$42,Correlational_Studies!$O$2:$O$42,"Self-management")</f>
        <v>854.411796813124</v>
      </c>
      <c r="H54" s="7" t="n">
        <f aca="false">SUMIFS(Correlational_Studies!$AE$2:$AE$42,Correlational_Studies!$O$2:$O$42,"Self-management")</f>
        <v>2609497</v>
      </c>
      <c r="I54" s="7" t="n">
        <f aca="false">IF(C54&lt;2,"",G54-F54^2/E54)</f>
        <v>216.650302176267</v>
      </c>
      <c r="J54" s="7" t="n">
        <f aca="false">IF(C54&lt;2,"",C54-1)</f>
        <v>6</v>
      </c>
      <c r="K54" s="7" t="n">
        <f aca="false">IF(I54="","",CHIDIST(MAX(I54,0),J54))</f>
        <v>5.38804411548257E-044</v>
      </c>
      <c r="L54" s="7" t="n">
        <f aca="false">IF(C54&lt;2,0,MAX(0,(I54-J54)/(E54-H54/E54)))</f>
        <v>0.0591089682849005</v>
      </c>
      <c r="M54" s="20" t="n">
        <f aca="false">IF(OR(C54&lt;2,I54&lt;=0),"",MAX(0,(I54-J54)/I54))</f>
        <v>0.972305600593539</v>
      </c>
      <c r="N54" s="7" t="n">
        <f aca="false">IF(C54=0,"",SUMPRODUCT((Correlational_Studies!$O$2:$O$42="Self-management")*(Correlational_Studies!$AB$2:$AB$42&gt;0)*Correlational_Studies!$T$2:$T$42/(Correlational_Studies!$U$2:$U$42+L54))/SUMPRODUCT((Correlational_Studies!$O$2:$O$42="Self-management")*(Correlational_Studies!$AB$2:$AB$42&gt;0)/(Correlational_Studies!$U$2:$U$42+L54)))</f>
        <v>0.370784079355016</v>
      </c>
      <c r="O54" s="7" t="n">
        <f aca="false">IF(C54=0,"",1/SQRT(SUMPRODUCT((Correlational_Studies!$O$2:$O$42="Self-management")*(Correlational_Studies!$AB$2:$AB$42&gt;0)/(Correlational_Studies!$U$2:$U$42+L54))))</f>
        <v>0.0932406725433459</v>
      </c>
      <c r="P54" s="7" t="n">
        <f aca="false">IF(C54=0,"",FISHERINV(N54))</f>
        <v>0.354677348300258</v>
      </c>
      <c r="Q54" s="7" t="n">
        <f aca="false">IF(C54=0,"",FISHERINV(N54-1.96*O54))</f>
        <v>0.185847224562061</v>
      </c>
      <c r="R54" s="7" t="n">
        <f aca="false">IF(C54=0,"",FISHERINV(N54+1.96*O54))</f>
        <v>0.503165526487779</v>
      </c>
      <c r="S54" s="7" t="n">
        <f aca="false">IF(C54=0,"",2*P54/SQRT(1-P54^2))</f>
        <v>0.75867724624362</v>
      </c>
      <c r="T54" s="7" t="n">
        <f aca="false">IF(C54=0,"",2*(1-NORMSDIST(ABS(N54/O54))))</f>
        <v>6.98974589132817E-005</v>
      </c>
    </row>
    <row r="55" customFormat="false" ht="15" hidden="false" customHeight="false" outlineLevel="0" collapsed="false">
      <c r="A55" s="18" t="s">
        <v>1465</v>
      </c>
      <c r="B55" s="14" t="s">
        <v>114</v>
      </c>
      <c r="C55" s="19" t="n">
        <f aca="false">COUNTIFS(Correlational_Studies!$AB$2:$AB$42,"&gt;0",Correlational_Studies!$O$2:$O$42,"Curiosity")</f>
        <v>1</v>
      </c>
      <c r="D55" s="19" t="n">
        <f aca="false">SUMPRODUCT(--(COUNTIFS(Correlational_Studies!$B$2:$B$42,"R"&amp;TEXT(ROW($A$1:$A$40),"00"),Correlational_Studies!$AB$2:$AB$42,"&gt;0",Correlational_Studies!$O$2:$O$42,"Curiosity")&gt;0))</f>
        <v>1</v>
      </c>
      <c r="E55" s="7" t="n">
        <f aca="false">SUMIFS(Correlational_Studies!$AB$2:$AB$42,Correlational_Studies!$O$2:$O$42,"Curiosity")</f>
        <v>155</v>
      </c>
      <c r="F55" s="7" t="n">
        <f aca="false">SUMIFS(Correlational_Studies!$AC$2:$AC$42,Correlational_Studies!$O$2:$O$42,"Curiosity")</f>
        <v>24.0614317782912</v>
      </c>
      <c r="G55" s="7" t="n">
        <f aca="false">SUMIFS(Correlational_Studies!$AD$2:$AD$42,Correlational_Studies!$O$2:$O$42,"Curiosity")</f>
        <v>3.73517741433136</v>
      </c>
      <c r="H55" s="7" t="n">
        <f aca="false">SUMIFS(Correlational_Studies!$AE$2:$AE$42,Correlational_Studies!$O$2:$O$42,"Curiosity")</f>
        <v>24025</v>
      </c>
      <c r="I55" s="7" t="str">
        <f aca="false">IF(C55&lt;2,"",G55-F55^2/E55)</f>
        <v/>
      </c>
      <c r="J55" s="7" t="str">
        <f aca="false">IF(C55&lt;2,"",C55-1)</f>
        <v/>
      </c>
      <c r="K55" s="7" t="str">
        <f aca="false">IF(I55="","",CHIDIST(MAX(I55,0),J55))</f>
        <v/>
      </c>
      <c r="L55" s="7" t="n">
        <f aca="false">IF(C55&lt;2,0,MAX(0,(I55-J55)/(E55-H55/E55)))</f>
        <v>0</v>
      </c>
      <c r="M55" s="20" t="str">
        <f aca="false">IF(OR(C55&lt;2,I55&lt;=0),"",MAX(0,(I55-J55)/I55))</f>
        <v/>
      </c>
      <c r="N55" s="7" t="n">
        <f aca="false">IF(C55=0,"",SUMPRODUCT((Correlational_Studies!$O$2:$O$42="Curiosity")*(Correlational_Studies!$AB$2:$AB$42&gt;0)*Correlational_Studies!$T$2:$T$42/(Correlational_Studies!$U$2:$U$42+L55))/SUMPRODUCT((Correlational_Studies!$O$2:$O$42="Curiosity")*(Correlational_Studies!$AB$2:$AB$42&gt;0)/(Correlational_Studies!$U$2:$U$42+L55)))</f>
        <v>0.155235043730911</v>
      </c>
      <c r="O55" s="7" t="n">
        <f aca="false">IF(C55=0,"",1/SQRT(SUMPRODUCT((Correlational_Studies!$O$2:$O$42="Curiosity")*(Correlational_Studies!$AB$2:$AB$42&gt;0)/(Correlational_Studies!$U$2:$U$42+L55))))</f>
        <v>0.0803219328902499</v>
      </c>
      <c r="P55" s="7" t="n">
        <f aca="false">IF(C55=0,"",FISHERINV(N55))</f>
        <v>0.154</v>
      </c>
      <c r="Q55" s="7" t="n">
        <f aca="false">IF(C55=0,"",FISHERINV(N55-1.96*O55))</f>
        <v>-0.0021959412042438</v>
      </c>
      <c r="R55" s="7" t="n">
        <f aca="false">IF(C55=0,"",FISHERINV(N55+1.96*O55))</f>
        <v>0.302860539888729</v>
      </c>
      <c r="S55" s="7" t="n">
        <f aca="false">IF(C55=0,"",2*P55/SQRT(1-P55^2))</f>
        <v>0.311718537925412</v>
      </c>
      <c r="T55" s="7" t="n">
        <f aca="false">IF(C55=0,"",2*(1-NORMSDIST(ABS(N55/O55))))</f>
        <v>0.0532780084714437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60"/>
    <col collapsed="false" customWidth="true" hidden="false" outlineLevel="0" max="8" min="8" style="0" width="16"/>
  </cols>
  <sheetData>
    <row r="1" customFormat="false" ht="42" hidden="false" customHeight="true" outlineLevel="0" collapsed="false">
      <c r="A1" s="21" t="s">
        <v>1466</v>
      </c>
      <c r="B1" s="21" t="s">
        <v>1092</v>
      </c>
      <c r="C1" s="21" t="s">
        <v>1467</v>
      </c>
      <c r="D1" s="21" t="s">
        <v>1468</v>
      </c>
      <c r="E1" s="21" t="s">
        <v>1469</v>
      </c>
      <c r="F1" s="21" t="s">
        <v>1470</v>
      </c>
      <c r="G1" s="21" t="s">
        <v>1471</v>
      </c>
      <c r="H1" s="21" t="s">
        <v>1472</v>
      </c>
    </row>
    <row r="2" customFormat="false" ht="23.85" hidden="false" customHeight="false" outlineLevel="0" collapsed="false">
      <c r="A2" s="22" t="n">
        <v>1</v>
      </c>
      <c r="B2" s="22" t="s">
        <v>1473</v>
      </c>
      <c r="C2" s="22" t="s">
        <v>1474</v>
      </c>
      <c r="D2" s="22" t="s">
        <v>1475</v>
      </c>
      <c r="E2" s="22" t="s">
        <v>1476</v>
      </c>
      <c r="F2" s="22" t="s">
        <v>1477</v>
      </c>
      <c r="G2" s="22" t="s">
        <v>1478</v>
      </c>
      <c r="H2" s="22" t="s">
        <v>401</v>
      </c>
    </row>
    <row r="3" customFormat="false" ht="23.85" hidden="false" customHeight="false" outlineLevel="0" collapsed="false">
      <c r="A3" s="22" t="n">
        <v>2</v>
      </c>
      <c r="B3" s="22" t="s">
        <v>1479</v>
      </c>
      <c r="C3" s="22" t="s">
        <v>1480</v>
      </c>
      <c r="D3" s="22" t="s">
        <v>1475</v>
      </c>
      <c r="E3" s="22" t="s">
        <v>1481</v>
      </c>
      <c r="F3" s="22" t="s">
        <v>1477</v>
      </c>
      <c r="G3" s="22" t="s">
        <v>1482</v>
      </c>
      <c r="H3" s="22" t="s">
        <v>70</v>
      </c>
    </row>
    <row r="4" customFormat="false" ht="23.85" hidden="false" customHeight="false" outlineLevel="0" collapsed="false">
      <c r="A4" s="22" t="n">
        <v>3</v>
      </c>
      <c r="B4" s="22" t="s">
        <v>1483</v>
      </c>
      <c r="C4" s="22" t="s">
        <v>1484</v>
      </c>
      <c r="D4" s="22" t="s">
        <v>1485</v>
      </c>
      <c r="E4" s="22" t="s">
        <v>1486</v>
      </c>
      <c r="F4" s="22" t="s">
        <v>1487</v>
      </c>
      <c r="G4" s="22" t="s">
        <v>1488</v>
      </c>
      <c r="H4" s="22" t="s">
        <v>70</v>
      </c>
    </row>
    <row r="5" customFormat="false" ht="35.05" hidden="false" customHeight="false" outlineLevel="0" collapsed="false">
      <c r="A5" s="22" t="n">
        <v>4</v>
      </c>
      <c r="B5" s="22" t="s">
        <v>1489</v>
      </c>
      <c r="C5" s="22" t="s">
        <v>1490</v>
      </c>
      <c r="D5" s="22" t="s">
        <v>1475</v>
      </c>
      <c r="E5" s="22" t="s">
        <v>1491</v>
      </c>
      <c r="F5" s="22" t="s">
        <v>1477</v>
      </c>
      <c r="G5" s="22" t="s">
        <v>1492</v>
      </c>
      <c r="H5" s="22" t="s">
        <v>130</v>
      </c>
    </row>
    <row r="6" customFormat="false" ht="23.85" hidden="false" customHeight="false" outlineLevel="0" collapsed="false">
      <c r="A6" s="22" t="n">
        <v>5</v>
      </c>
      <c r="B6" s="22" t="s">
        <v>1493</v>
      </c>
      <c r="C6" s="22" t="s">
        <v>1494</v>
      </c>
      <c r="D6" s="22" t="s">
        <v>1495</v>
      </c>
      <c r="E6" s="22" t="s">
        <v>1486</v>
      </c>
      <c r="F6" s="22" t="s">
        <v>1487</v>
      </c>
      <c r="G6" s="22" t="s">
        <v>1496</v>
      </c>
      <c r="H6" s="22" t="s">
        <v>130</v>
      </c>
    </row>
    <row r="7" customFormat="false" ht="23.85" hidden="false" customHeight="false" outlineLevel="0" collapsed="false">
      <c r="A7" s="22" t="n">
        <v>6</v>
      </c>
      <c r="B7" s="22" t="s">
        <v>1497</v>
      </c>
      <c r="C7" s="22" t="s">
        <v>1498</v>
      </c>
      <c r="D7" s="22" t="s">
        <v>1475</v>
      </c>
      <c r="E7" s="22" t="s">
        <v>1499</v>
      </c>
      <c r="F7" s="22" t="s">
        <v>1477</v>
      </c>
      <c r="G7" s="22" t="s">
        <v>1500</v>
      </c>
      <c r="H7" s="22" t="s">
        <v>820</v>
      </c>
    </row>
    <row r="8" customFormat="false" ht="23.85" hidden="false" customHeight="false" outlineLevel="0" collapsed="false">
      <c r="A8" s="22" t="n">
        <v>7</v>
      </c>
      <c r="B8" s="22" t="s">
        <v>1501</v>
      </c>
      <c r="C8" s="22" t="s">
        <v>1502</v>
      </c>
      <c r="D8" s="22" t="s">
        <v>1475</v>
      </c>
      <c r="E8" s="22" t="s">
        <v>1503</v>
      </c>
      <c r="F8" s="22" t="s">
        <v>1477</v>
      </c>
      <c r="G8" s="22" t="s">
        <v>1504</v>
      </c>
      <c r="H8" s="22" t="s">
        <v>794</v>
      </c>
    </row>
    <row r="9" customFormat="false" ht="23.85" hidden="false" customHeight="false" outlineLevel="0" collapsed="false">
      <c r="A9" s="22" t="n">
        <v>8</v>
      </c>
      <c r="B9" s="22" t="s">
        <v>1505</v>
      </c>
      <c r="C9" s="22" t="s">
        <v>1506</v>
      </c>
      <c r="D9" s="22" t="s">
        <v>1475</v>
      </c>
      <c r="E9" s="22" t="s">
        <v>1507</v>
      </c>
      <c r="F9" s="22" t="s">
        <v>1477</v>
      </c>
      <c r="G9" s="22" t="s">
        <v>1508</v>
      </c>
      <c r="H9" s="22" t="s">
        <v>280</v>
      </c>
    </row>
    <row r="10" customFormat="false" ht="23.85" hidden="false" customHeight="false" outlineLevel="0" collapsed="false">
      <c r="A10" s="22" t="n">
        <v>9</v>
      </c>
      <c r="B10" s="22" t="s">
        <v>1509</v>
      </c>
      <c r="C10" s="22" t="s">
        <v>1510</v>
      </c>
      <c r="D10" s="22" t="s">
        <v>1475</v>
      </c>
      <c r="E10" s="22" t="s">
        <v>1511</v>
      </c>
      <c r="F10" s="22" t="s">
        <v>1477</v>
      </c>
      <c r="G10" s="22" t="s">
        <v>1512</v>
      </c>
      <c r="H10" s="22" t="s">
        <v>994</v>
      </c>
    </row>
    <row r="11" customFormat="false" ht="23.85" hidden="false" customHeight="false" outlineLevel="0" collapsed="false">
      <c r="A11" s="22" t="n">
        <v>10</v>
      </c>
      <c r="B11" s="22" t="s">
        <v>1513</v>
      </c>
      <c r="C11" s="22" t="s">
        <v>1514</v>
      </c>
      <c r="D11" s="22" t="s">
        <v>1475</v>
      </c>
      <c r="E11" s="22" t="s">
        <v>1515</v>
      </c>
      <c r="F11" s="22" t="s">
        <v>1477</v>
      </c>
      <c r="G11" s="22" t="s">
        <v>1516</v>
      </c>
      <c r="H11" s="22" t="s">
        <v>943</v>
      </c>
    </row>
    <row r="12" customFormat="false" ht="23.85" hidden="false" customHeight="false" outlineLevel="0" collapsed="false">
      <c r="A12" s="22" t="n">
        <v>11</v>
      </c>
      <c r="B12" s="22" t="s">
        <v>1517</v>
      </c>
      <c r="C12" s="22" t="s">
        <v>1518</v>
      </c>
      <c r="D12" s="22" t="s">
        <v>1475</v>
      </c>
      <c r="E12" s="22" t="s">
        <v>1519</v>
      </c>
      <c r="F12" s="22" t="s">
        <v>1477</v>
      </c>
      <c r="G12" s="22" t="s">
        <v>1520</v>
      </c>
      <c r="H12" s="22" t="s">
        <v>489</v>
      </c>
    </row>
    <row r="13" customFormat="false" ht="23.85" hidden="false" customHeight="false" outlineLevel="0" collapsed="false">
      <c r="A13" s="22" t="n">
        <v>12</v>
      </c>
      <c r="B13" s="22" t="s">
        <v>1521</v>
      </c>
      <c r="C13" s="22" t="s">
        <v>1522</v>
      </c>
      <c r="D13" s="22" t="s">
        <v>1475</v>
      </c>
      <c r="E13" s="22" t="s">
        <v>1523</v>
      </c>
      <c r="F13" s="22" t="s">
        <v>1477</v>
      </c>
      <c r="G13" s="22" t="s">
        <v>1524</v>
      </c>
      <c r="H13" s="22" t="s">
        <v>533</v>
      </c>
    </row>
    <row r="14" customFormat="false" ht="35.05" hidden="false" customHeight="false" outlineLevel="0" collapsed="false">
      <c r="A14" s="22" t="n">
        <v>13</v>
      </c>
      <c r="B14" s="22" t="s">
        <v>1525</v>
      </c>
      <c r="C14" s="22" t="s">
        <v>1526</v>
      </c>
      <c r="D14" s="22" t="s">
        <v>1475</v>
      </c>
      <c r="E14" s="22" t="s">
        <v>1527</v>
      </c>
      <c r="F14" s="22" t="s">
        <v>1528</v>
      </c>
      <c r="G14" s="22" t="s">
        <v>1529</v>
      </c>
      <c r="H14" s="22" t="s">
        <v>775</v>
      </c>
    </row>
    <row r="15" customFormat="false" ht="23.85" hidden="false" customHeight="false" outlineLevel="0" collapsed="false">
      <c r="A15" s="22" t="n">
        <v>14</v>
      </c>
      <c r="B15" s="22" t="s">
        <v>1530</v>
      </c>
      <c r="C15" s="22" t="s">
        <v>1531</v>
      </c>
      <c r="D15" s="22" t="s">
        <v>1532</v>
      </c>
      <c r="E15" s="22" t="s">
        <v>1533</v>
      </c>
      <c r="F15" s="22" t="s">
        <v>1534</v>
      </c>
      <c r="G15" s="22" t="s">
        <v>1535</v>
      </c>
      <c r="H15" s="22" t="s">
        <v>567</v>
      </c>
    </row>
    <row r="16" customFormat="false" ht="23.85" hidden="false" customHeight="false" outlineLevel="0" collapsed="false">
      <c r="A16" s="22" t="n">
        <v>15</v>
      </c>
      <c r="B16" s="22" t="s">
        <v>1536</v>
      </c>
      <c r="C16" s="22" t="s">
        <v>1537</v>
      </c>
      <c r="D16" s="22" t="s">
        <v>1475</v>
      </c>
      <c r="E16" s="22" t="s">
        <v>1538</v>
      </c>
      <c r="F16" s="22" t="s">
        <v>1539</v>
      </c>
      <c r="G16" s="22" t="s">
        <v>1540</v>
      </c>
      <c r="H16" s="22" t="s">
        <v>1541</v>
      </c>
    </row>
    <row r="17" customFormat="false" ht="23.85" hidden="false" customHeight="false" outlineLevel="0" collapsed="false">
      <c r="A17" s="22" t="n">
        <v>16</v>
      </c>
      <c r="B17" s="22" t="s">
        <v>1542</v>
      </c>
      <c r="C17" s="22" t="s">
        <v>1543</v>
      </c>
      <c r="D17" s="22" t="s">
        <v>1475</v>
      </c>
      <c r="E17" s="22" t="s">
        <v>1544</v>
      </c>
      <c r="F17" s="22" t="s">
        <v>1539</v>
      </c>
      <c r="G17" s="22" t="s">
        <v>1545</v>
      </c>
      <c r="H17" s="22" t="s">
        <v>1541</v>
      </c>
    </row>
    <row r="18" customFormat="false" ht="23.85" hidden="false" customHeight="false" outlineLevel="0" collapsed="false">
      <c r="A18" s="22" t="n">
        <v>17</v>
      </c>
      <c r="B18" s="22" t="s">
        <v>1546</v>
      </c>
      <c r="C18" s="22" t="s">
        <v>1547</v>
      </c>
      <c r="D18" s="22" t="s">
        <v>1475</v>
      </c>
      <c r="E18" s="22" t="s">
        <v>1548</v>
      </c>
      <c r="F18" s="22" t="s">
        <v>1539</v>
      </c>
      <c r="G18" s="22" t="s">
        <v>1549</v>
      </c>
      <c r="H18" s="22" t="s">
        <v>1541</v>
      </c>
    </row>
    <row r="19" customFormat="false" ht="23.85" hidden="false" customHeight="false" outlineLevel="0" collapsed="false">
      <c r="A19" s="22" t="n">
        <v>18</v>
      </c>
      <c r="B19" s="22" t="s">
        <v>1550</v>
      </c>
      <c r="C19" s="22" t="s">
        <v>1551</v>
      </c>
      <c r="D19" s="22" t="s">
        <v>1475</v>
      </c>
      <c r="E19" s="22" t="s">
        <v>1552</v>
      </c>
      <c r="F19" s="22" t="s">
        <v>1539</v>
      </c>
      <c r="G19" s="22" t="s">
        <v>1553</v>
      </c>
      <c r="H19" s="22" t="s">
        <v>1541</v>
      </c>
    </row>
    <row r="20" customFormat="false" ht="23.85" hidden="false" customHeight="false" outlineLevel="0" collapsed="false">
      <c r="A20" s="22" t="n">
        <v>19</v>
      </c>
      <c r="B20" s="22" t="s">
        <v>1554</v>
      </c>
      <c r="C20" s="22" t="s">
        <v>1368</v>
      </c>
      <c r="D20" s="22" t="s">
        <v>1475</v>
      </c>
      <c r="E20" s="22" t="s">
        <v>1555</v>
      </c>
      <c r="F20" s="22" t="s">
        <v>1539</v>
      </c>
      <c r="G20" s="22" t="s">
        <v>1556</v>
      </c>
      <c r="H20" s="22" t="s">
        <v>1541</v>
      </c>
    </row>
    <row r="21" customFormat="false" ht="23.85" hidden="false" customHeight="false" outlineLevel="0" collapsed="false">
      <c r="A21" s="22" t="n">
        <v>20</v>
      </c>
      <c r="B21" s="22" t="s">
        <v>1557</v>
      </c>
      <c r="C21" s="22" t="s">
        <v>1558</v>
      </c>
      <c r="D21" s="22" t="s">
        <v>1475</v>
      </c>
      <c r="E21" s="22" t="s">
        <v>1559</v>
      </c>
      <c r="F21" s="22" t="s">
        <v>1539</v>
      </c>
      <c r="G21" s="22" t="s">
        <v>1560</v>
      </c>
      <c r="H21" s="22" t="s">
        <v>1541</v>
      </c>
    </row>
    <row r="22" customFormat="false" ht="23.85" hidden="false" customHeight="false" outlineLevel="0" collapsed="false">
      <c r="A22" s="22" t="n">
        <v>21</v>
      </c>
      <c r="B22" s="22" t="s">
        <v>1561</v>
      </c>
      <c r="C22" s="22" t="s">
        <v>1562</v>
      </c>
      <c r="D22" s="22" t="s">
        <v>1475</v>
      </c>
      <c r="E22" s="22" t="s">
        <v>1563</v>
      </c>
      <c r="F22" s="22" t="s">
        <v>1539</v>
      </c>
      <c r="G22" s="22" t="s">
        <v>1564</v>
      </c>
      <c r="H22" s="22" t="s">
        <v>1541</v>
      </c>
    </row>
    <row r="23" customFormat="false" ht="23.85" hidden="false" customHeight="false" outlineLevel="0" collapsed="false">
      <c r="A23" s="22" t="n">
        <v>22</v>
      </c>
      <c r="B23" s="22" t="s">
        <v>1565</v>
      </c>
      <c r="C23" s="22" t="s">
        <v>1304</v>
      </c>
      <c r="D23" s="22" t="s">
        <v>1475</v>
      </c>
      <c r="E23" s="22" t="s">
        <v>1566</v>
      </c>
      <c r="F23" s="22" t="s">
        <v>1539</v>
      </c>
      <c r="G23" s="22" t="s">
        <v>1564</v>
      </c>
      <c r="H23" s="22" t="s">
        <v>1541</v>
      </c>
    </row>
    <row r="24" customFormat="false" ht="23.85" hidden="false" customHeight="false" outlineLevel="0" collapsed="false">
      <c r="A24" s="22" t="n">
        <v>23</v>
      </c>
      <c r="B24" s="22" t="s">
        <v>1567</v>
      </c>
      <c r="C24" s="22" t="s">
        <v>1568</v>
      </c>
      <c r="D24" s="22" t="s">
        <v>1475</v>
      </c>
      <c r="E24" s="22" t="s">
        <v>1569</v>
      </c>
      <c r="F24" s="22" t="s">
        <v>1539</v>
      </c>
      <c r="G24" s="22" t="s">
        <v>1540</v>
      </c>
      <c r="H24" s="22" t="s">
        <v>1541</v>
      </c>
    </row>
    <row r="25" customFormat="false" ht="23.85" hidden="false" customHeight="false" outlineLevel="0" collapsed="false">
      <c r="A25" s="22" t="n">
        <v>24</v>
      </c>
      <c r="B25" s="22" t="s">
        <v>1570</v>
      </c>
      <c r="C25" s="22" t="s">
        <v>1571</v>
      </c>
      <c r="D25" s="22" t="s">
        <v>1475</v>
      </c>
      <c r="E25" s="22" t="s">
        <v>1572</v>
      </c>
      <c r="F25" s="22" t="s">
        <v>1539</v>
      </c>
      <c r="G25" s="22" t="s">
        <v>1573</v>
      </c>
      <c r="H25" s="22" t="s">
        <v>1541</v>
      </c>
    </row>
    <row r="26" customFormat="false" ht="23.85" hidden="false" customHeight="false" outlineLevel="0" collapsed="false">
      <c r="A26" s="22" t="n">
        <v>25</v>
      </c>
      <c r="B26" s="22" t="s">
        <v>1574</v>
      </c>
      <c r="C26" s="22" t="s">
        <v>1575</v>
      </c>
      <c r="D26" s="22" t="s">
        <v>1475</v>
      </c>
      <c r="E26" s="22" t="s">
        <v>1576</v>
      </c>
      <c r="F26" s="22" t="s">
        <v>1539</v>
      </c>
      <c r="G26" s="22" t="s">
        <v>1577</v>
      </c>
      <c r="H26" s="22" t="s">
        <v>1541</v>
      </c>
    </row>
    <row r="27" customFormat="false" ht="23.85" hidden="false" customHeight="false" outlineLevel="0" collapsed="false">
      <c r="A27" s="22" t="n">
        <v>26</v>
      </c>
      <c r="B27" s="22" t="s">
        <v>1578</v>
      </c>
      <c r="C27" s="22" t="s">
        <v>1579</v>
      </c>
      <c r="D27" s="22" t="s">
        <v>1475</v>
      </c>
      <c r="E27" s="22" t="s">
        <v>1580</v>
      </c>
      <c r="F27" s="22" t="s">
        <v>1539</v>
      </c>
      <c r="G27" s="22" t="s">
        <v>1581</v>
      </c>
      <c r="H27" s="22" t="s">
        <v>1541</v>
      </c>
    </row>
    <row r="28" customFormat="false" ht="23.85" hidden="false" customHeight="false" outlineLevel="0" collapsed="false">
      <c r="A28" s="22" t="n">
        <v>27</v>
      </c>
      <c r="B28" s="22" t="s">
        <v>1582</v>
      </c>
      <c r="C28" s="22" t="s">
        <v>1583</v>
      </c>
      <c r="D28" s="22" t="s">
        <v>1475</v>
      </c>
      <c r="E28" s="22" t="s">
        <v>1584</v>
      </c>
      <c r="F28" s="22" t="s">
        <v>1539</v>
      </c>
      <c r="G28" s="22" t="s">
        <v>1585</v>
      </c>
      <c r="H28" s="22" t="s">
        <v>1541</v>
      </c>
    </row>
    <row r="29" customFormat="false" ht="23.85" hidden="false" customHeight="false" outlineLevel="0" collapsed="false">
      <c r="A29" s="22" t="n">
        <v>28</v>
      </c>
      <c r="B29" s="22" t="s">
        <v>1586</v>
      </c>
      <c r="C29" s="22" t="s">
        <v>1587</v>
      </c>
      <c r="D29" s="22" t="s">
        <v>1475</v>
      </c>
      <c r="E29" s="22" t="s">
        <v>1588</v>
      </c>
      <c r="F29" s="22" t="s">
        <v>1589</v>
      </c>
      <c r="G29" s="22" t="s">
        <v>1590</v>
      </c>
      <c r="H29" s="22"/>
    </row>
    <row r="30" customFormat="false" ht="23.85" hidden="false" customHeight="false" outlineLevel="0" collapsed="false">
      <c r="A30" s="22" t="n">
        <v>29</v>
      </c>
      <c r="B30" s="22" t="s">
        <v>1591</v>
      </c>
      <c r="C30" s="22" t="s">
        <v>1592</v>
      </c>
      <c r="D30" s="22" t="s">
        <v>1475</v>
      </c>
      <c r="E30" s="22" t="s">
        <v>1593</v>
      </c>
      <c r="F30" s="22" t="s">
        <v>1589</v>
      </c>
      <c r="G30" s="22" t="s">
        <v>1594</v>
      </c>
      <c r="H30" s="22"/>
    </row>
    <row r="31" customFormat="false" ht="23.85" hidden="false" customHeight="false" outlineLevel="0" collapsed="false">
      <c r="A31" s="22" t="n">
        <v>30</v>
      </c>
      <c r="B31" s="22" t="s">
        <v>1595</v>
      </c>
      <c r="C31" s="22" t="s">
        <v>1596</v>
      </c>
      <c r="D31" s="22" t="s">
        <v>1475</v>
      </c>
      <c r="E31" s="22" t="s">
        <v>1597</v>
      </c>
      <c r="F31" s="22" t="s">
        <v>1589</v>
      </c>
      <c r="G31" s="22" t="s">
        <v>1598</v>
      </c>
      <c r="H31" s="22"/>
    </row>
    <row r="32" customFormat="false" ht="23.85" hidden="false" customHeight="false" outlineLevel="0" collapsed="false">
      <c r="A32" s="22" t="n">
        <v>31</v>
      </c>
      <c r="B32" s="22" t="s">
        <v>1599</v>
      </c>
      <c r="C32" s="22" t="s">
        <v>1600</v>
      </c>
      <c r="D32" s="22" t="s">
        <v>1475</v>
      </c>
      <c r="E32" s="22" t="s">
        <v>1601</v>
      </c>
      <c r="F32" s="22" t="s">
        <v>1589</v>
      </c>
      <c r="G32" s="22" t="s">
        <v>1602</v>
      </c>
      <c r="H32" s="22"/>
    </row>
    <row r="33" customFormat="false" ht="23.85" hidden="false" customHeight="false" outlineLevel="0" collapsed="false">
      <c r="A33" s="22" t="n">
        <v>32</v>
      </c>
      <c r="B33" s="22" t="s">
        <v>1603</v>
      </c>
      <c r="C33" s="22" t="s">
        <v>1604</v>
      </c>
      <c r="D33" s="22" t="s">
        <v>1475</v>
      </c>
      <c r="E33" s="22" t="s">
        <v>1605</v>
      </c>
      <c r="F33" s="22" t="s">
        <v>1589</v>
      </c>
      <c r="G33" s="22" t="s">
        <v>1606</v>
      </c>
      <c r="H33" s="22"/>
    </row>
    <row r="34" customFormat="false" ht="23.85" hidden="false" customHeight="false" outlineLevel="0" collapsed="false">
      <c r="A34" s="22" t="n">
        <v>33</v>
      </c>
      <c r="B34" s="22" t="s">
        <v>1607</v>
      </c>
      <c r="C34" s="22" t="s">
        <v>1608</v>
      </c>
      <c r="D34" s="22" t="s">
        <v>1475</v>
      </c>
      <c r="E34" s="22" t="s">
        <v>1609</v>
      </c>
      <c r="F34" s="22" t="s">
        <v>1589</v>
      </c>
      <c r="G34" s="22" t="s">
        <v>1610</v>
      </c>
      <c r="H34" s="22"/>
    </row>
    <row r="35" customFormat="false" ht="23.85" hidden="false" customHeight="false" outlineLevel="0" collapsed="false">
      <c r="A35" s="22" t="n">
        <v>34</v>
      </c>
      <c r="B35" s="22" t="s">
        <v>1611</v>
      </c>
      <c r="C35" s="22" t="s">
        <v>1612</v>
      </c>
      <c r="D35" s="22" t="s">
        <v>1475</v>
      </c>
      <c r="E35" s="22" t="s">
        <v>1613</v>
      </c>
      <c r="F35" s="22" t="s">
        <v>1589</v>
      </c>
      <c r="G35" s="22" t="s">
        <v>1614</v>
      </c>
      <c r="H35" s="22"/>
    </row>
    <row r="36" customFormat="false" ht="23.85" hidden="false" customHeight="false" outlineLevel="0" collapsed="false">
      <c r="A36" s="22" t="n">
        <v>35</v>
      </c>
      <c r="B36" s="22" t="s">
        <v>1615</v>
      </c>
      <c r="C36" s="22" t="s">
        <v>1616</v>
      </c>
      <c r="D36" s="22" t="s">
        <v>1475</v>
      </c>
      <c r="E36" s="22" t="s">
        <v>1617</v>
      </c>
      <c r="F36" s="22" t="s">
        <v>1589</v>
      </c>
      <c r="G36" s="22" t="s">
        <v>1618</v>
      </c>
      <c r="H36" s="22"/>
    </row>
    <row r="37" customFormat="false" ht="23.85" hidden="false" customHeight="false" outlineLevel="0" collapsed="false">
      <c r="A37" s="22" t="n">
        <v>36</v>
      </c>
      <c r="B37" s="22" t="s">
        <v>1619</v>
      </c>
      <c r="C37" s="22" t="s">
        <v>1620</v>
      </c>
      <c r="D37" s="22" t="s">
        <v>1475</v>
      </c>
      <c r="E37" s="22" t="s">
        <v>1621</v>
      </c>
      <c r="F37" s="22" t="s">
        <v>1589</v>
      </c>
      <c r="G37" s="22" t="s">
        <v>1622</v>
      </c>
      <c r="H37" s="22"/>
    </row>
    <row r="38" customFormat="false" ht="23.85" hidden="false" customHeight="false" outlineLevel="0" collapsed="false">
      <c r="A38" s="22" t="n">
        <v>37</v>
      </c>
      <c r="B38" s="22" t="s">
        <v>1623</v>
      </c>
      <c r="C38" s="22" t="s">
        <v>1624</v>
      </c>
      <c r="D38" s="22" t="s">
        <v>1475</v>
      </c>
      <c r="E38" s="22" t="s">
        <v>1625</v>
      </c>
      <c r="F38" s="22" t="s">
        <v>1589</v>
      </c>
      <c r="G38" s="22" t="s">
        <v>1626</v>
      </c>
      <c r="H38" s="22"/>
    </row>
    <row r="39" customFormat="false" ht="23.85" hidden="false" customHeight="false" outlineLevel="0" collapsed="false">
      <c r="A39" s="22" t="n">
        <v>38</v>
      </c>
      <c r="B39" s="22" t="s">
        <v>1627</v>
      </c>
      <c r="C39" s="22" t="s">
        <v>1628</v>
      </c>
      <c r="D39" s="22" t="s">
        <v>1475</v>
      </c>
      <c r="E39" s="22" t="s">
        <v>1629</v>
      </c>
      <c r="F39" s="22" t="s">
        <v>1589</v>
      </c>
      <c r="G39" s="22" t="s">
        <v>1626</v>
      </c>
      <c r="H39" s="22"/>
    </row>
    <row r="40" customFormat="false" ht="23.85" hidden="false" customHeight="false" outlineLevel="0" collapsed="false">
      <c r="A40" s="22" t="n">
        <v>39</v>
      </c>
      <c r="B40" s="22" t="s">
        <v>1630</v>
      </c>
      <c r="C40" s="22" t="s">
        <v>1631</v>
      </c>
      <c r="D40" s="22" t="s">
        <v>1475</v>
      </c>
      <c r="E40" s="22" t="s">
        <v>1632</v>
      </c>
      <c r="F40" s="22" t="s">
        <v>1589</v>
      </c>
      <c r="G40" s="22" t="s">
        <v>1626</v>
      </c>
      <c r="H40" s="22"/>
    </row>
    <row r="41" customFormat="false" ht="23.85" hidden="false" customHeight="false" outlineLevel="0" collapsed="false">
      <c r="A41" s="22" t="n">
        <v>40</v>
      </c>
      <c r="B41" s="22" t="s">
        <v>1633</v>
      </c>
      <c r="C41" s="22" t="s">
        <v>1634</v>
      </c>
      <c r="D41" s="22" t="s">
        <v>1475</v>
      </c>
      <c r="E41" s="22" t="s">
        <v>1635</v>
      </c>
      <c r="F41" s="22" t="s">
        <v>1589</v>
      </c>
      <c r="G41" s="22" t="s">
        <v>1626</v>
      </c>
      <c r="H41" s="22"/>
    </row>
    <row r="42" customFormat="false" ht="23.85" hidden="false" customHeight="false" outlineLevel="0" collapsed="false">
      <c r="A42" s="22" t="n">
        <v>41</v>
      </c>
      <c r="B42" s="22" t="s">
        <v>1636</v>
      </c>
      <c r="C42" s="22" t="s">
        <v>1637</v>
      </c>
      <c r="D42" s="22" t="s">
        <v>1638</v>
      </c>
      <c r="E42" s="22" t="s">
        <v>1639</v>
      </c>
      <c r="F42" s="22" t="s">
        <v>1589</v>
      </c>
      <c r="G42" s="22" t="s">
        <v>1640</v>
      </c>
      <c r="H42" s="22"/>
    </row>
    <row r="43" customFormat="false" ht="23.85" hidden="false" customHeight="false" outlineLevel="0" collapsed="false">
      <c r="A43" s="22" t="n">
        <v>42</v>
      </c>
      <c r="B43" s="22" t="s">
        <v>1641</v>
      </c>
      <c r="C43" s="22" t="s">
        <v>1642</v>
      </c>
      <c r="D43" s="22" t="s">
        <v>1475</v>
      </c>
      <c r="E43" s="22" t="s">
        <v>1643</v>
      </c>
      <c r="F43" s="22" t="s">
        <v>1589</v>
      </c>
      <c r="G43" s="22" t="s">
        <v>1644</v>
      </c>
      <c r="H43" s="22"/>
    </row>
    <row r="44" customFormat="false" ht="35.05" hidden="false" customHeight="false" outlineLevel="0" collapsed="false">
      <c r="A44" s="22" t="n">
        <v>43</v>
      </c>
      <c r="B44" s="22" t="s">
        <v>1645</v>
      </c>
      <c r="C44" s="22" t="s">
        <v>1646</v>
      </c>
      <c r="D44" s="22" t="s">
        <v>1647</v>
      </c>
      <c r="E44" s="22" t="s">
        <v>1648</v>
      </c>
      <c r="F44" s="22" t="s">
        <v>1649</v>
      </c>
      <c r="G44" s="22" t="s">
        <v>1650</v>
      </c>
      <c r="H44" s="22"/>
    </row>
    <row r="45" customFormat="false" ht="15" hidden="false" customHeight="false" outlineLevel="0" collapsed="false">
      <c r="A45" s="22" t="n">
        <v>44</v>
      </c>
      <c r="B45" s="22" t="s">
        <v>1651</v>
      </c>
      <c r="C45" s="22" t="s">
        <v>1652</v>
      </c>
      <c r="D45" s="22" t="s">
        <v>1653</v>
      </c>
      <c r="E45" s="22" t="s">
        <v>1486</v>
      </c>
      <c r="F45" s="22" t="s">
        <v>1487</v>
      </c>
      <c r="G45" s="22" t="s">
        <v>1654</v>
      </c>
      <c r="H45" s="22"/>
    </row>
    <row r="46" customFormat="false" ht="35.05" hidden="false" customHeight="false" outlineLevel="0" collapsed="false">
      <c r="A46" s="22" t="n">
        <v>45</v>
      </c>
      <c r="B46" s="22" t="s">
        <v>1655</v>
      </c>
      <c r="C46" s="22" t="s">
        <v>1656</v>
      </c>
      <c r="D46" s="22" t="s">
        <v>1657</v>
      </c>
      <c r="E46" s="22" t="s">
        <v>1658</v>
      </c>
      <c r="F46" s="22" t="s">
        <v>1649</v>
      </c>
      <c r="G46" s="22" t="s">
        <v>1659</v>
      </c>
      <c r="H46" s="22"/>
    </row>
    <row r="47" customFormat="false" ht="35.05" hidden="false" customHeight="false" outlineLevel="0" collapsed="false">
      <c r="A47" s="22" t="n">
        <v>46</v>
      </c>
      <c r="B47" s="22" t="s">
        <v>1660</v>
      </c>
      <c r="C47" s="22" t="s">
        <v>1661</v>
      </c>
      <c r="D47" s="22" t="s">
        <v>1657</v>
      </c>
      <c r="E47" s="22" t="s">
        <v>1662</v>
      </c>
      <c r="F47" s="22" t="s">
        <v>1649</v>
      </c>
      <c r="G47" s="22" t="s">
        <v>1663</v>
      </c>
      <c r="H47" s="22"/>
    </row>
    <row r="48" customFormat="false" ht="23.85" hidden="false" customHeight="false" outlineLevel="0" collapsed="false">
      <c r="A48" s="22" t="n">
        <v>47</v>
      </c>
      <c r="B48" s="22" t="s">
        <v>1664</v>
      </c>
      <c r="C48" s="22" t="s">
        <v>1665</v>
      </c>
      <c r="D48" s="22" t="s">
        <v>1657</v>
      </c>
      <c r="E48" s="22" t="s">
        <v>1666</v>
      </c>
      <c r="F48" s="22" t="s">
        <v>1649</v>
      </c>
      <c r="G48" s="22" t="s">
        <v>1663</v>
      </c>
      <c r="H48" s="22"/>
    </row>
    <row r="49" customFormat="false" ht="35.05" hidden="false" customHeight="false" outlineLevel="0" collapsed="false">
      <c r="A49" s="22" t="n">
        <v>48</v>
      </c>
      <c r="B49" s="22" t="s">
        <v>1667</v>
      </c>
      <c r="C49" s="22" t="s">
        <v>1668</v>
      </c>
      <c r="D49" s="22" t="s">
        <v>1669</v>
      </c>
      <c r="E49" s="22" t="s">
        <v>1670</v>
      </c>
      <c r="F49" s="22" t="s">
        <v>1589</v>
      </c>
      <c r="G49" s="22" t="s">
        <v>1671</v>
      </c>
      <c r="H49" s="22"/>
    </row>
    <row r="50" customFormat="false" ht="35.05" hidden="false" customHeight="false" outlineLevel="0" collapsed="false">
      <c r="A50" s="22" t="n">
        <v>49</v>
      </c>
      <c r="B50" s="22" t="s">
        <v>1672</v>
      </c>
      <c r="C50" s="22" t="s">
        <v>1673</v>
      </c>
      <c r="D50" s="22" t="s">
        <v>1657</v>
      </c>
      <c r="E50" s="22" t="s">
        <v>1486</v>
      </c>
      <c r="F50" s="22" t="s">
        <v>1589</v>
      </c>
      <c r="G50" s="22" t="s">
        <v>1674</v>
      </c>
      <c r="H50" s="22"/>
    </row>
    <row r="51" customFormat="false" ht="23.85" hidden="false" customHeight="false" outlineLevel="0" collapsed="false">
      <c r="A51" s="22" t="n">
        <v>50</v>
      </c>
      <c r="B51" s="22" t="s">
        <v>178</v>
      </c>
      <c r="C51" s="22" t="s">
        <v>1675</v>
      </c>
      <c r="D51" s="22" t="s">
        <v>1676</v>
      </c>
      <c r="E51" s="22" t="s">
        <v>1486</v>
      </c>
      <c r="F51" s="22" t="s">
        <v>1677</v>
      </c>
      <c r="G51" s="22" t="s">
        <v>1678</v>
      </c>
      <c r="H51" s="22"/>
    </row>
    <row r="52" customFormat="false" ht="23.85" hidden="false" customHeight="false" outlineLevel="0" collapsed="false">
      <c r="A52" s="22" t="n">
        <v>51</v>
      </c>
      <c r="B52" s="22" t="s">
        <v>227</v>
      </c>
      <c r="C52" s="22" t="s">
        <v>1679</v>
      </c>
      <c r="D52" s="22" t="s">
        <v>1676</v>
      </c>
      <c r="E52" s="22" t="s">
        <v>1486</v>
      </c>
      <c r="F52" s="22" t="s">
        <v>1677</v>
      </c>
      <c r="G52" s="22" t="s">
        <v>1680</v>
      </c>
      <c r="H52" s="22"/>
    </row>
    <row r="53" customFormat="false" ht="15" hidden="false" customHeight="false" outlineLevel="0" collapsed="false">
      <c r="A53" s="22" t="n">
        <v>52</v>
      </c>
      <c r="B53" s="22" t="s">
        <v>167</v>
      </c>
      <c r="C53" s="22" t="s">
        <v>1681</v>
      </c>
      <c r="D53" s="22" t="s">
        <v>1676</v>
      </c>
      <c r="E53" s="22" t="s">
        <v>1486</v>
      </c>
      <c r="F53" s="22" t="s">
        <v>1677</v>
      </c>
      <c r="G53" s="22" t="s">
        <v>1682</v>
      </c>
      <c r="H53" s="22"/>
    </row>
    <row r="54" customFormat="false" ht="15" hidden="false" customHeight="false" outlineLevel="0" collapsed="false">
      <c r="A54" s="22" t="n">
        <v>53</v>
      </c>
      <c r="B54" s="22" t="s">
        <v>441</v>
      </c>
      <c r="C54" s="22" t="s">
        <v>1683</v>
      </c>
      <c r="D54" s="22" t="s">
        <v>1676</v>
      </c>
      <c r="E54" s="22" t="s">
        <v>1486</v>
      </c>
      <c r="F54" s="22" t="s">
        <v>1677</v>
      </c>
      <c r="G54" s="22" t="s">
        <v>1684</v>
      </c>
      <c r="H54" s="22"/>
    </row>
    <row r="55" customFormat="false" ht="23.85" hidden="false" customHeight="false" outlineLevel="0" collapsed="false">
      <c r="A55" s="22" t="n">
        <v>54</v>
      </c>
      <c r="B55" s="22" t="s">
        <v>210</v>
      </c>
      <c r="C55" s="22" t="s">
        <v>1685</v>
      </c>
      <c r="D55" s="22" t="s">
        <v>1676</v>
      </c>
      <c r="E55" s="22" t="s">
        <v>1486</v>
      </c>
      <c r="F55" s="22" t="s">
        <v>1677</v>
      </c>
      <c r="G55" s="22" t="s">
        <v>1686</v>
      </c>
      <c r="H55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70"/>
    <col collapsed="false" customWidth="true" hidden="false" outlineLevel="0" max="5" min="5" style="0" width="55"/>
  </cols>
  <sheetData>
    <row r="1" customFormat="false" ht="42" hidden="false" customHeight="true" outlineLevel="0" collapsed="false">
      <c r="A1" s="21" t="s">
        <v>1466</v>
      </c>
      <c r="B1" s="21" t="s">
        <v>1687</v>
      </c>
      <c r="C1" s="21" t="s">
        <v>1688</v>
      </c>
      <c r="D1" s="21" t="s">
        <v>1689</v>
      </c>
      <c r="E1" s="21" t="s">
        <v>1690</v>
      </c>
    </row>
    <row r="2" customFormat="false" ht="15" hidden="false" customHeight="false" outlineLevel="0" collapsed="false">
      <c r="A2" s="22" t="n">
        <v>1</v>
      </c>
      <c r="B2" s="22" t="s">
        <v>264</v>
      </c>
      <c r="C2" s="22" t="s">
        <v>1691</v>
      </c>
      <c r="D2" s="22" t="s">
        <v>1692</v>
      </c>
      <c r="E2" s="22" t="s">
        <v>1693</v>
      </c>
    </row>
    <row r="3" customFormat="false" ht="23.85" hidden="false" customHeight="false" outlineLevel="0" collapsed="false">
      <c r="A3" s="22" t="n">
        <v>2</v>
      </c>
      <c r="B3" s="22" t="s">
        <v>962</v>
      </c>
      <c r="C3" s="22" t="s">
        <v>1694</v>
      </c>
      <c r="D3" s="22" t="s">
        <v>1695</v>
      </c>
      <c r="E3" s="22" t="s">
        <v>1696</v>
      </c>
    </row>
    <row r="4" customFormat="false" ht="23.85" hidden="false" customHeight="false" outlineLevel="0" collapsed="false">
      <c r="A4" s="22" t="n">
        <v>3</v>
      </c>
      <c r="B4" s="22" t="s">
        <v>359</v>
      </c>
      <c r="C4" s="22" t="s">
        <v>1694</v>
      </c>
      <c r="D4" s="22" t="s">
        <v>1697</v>
      </c>
      <c r="E4" s="22" t="s">
        <v>1698</v>
      </c>
    </row>
    <row r="5" customFormat="false" ht="23.85" hidden="false" customHeight="false" outlineLevel="0" collapsed="false">
      <c r="A5" s="22" t="n">
        <v>4</v>
      </c>
      <c r="B5" s="22" t="s">
        <v>513</v>
      </c>
      <c r="C5" s="22" t="s">
        <v>1694</v>
      </c>
      <c r="D5" s="22" t="s">
        <v>1699</v>
      </c>
      <c r="E5" s="22" t="s">
        <v>1700</v>
      </c>
    </row>
    <row r="6" customFormat="false" ht="23.85" hidden="false" customHeight="false" outlineLevel="0" collapsed="false">
      <c r="A6" s="22" t="n">
        <v>5</v>
      </c>
      <c r="B6" s="22" t="s">
        <v>205</v>
      </c>
      <c r="C6" s="22" t="s">
        <v>1694</v>
      </c>
      <c r="D6" s="22" t="s">
        <v>1701</v>
      </c>
      <c r="E6" s="22" t="s">
        <v>1702</v>
      </c>
    </row>
    <row r="7" customFormat="false" ht="15" hidden="false" customHeight="false" outlineLevel="0" collapsed="false">
      <c r="A7" s="22" t="n">
        <v>6</v>
      </c>
      <c r="B7" s="22" t="s">
        <v>205</v>
      </c>
      <c r="C7" s="22" t="s">
        <v>1691</v>
      </c>
      <c r="D7" s="22" t="s">
        <v>1692</v>
      </c>
      <c r="E7" s="22" t="s">
        <v>1693</v>
      </c>
    </row>
    <row r="8" customFormat="false" ht="23.85" hidden="false" customHeight="false" outlineLevel="0" collapsed="false">
      <c r="A8" s="22" t="n">
        <v>7</v>
      </c>
      <c r="B8" s="22" t="s">
        <v>205</v>
      </c>
      <c r="C8" s="22" t="s">
        <v>1694</v>
      </c>
      <c r="D8" s="22" t="s">
        <v>1703</v>
      </c>
      <c r="E8" s="22" t="s">
        <v>1702</v>
      </c>
    </row>
    <row r="9" customFormat="false" ht="15" hidden="false" customHeight="false" outlineLevel="0" collapsed="false">
      <c r="A9" s="22" t="n">
        <v>8</v>
      </c>
      <c r="B9" s="22" t="s">
        <v>205</v>
      </c>
      <c r="C9" s="22" t="s">
        <v>1691</v>
      </c>
      <c r="D9" s="22" t="s">
        <v>1692</v>
      </c>
      <c r="E9" s="22" t="s">
        <v>1693</v>
      </c>
    </row>
    <row r="10" customFormat="false" ht="23.85" hidden="false" customHeight="false" outlineLevel="0" collapsed="false">
      <c r="A10" s="22" t="n">
        <v>9</v>
      </c>
      <c r="B10" s="22" t="s">
        <v>344</v>
      </c>
      <c r="C10" s="22" t="s">
        <v>1694</v>
      </c>
      <c r="D10" s="22" t="s">
        <v>1704</v>
      </c>
      <c r="E10" s="22" t="s">
        <v>1705</v>
      </c>
    </row>
    <row r="11" customFormat="false" ht="23.85" hidden="false" customHeight="false" outlineLevel="0" collapsed="false">
      <c r="A11" s="22" t="n">
        <v>10</v>
      </c>
      <c r="B11" s="22" t="s">
        <v>913</v>
      </c>
      <c r="C11" s="22" t="s">
        <v>1694</v>
      </c>
      <c r="D11" s="22" t="s">
        <v>1706</v>
      </c>
      <c r="E11" s="22" t="s">
        <v>1707</v>
      </c>
    </row>
    <row r="12" customFormat="false" ht="23.85" hidden="false" customHeight="false" outlineLevel="0" collapsed="false">
      <c r="A12" s="22" t="n">
        <v>11</v>
      </c>
      <c r="B12" s="22" t="s">
        <v>1037</v>
      </c>
      <c r="C12" s="22" t="s">
        <v>1694</v>
      </c>
      <c r="D12" s="22" t="s">
        <v>1708</v>
      </c>
      <c r="E12" s="22" t="s">
        <v>1709</v>
      </c>
    </row>
    <row r="13" customFormat="false" ht="23.85" hidden="false" customHeight="false" outlineLevel="0" collapsed="false">
      <c r="A13" s="22" t="n">
        <v>12</v>
      </c>
      <c r="B13" s="22" t="s">
        <v>172</v>
      </c>
      <c r="C13" s="22" t="s">
        <v>1694</v>
      </c>
      <c r="D13" s="22" t="s">
        <v>1710</v>
      </c>
      <c r="E13" s="22" t="s">
        <v>1711</v>
      </c>
    </row>
    <row r="14" customFormat="false" ht="23.85" hidden="false" customHeight="false" outlineLevel="0" collapsed="false">
      <c r="A14" s="22" t="n">
        <v>13</v>
      </c>
      <c r="B14" s="22" t="s">
        <v>252</v>
      </c>
      <c r="C14" s="22" t="s">
        <v>1694</v>
      </c>
      <c r="D14" s="22" t="s">
        <v>1712</v>
      </c>
      <c r="E14" s="22" t="s">
        <v>1713</v>
      </c>
    </row>
    <row r="15" customFormat="false" ht="23.85" hidden="false" customHeight="false" outlineLevel="0" collapsed="false">
      <c r="A15" s="22" t="n">
        <v>14</v>
      </c>
      <c r="B15" s="22" t="s">
        <v>475</v>
      </c>
      <c r="C15" s="22" t="s">
        <v>1694</v>
      </c>
      <c r="D15" s="22" t="s">
        <v>1714</v>
      </c>
      <c r="E15" s="22" t="s">
        <v>1715</v>
      </c>
    </row>
    <row r="16" customFormat="false" ht="15" hidden="false" customHeight="false" outlineLevel="0" collapsed="false">
      <c r="A16" s="22" t="n">
        <v>15</v>
      </c>
      <c r="B16" s="22" t="s">
        <v>475</v>
      </c>
      <c r="C16" s="22" t="s">
        <v>1691</v>
      </c>
      <c r="D16" s="22" t="s">
        <v>1692</v>
      </c>
      <c r="E16" s="22" t="s">
        <v>1693</v>
      </c>
    </row>
    <row r="17" customFormat="false" ht="23.85" hidden="false" customHeight="false" outlineLevel="0" collapsed="false">
      <c r="A17" s="22" t="n">
        <v>16</v>
      </c>
      <c r="B17" s="22" t="s">
        <v>1079</v>
      </c>
      <c r="C17" s="22" t="s">
        <v>1694</v>
      </c>
      <c r="D17" s="22" t="s">
        <v>1716</v>
      </c>
      <c r="E17" s="22" t="s">
        <v>1717</v>
      </c>
    </row>
    <row r="18" customFormat="false" ht="23.85" hidden="false" customHeight="false" outlineLevel="0" collapsed="false">
      <c r="A18" s="22" t="n">
        <v>17</v>
      </c>
      <c r="B18" s="22" t="s">
        <v>448</v>
      </c>
      <c r="C18" s="22" t="s">
        <v>1694</v>
      </c>
      <c r="D18" s="22" t="s">
        <v>1718</v>
      </c>
      <c r="E18" s="22" t="s">
        <v>1719</v>
      </c>
    </row>
    <row r="19" customFormat="false" ht="23.85" hidden="false" customHeight="false" outlineLevel="0" collapsed="false">
      <c r="A19" s="22" t="n">
        <v>18</v>
      </c>
      <c r="B19" s="22" t="s">
        <v>694</v>
      </c>
      <c r="C19" s="22" t="s">
        <v>1694</v>
      </c>
      <c r="D19" s="22" t="s">
        <v>1720</v>
      </c>
      <c r="E19" s="22" t="s">
        <v>1721</v>
      </c>
    </row>
    <row r="20" customFormat="false" ht="23.85" hidden="false" customHeight="false" outlineLevel="0" collapsed="false">
      <c r="A20" s="22" t="n">
        <v>19</v>
      </c>
      <c r="B20" s="22" t="s">
        <v>576</v>
      </c>
      <c r="C20" s="22" t="s">
        <v>1694</v>
      </c>
      <c r="D20" s="22" t="s">
        <v>1722</v>
      </c>
      <c r="E20" s="22" t="s">
        <v>1723</v>
      </c>
    </row>
    <row r="21" customFormat="false" ht="23.85" hidden="false" customHeight="false" outlineLevel="0" collapsed="false">
      <c r="A21" s="22" t="n">
        <v>20</v>
      </c>
      <c r="B21" s="22" t="s">
        <v>957</v>
      </c>
      <c r="C21" s="22" t="s">
        <v>1694</v>
      </c>
      <c r="D21" s="22" t="s">
        <v>1724</v>
      </c>
      <c r="E21" s="22" t="s">
        <v>1725</v>
      </c>
    </row>
    <row r="22" customFormat="false" ht="23.85" hidden="false" customHeight="false" outlineLevel="0" collapsed="false">
      <c r="A22" s="22" t="n">
        <v>21</v>
      </c>
      <c r="B22" s="22" t="s">
        <v>1726</v>
      </c>
      <c r="C22" s="22" t="s">
        <v>1727</v>
      </c>
      <c r="D22" s="22" t="s">
        <v>1728</v>
      </c>
      <c r="E22" s="22" t="s">
        <v>1729</v>
      </c>
    </row>
    <row r="23" customFormat="false" ht="23.85" hidden="false" customHeight="false" outlineLevel="0" collapsed="false">
      <c r="A23" s="22" t="n">
        <v>22</v>
      </c>
      <c r="B23" s="22" t="s">
        <v>1730</v>
      </c>
      <c r="C23" s="22" t="s">
        <v>1731</v>
      </c>
      <c r="D23" s="22" t="s">
        <v>1732</v>
      </c>
      <c r="E23" s="22" t="s">
        <v>1733</v>
      </c>
    </row>
    <row r="24" customFormat="false" ht="23.85" hidden="false" customHeight="false" outlineLevel="0" collapsed="false">
      <c r="A24" s="22" t="n">
        <v>23</v>
      </c>
      <c r="B24" s="22" t="s">
        <v>1730</v>
      </c>
      <c r="C24" s="22" t="s">
        <v>1731</v>
      </c>
      <c r="D24" s="22" t="s">
        <v>1734</v>
      </c>
      <c r="E24" s="22" t="s">
        <v>1733</v>
      </c>
    </row>
    <row r="25" customFormat="false" ht="23.85" hidden="false" customHeight="false" outlineLevel="0" collapsed="false">
      <c r="A25" s="22" t="n">
        <v>24</v>
      </c>
      <c r="B25" s="22" t="s">
        <v>1730</v>
      </c>
      <c r="C25" s="22" t="s">
        <v>1731</v>
      </c>
      <c r="D25" s="22" t="s">
        <v>1735</v>
      </c>
      <c r="E25" s="22" t="s">
        <v>1733</v>
      </c>
    </row>
    <row r="26" customFormat="false" ht="23.85" hidden="false" customHeight="false" outlineLevel="0" collapsed="false">
      <c r="A26" s="22" t="n">
        <v>25</v>
      </c>
      <c r="B26" s="22" t="s">
        <v>1736</v>
      </c>
      <c r="C26" s="22" t="s">
        <v>1737</v>
      </c>
      <c r="D26" s="22" t="s">
        <v>1738</v>
      </c>
      <c r="E26" s="22" t="s">
        <v>1739</v>
      </c>
    </row>
    <row r="27" customFormat="false" ht="23.85" hidden="false" customHeight="false" outlineLevel="0" collapsed="false">
      <c r="A27" s="22" t="n">
        <v>26</v>
      </c>
      <c r="B27" s="22" t="s">
        <v>401</v>
      </c>
      <c r="C27" s="22" t="s">
        <v>1740</v>
      </c>
      <c r="D27" s="22" t="s">
        <v>1741</v>
      </c>
      <c r="E27" s="22" t="s">
        <v>1742</v>
      </c>
    </row>
    <row r="28" customFormat="false" ht="23.85" hidden="false" customHeight="false" outlineLevel="0" collapsed="false">
      <c r="A28" s="22" t="n">
        <v>27</v>
      </c>
      <c r="B28" s="22" t="s">
        <v>70</v>
      </c>
      <c r="C28" s="22" t="s">
        <v>1743</v>
      </c>
      <c r="D28" s="22" t="s">
        <v>1744</v>
      </c>
      <c r="E28" s="22" t="s">
        <v>1745</v>
      </c>
    </row>
    <row r="29" customFormat="false" ht="23.85" hidden="false" customHeight="false" outlineLevel="0" collapsed="false">
      <c r="A29" s="22" t="n">
        <v>28</v>
      </c>
      <c r="B29" s="22" t="s">
        <v>130</v>
      </c>
      <c r="C29" s="22" t="s">
        <v>1746</v>
      </c>
      <c r="D29" s="22" t="s">
        <v>1747</v>
      </c>
      <c r="E29" s="22" t="s">
        <v>1748</v>
      </c>
    </row>
    <row r="30" customFormat="false" ht="23.85" hidden="false" customHeight="false" outlineLevel="0" collapsed="false">
      <c r="A30" s="22" t="n">
        <v>29</v>
      </c>
      <c r="B30" s="22" t="s">
        <v>775</v>
      </c>
      <c r="C30" s="22" t="s">
        <v>1749</v>
      </c>
      <c r="D30" s="22" t="s">
        <v>1750</v>
      </c>
      <c r="E30" s="22" t="s">
        <v>1751</v>
      </c>
    </row>
    <row r="31" customFormat="false" ht="15" hidden="false" customHeight="false" outlineLevel="0" collapsed="false">
      <c r="A31" s="22" t="n">
        <v>30</v>
      </c>
      <c r="B31" s="22" t="s">
        <v>533</v>
      </c>
      <c r="C31" s="22" t="s">
        <v>1752</v>
      </c>
      <c r="D31" s="22" t="s">
        <v>1753</v>
      </c>
      <c r="E31" s="22" t="s">
        <v>1754</v>
      </c>
    </row>
    <row r="32" customFormat="false" ht="15" hidden="false" customHeight="false" outlineLevel="0" collapsed="false">
      <c r="A32" s="22" t="n">
        <v>31</v>
      </c>
      <c r="B32" s="22" t="s">
        <v>489</v>
      </c>
      <c r="C32" s="22" t="s">
        <v>1755</v>
      </c>
      <c r="D32" s="22" t="s">
        <v>1756</v>
      </c>
      <c r="E32" s="22" t="s">
        <v>1757</v>
      </c>
    </row>
    <row r="33" customFormat="false" ht="23.85" hidden="false" customHeight="false" outlineLevel="0" collapsed="false">
      <c r="A33" s="22" t="n">
        <v>32</v>
      </c>
      <c r="B33" s="22" t="s">
        <v>280</v>
      </c>
      <c r="C33" s="22" t="s">
        <v>1758</v>
      </c>
      <c r="D33" s="22" t="s">
        <v>1759</v>
      </c>
      <c r="E33" s="22" t="s">
        <v>1760</v>
      </c>
    </row>
    <row r="34" customFormat="false" ht="15" hidden="false" customHeight="false" outlineLevel="0" collapsed="false">
      <c r="A34" s="22" t="n">
        <v>33</v>
      </c>
      <c r="B34" s="22" t="s">
        <v>1283</v>
      </c>
      <c r="C34" s="22" t="s">
        <v>1761</v>
      </c>
      <c r="D34" s="22" t="s">
        <v>1762</v>
      </c>
      <c r="E34" s="22" t="s">
        <v>1763</v>
      </c>
    </row>
    <row r="35" customFormat="false" ht="15" hidden="false" customHeight="false" outlineLevel="0" collapsed="false">
      <c r="A35" s="22" t="n">
        <v>34</v>
      </c>
      <c r="B35" s="22" t="s">
        <v>1419</v>
      </c>
      <c r="C35" s="22" t="s">
        <v>1761</v>
      </c>
      <c r="D35" s="22" t="s">
        <v>1764</v>
      </c>
      <c r="E35" s="22" t="s">
        <v>1765</v>
      </c>
    </row>
    <row r="36" customFormat="false" ht="15" hidden="false" customHeight="false" outlineLevel="0" collapsed="false">
      <c r="A36" s="22" t="n">
        <v>35</v>
      </c>
      <c r="B36" s="22" t="s">
        <v>1382</v>
      </c>
      <c r="C36" s="22" t="s">
        <v>1766</v>
      </c>
      <c r="D36" s="22" t="s">
        <v>1767</v>
      </c>
      <c r="E36" s="22" t="s">
        <v>1768</v>
      </c>
    </row>
    <row r="37" customFormat="false" ht="23.85" hidden="false" customHeight="false" outlineLevel="0" collapsed="false">
      <c r="A37" s="22" t="n">
        <v>36</v>
      </c>
      <c r="B37" s="22" t="s">
        <v>1234</v>
      </c>
      <c r="C37" s="22" t="s">
        <v>1769</v>
      </c>
      <c r="D37" s="22" t="s">
        <v>1770</v>
      </c>
      <c r="E37" s="22" t="s">
        <v>1771</v>
      </c>
    </row>
    <row r="38" customFormat="false" ht="15" hidden="false" customHeight="false" outlineLevel="0" collapsed="false">
      <c r="A38" s="22" t="n">
        <v>37</v>
      </c>
      <c r="B38" s="22" t="s">
        <v>1772</v>
      </c>
      <c r="C38" s="22" t="s">
        <v>1773</v>
      </c>
      <c r="D38" s="22" t="s">
        <v>1774</v>
      </c>
      <c r="E38" s="22" t="s">
        <v>1775</v>
      </c>
    </row>
    <row r="39" customFormat="false" ht="15" hidden="false" customHeight="false" outlineLevel="0" collapsed="false">
      <c r="A39" s="22" t="n">
        <v>38</v>
      </c>
      <c r="B39" s="22" t="s">
        <v>1776</v>
      </c>
      <c r="C39" s="22" t="s">
        <v>1777</v>
      </c>
      <c r="D39" s="22" t="s">
        <v>1778</v>
      </c>
      <c r="E39" s="22" t="s">
        <v>1779</v>
      </c>
    </row>
    <row r="40" customFormat="false" ht="15" hidden="false" customHeight="false" outlineLevel="0" collapsed="false">
      <c r="A40" s="22" t="n">
        <v>39</v>
      </c>
      <c r="B40" s="22" t="s">
        <v>1780</v>
      </c>
      <c r="C40" s="22" t="s">
        <v>1773</v>
      </c>
      <c r="D40" s="22" t="s">
        <v>1781</v>
      </c>
      <c r="E40" s="22" t="s">
        <v>1775</v>
      </c>
    </row>
    <row r="41" customFormat="false" ht="15" hidden="false" customHeight="false" outlineLevel="0" collapsed="false">
      <c r="A41" s="22" t="n">
        <v>40</v>
      </c>
      <c r="B41" s="22" t="s">
        <v>1782</v>
      </c>
      <c r="C41" s="22" t="s">
        <v>1777</v>
      </c>
      <c r="D41" s="22" t="s">
        <v>1783</v>
      </c>
      <c r="E41" s="22" t="s">
        <v>1779</v>
      </c>
    </row>
    <row r="42" customFormat="false" ht="23.85" hidden="false" customHeight="false" outlineLevel="0" collapsed="false">
      <c r="A42" s="22" t="n">
        <v>41</v>
      </c>
      <c r="B42" s="22" t="s">
        <v>1772</v>
      </c>
      <c r="C42" s="22" t="s">
        <v>1784</v>
      </c>
      <c r="D42" s="22" t="s">
        <v>1785</v>
      </c>
      <c r="E42" s="22" t="s">
        <v>1786</v>
      </c>
    </row>
    <row r="43" customFormat="false" ht="23.85" hidden="false" customHeight="false" outlineLevel="0" collapsed="false">
      <c r="A43" s="22" t="n">
        <v>42</v>
      </c>
      <c r="B43" s="22" t="s">
        <v>1772</v>
      </c>
      <c r="C43" s="22" t="s">
        <v>1787</v>
      </c>
      <c r="D43" s="22" t="s">
        <v>1788</v>
      </c>
      <c r="E43" s="22" t="s">
        <v>1789</v>
      </c>
    </row>
    <row r="44" customFormat="false" ht="23.85" hidden="false" customHeight="false" outlineLevel="0" collapsed="false">
      <c r="A44" s="22" t="n">
        <v>43</v>
      </c>
      <c r="B44" s="22" t="s">
        <v>1790</v>
      </c>
      <c r="C44" s="22" t="s">
        <v>1784</v>
      </c>
      <c r="D44" s="22" t="s">
        <v>1791</v>
      </c>
      <c r="E44" s="22" t="s">
        <v>1786</v>
      </c>
    </row>
    <row r="45" customFormat="false" ht="23.85" hidden="false" customHeight="false" outlineLevel="0" collapsed="false">
      <c r="A45" s="22" t="n">
        <v>44</v>
      </c>
      <c r="B45" s="22" t="s">
        <v>1790</v>
      </c>
      <c r="C45" s="22" t="s">
        <v>1784</v>
      </c>
      <c r="D45" s="22" t="s">
        <v>1792</v>
      </c>
      <c r="E45" s="22" t="s">
        <v>1786</v>
      </c>
    </row>
    <row r="46" customFormat="false" ht="23.85" hidden="false" customHeight="false" outlineLevel="0" collapsed="false">
      <c r="A46" s="22" t="n">
        <v>45</v>
      </c>
      <c r="B46" s="22" t="s">
        <v>1780</v>
      </c>
      <c r="C46" s="22" t="s">
        <v>1787</v>
      </c>
      <c r="D46" s="22" t="s">
        <v>1793</v>
      </c>
      <c r="E46" s="22" t="s">
        <v>1789</v>
      </c>
    </row>
    <row r="47" customFormat="false" ht="23.85" hidden="false" customHeight="false" outlineLevel="0" collapsed="false">
      <c r="A47" s="22" t="n">
        <v>46</v>
      </c>
      <c r="B47" s="22" t="s">
        <v>1730</v>
      </c>
      <c r="C47" s="22" t="s">
        <v>1784</v>
      </c>
      <c r="D47" s="22" t="s">
        <v>1794</v>
      </c>
      <c r="E47" s="22" t="s">
        <v>1786</v>
      </c>
    </row>
    <row r="48" customFormat="false" ht="23.85" hidden="false" customHeight="false" outlineLevel="0" collapsed="false">
      <c r="A48" s="22" t="n">
        <v>47</v>
      </c>
      <c r="B48" s="22" t="s">
        <v>1730</v>
      </c>
      <c r="C48" s="22" t="s">
        <v>1787</v>
      </c>
      <c r="D48" s="22" t="s">
        <v>1795</v>
      </c>
      <c r="E48" s="22" t="s">
        <v>1789</v>
      </c>
    </row>
    <row r="49" customFormat="false" ht="23.85" hidden="false" customHeight="false" outlineLevel="0" collapsed="false">
      <c r="A49" s="22" t="n">
        <v>48</v>
      </c>
      <c r="B49" s="22" t="s">
        <v>1730</v>
      </c>
      <c r="C49" s="22" t="s">
        <v>1784</v>
      </c>
      <c r="D49" s="22" t="s">
        <v>1796</v>
      </c>
      <c r="E49" s="22" t="s">
        <v>1786</v>
      </c>
    </row>
    <row r="50" customFormat="false" ht="23.85" hidden="false" customHeight="false" outlineLevel="0" collapsed="false">
      <c r="A50" s="22" t="n">
        <v>49</v>
      </c>
      <c r="B50" s="22" t="s">
        <v>1730</v>
      </c>
      <c r="C50" s="22" t="s">
        <v>1784</v>
      </c>
      <c r="D50" s="22" t="s">
        <v>1797</v>
      </c>
      <c r="E50" s="22" t="s">
        <v>1786</v>
      </c>
    </row>
    <row r="51" customFormat="false" ht="23.85" hidden="false" customHeight="false" outlineLevel="0" collapsed="false">
      <c r="A51" s="22" t="n">
        <v>50</v>
      </c>
      <c r="B51" s="22" t="s">
        <v>1730</v>
      </c>
      <c r="C51" s="22" t="s">
        <v>1787</v>
      </c>
      <c r="D51" s="22" t="s">
        <v>1798</v>
      </c>
      <c r="E51" s="22" t="s">
        <v>1789</v>
      </c>
    </row>
    <row r="52" customFormat="false" ht="23.85" hidden="false" customHeight="false" outlineLevel="0" collapsed="false">
      <c r="A52" s="22" t="n">
        <v>51</v>
      </c>
      <c r="B52" s="22" t="s">
        <v>1730</v>
      </c>
      <c r="C52" s="22" t="s">
        <v>1787</v>
      </c>
      <c r="D52" s="22" t="s">
        <v>1799</v>
      </c>
      <c r="E52" s="22" t="s">
        <v>1789</v>
      </c>
    </row>
    <row r="53" customFormat="false" ht="23.85" hidden="false" customHeight="false" outlineLevel="0" collapsed="false">
      <c r="A53" s="22" t="n">
        <v>52</v>
      </c>
      <c r="B53" s="22" t="s">
        <v>1800</v>
      </c>
      <c r="C53" s="22" t="s">
        <v>1784</v>
      </c>
      <c r="D53" s="22" t="s">
        <v>1801</v>
      </c>
      <c r="E53" s="22" t="s">
        <v>1786</v>
      </c>
    </row>
    <row r="54" customFormat="false" ht="23.85" hidden="false" customHeight="false" outlineLevel="0" collapsed="false">
      <c r="A54" s="22" t="n">
        <v>53</v>
      </c>
      <c r="B54" s="22" t="s">
        <v>1800</v>
      </c>
      <c r="C54" s="22" t="s">
        <v>1784</v>
      </c>
      <c r="D54" s="22" t="s">
        <v>1802</v>
      </c>
      <c r="E54" s="22" t="s">
        <v>1786</v>
      </c>
    </row>
    <row r="55" customFormat="false" ht="23.85" hidden="false" customHeight="false" outlineLevel="0" collapsed="false">
      <c r="A55" s="22" t="n">
        <v>54</v>
      </c>
      <c r="B55" s="22" t="s">
        <v>1803</v>
      </c>
      <c r="C55" s="22" t="s">
        <v>1784</v>
      </c>
      <c r="D55" s="22" t="s">
        <v>1804</v>
      </c>
      <c r="E55" s="22" t="s">
        <v>1786</v>
      </c>
    </row>
    <row r="56" customFormat="false" ht="23.85" hidden="false" customHeight="false" outlineLevel="0" collapsed="false">
      <c r="A56" s="22" t="n">
        <v>55</v>
      </c>
      <c r="B56" s="22" t="s">
        <v>1805</v>
      </c>
      <c r="C56" s="22" t="s">
        <v>1787</v>
      </c>
      <c r="D56" s="22" t="s">
        <v>1806</v>
      </c>
      <c r="E56" s="22" t="s">
        <v>1789</v>
      </c>
    </row>
    <row r="57" customFormat="false" ht="23.85" hidden="false" customHeight="false" outlineLevel="0" collapsed="false">
      <c r="A57" s="22" t="n">
        <v>56</v>
      </c>
      <c r="B57" s="22" t="s">
        <v>1805</v>
      </c>
      <c r="C57" s="22" t="s">
        <v>1787</v>
      </c>
      <c r="D57" s="22" t="s">
        <v>1807</v>
      </c>
      <c r="E57" s="22" t="s">
        <v>1789</v>
      </c>
    </row>
    <row r="58" customFormat="false" ht="23.85" hidden="false" customHeight="false" outlineLevel="0" collapsed="false">
      <c r="A58" s="22" t="n">
        <v>57</v>
      </c>
      <c r="B58" s="22" t="s">
        <v>1808</v>
      </c>
      <c r="C58" s="22" t="s">
        <v>1787</v>
      </c>
      <c r="D58" s="22" t="s">
        <v>1809</v>
      </c>
      <c r="E58" s="22" t="s">
        <v>1789</v>
      </c>
    </row>
    <row r="59" customFormat="false" ht="23.85" hidden="false" customHeight="false" outlineLevel="0" collapsed="false">
      <c r="A59" s="22" t="n">
        <v>58</v>
      </c>
      <c r="B59" s="22" t="s">
        <v>1808</v>
      </c>
      <c r="C59" s="22" t="s">
        <v>1787</v>
      </c>
      <c r="D59" s="22" t="s">
        <v>1810</v>
      </c>
      <c r="E59" s="22" t="s">
        <v>1789</v>
      </c>
    </row>
    <row r="60" customFormat="false" ht="23.85" hidden="false" customHeight="false" outlineLevel="0" collapsed="false">
      <c r="A60" s="22" t="n">
        <v>59</v>
      </c>
      <c r="B60" s="22" t="s">
        <v>1808</v>
      </c>
      <c r="C60" s="22" t="s">
        <v>1787</v>
      </c>
      <c r="D60" s="22" t="s">
        <v>1811</v>
      </c>
      <c r="E60" s="22" t="s">
        <v>1789</v>
      </c>
    </row>
    <row r="61" customFormat="false" ht="23.85" hidden="false" customHeight="false" outlineLevel="0" collapsed="false">
      <c r="A61" s="22" t="n">
        <v>60</v>
      </c>
      <c r="B61" s="22" t="s">
        <v>1808</v>
      </c>
      <c r="C61" s="22" t="s">
        <v>1787</v>
      </c>
      <c r="D61" s="22" t="s">
        <v>1812</v>
      </c>
      <c r="E61" s="22" t="s">
        <v>1789</v>
      </c>
    </row>
    <row r="62" customFormat="false" ht="23.85" hidden="false" customHeight="false" outlineLevel="0" collapsed="false">
      <c r="A62" s="22" t="n">
        <v>61</v>
      </c>
      <c r="B62" s="22" t="s">
        <v>1813</v>
      </c>
      <c r="C62" s="22" t="s">
        <v>1784</v>
      </c>
      <c r="D62" s="22" t="s">
        <v>1814</v>
      </c>
      <c r="E62" s="22" t="s">
        <v>1786</v>
      </c>
    </row>
    <row r="63" customFormat="false" ht="23.85" hidden="false" customHeight="false" outlineLevel="0" collapsed="false">
      <c r="A63" s="22" t="n">
        <v>62</v>
      </c>
      <c r="B63" s="22" t="s">
        <v>1815</v>
      </c>
      <c r="C63" s="22" t="s">
        <v>1784</v>
      </c>
      <c r="D63" s="22" t="s">
        <v>1816</v>
      </c>
      <c r="E63" s="22" t="s">
        <v>1786</v>
      </c>
    </row>
    <row r="64" customFormat="false" ht="23.85" hidden="false" customHeight="false" outlineLevel="0" collapsed="false">
      <c r="A64" s="22" t="n">
        <v>63</v>
      </c>
      <c r="B64" s="22" t="s">
        <v>1815</v>
      </c>
      <c r="C64" s="22" t="s">
        <v>1784</v>
      </c>
      <c r="D64" s="22" t="s">
        <v>1817</v>
      </c>
      <c r="E64" s="22" t="s">
        <v>1786</v>
      </c>
    </row>
    <row r="65" customFormat="false" ht="23.85" hidden="false" customHeight="false" outlineLevel="0" collapsed="false">
      <c r="A65" s="22" t="n">
        <v>64</v>
      </c>
      <c r="B65" s="22" t="s">
        <v>1782</v>
      </c>
      <c r="C65" s="22" t="s">
        <v>1784</v>
      </c>
      <c r="D65" s="22" t="s">
        <v>1818</v>
      </c>
      <c r="E65" s="22" t="s">
        <v>1786</v>
      </c>
    </row>
    <row r="66" customFormat="false" ht="23.85" hidden="false" customHeight="false" outlineLevel="0" collapsed="false">
      <c r="A66" s="22" t="n">
        <v>65</v>
      </c>
      <c r="B66" s="22" t="s">
        <v>1782</v>
      </c>
      <c r="C66" s="22" t="s">
        <v>1784</v>
      </c>
      <c r="D66" s="22" t="s">
        <v>1819</v>
      </c>
      <c r="E66" s="22" t="s">
        <v>1786</v>
      </c>
    </row>
    <row r="67" customFormat="false" ht="23.85" hidden="false" customHeight="false" outlineLevel="0" collapsed="false">
      <c r="A67" s="22" t="n">
        <v>66</v>
      </c>
      <c r="B67" s="22" t="s">
        <v>1820</v>
      </c>
      <c r="C67" s="22" t="s">
        <v>1784</v>
      </c>
      <c r="D67" s="22" t="s">
        <v>1821</v>
      </c>
      <c r="E67" s="22" t="s">
        <v>1786</v>
      </c>
    </row>
    <row r="68" customFormat="false" ht="23.85" hidden="false" customHeight="false" outlineLevel="0" collapsed="false">
      <c r="A68" s="22" t="n">
        <v>67</v>
      </c>
      <c r="B68" s="22" t="s">
        <v>1822</v>
      </c>
      <c r="C68" s="22" t="s">
        <v>1784</v>
      </c>
      <c r="D68" s="22" t="s">
        <v>1823</v>
      </c>
      <c r="E68" s="22" t="s">
        <v>1786</v>
      </c>
    </row>
    <row r="69" customFormat="false" ht="23.85" hidden="false" customHeight="false" outlineLevel="0" collapsed="false">
      <c r="A69" s="22" t="n">
        <v>68</v>
      </c>
      <c r="B69" s="22" t="s">
        <v>1824</v>
      </c>
      <c r="C69" s="22" t="s">
        <v>1784</v>
      </c>
      <c r="D69" s="22" t="s">
        <v>1825</v>
      </c>
      <c r="E69" s="22" t="s">
        <v>1786</v>
      </c>
    </row>
    <row r="70" customFormat="false" ht="23.85" hidden="false" customHeight="false" outlineLevel="0" collapsed="false">
      <c r="A70" s="22" t="n">
        <v>69</v>
      </c>
      <c r="B70" s="22" t="s">
        <v>1824</v>
      </c>
      <c r="C70" s="22" t="s">
        <v>1784</v>
      </c>
      <c r="D70" s="22" t="s">
        <v>1826</v>
      </c>
      <c r="E70" s="22" t="s">
        <v>1786</v>
      </c>
    </row>
    <row r="71" customFormat="false" ht="23.85" hidden="false" customHeight="false" outlineLevel="0" collapsed="false">
      <c r="A71" s="22" t="n">
        <v>70</v>
      </c>
      <c r="B71" s="22" t="s">
        <v>1824</v>
      </c>
      <c r="C71" s="22" t="s">
        <v>1784</v>
      </c>
      <c r="D71" s="22" t="s">
        <v>1827</v>
      </c>
      <c r="E71" s="22" t="s">
        <v>1786</v>
      </c>
    </row>
    <row r="72" customFormat="false" ht="23.85" hidden="false" customHeight="false" outlineLevel="0" collapsed="false">
      <c r="A72" s="22" t="n">
        <v>71</v>
      </c>
      <c r="B72" s="22" t="s">
        <v>1824</v>
      </c>
      <c r="C72" s="22" t="s">
        <v>1784</v>
      </c>
      <c r="D72" s="22" t="s">
        <v>1828</v>
      </c>
      <c r="E72" s="22" t="s">
        <v>1786</v>
      </c>
    </row>
    <row r="73" customFormat="false" ht="23.85" hidden="false" customHeight="false" outlineLevel="0" collapsed="false">
      <c r="A73" s="22" t="n">
        <v>72</v>
      </c>
      <c r="B73" s="22" t="s">
        <v>1829</v>
      </c>
      <c r="C73" s="22" t="s">
        <v>1784</v>
      </c>
      <c r="D73" s="22" t="s">
        <v>1830</v>
      </c>
      <c r="E73" s="22" t="s">
        <v>1786</v>
      </c>
    </row>
    <row r="74" customFormat="false" ht="23.85" hidden="false" customHeight="false" outlineLevel="0" collapsed="false">
      <c r="A74" s="22" t="n">
        <v>73</v>
      </c>
      <c r="B74" s="22" t="s">
        <v>1829</v>
      </c>
      <c r="C74" s="22" t="s">
        <v>1784</v>
      </c>
      <c r="D74" s="22" t="s">
        <v>1831</v>
      </c>
      <c r="E74" s="22" t="s">
        <v>1786</v>
      </c>
    </row>
    <row r="75" customFormat="false" ht="23.85" hidden="false" customHeight="false" outlineLevel="0" collapsed="false">
      <c r="A75" s="22" t="n">
        <v>74</v>
      </c>
      <c r="B75" s="22" t="s">
        <v>1832</v>
      </c>
      <c r="C75" s="22" t="s">
        <v>1784</v>
      </c>
      <c r="D75" s="22" t="s">
        <v>1833</v>
      </c>
      <c r="E75" s="22" t="s">
        <v>1786</v>
      </c>
    </row>
    <row r="76" customFormat="false" ht="23.85" hidden="false" customHeight="false" outlineLevel="0" collapsed="false">
      <c r="A76" s="22" t="n">
        <v>75</v>
      </c>
      <c r="B76" s="22" t="s">
        <v>1834</v>
      </c>
      <c r="C76" s="22" t="s">
        <v>1787</v>
      </c>
      <c r="D76" s="22" t="s">
        <v>1835</v>
      </c>
      <c r="E76" s="22" t="s">
        <v>1789</v>
      </c>
    </row>
    <row r="77" customFormat="false" ht="23.85" hidden="false" customHeight="false" outlineLevel="0" collapsed="false">
      <c r="A77" s="22" t="n">
        <v>76</v>
      </c>
      <c r="B77" s="22" t="s">
        <v>1834</v>
      </c>
      <c r="C77" s="22" t="s">
        <v>1787</v>
      </c>
      <c r="D77" s="22" t="s">
        <v>1836</v>
      </c>
      <c r="E77" s="22" t="s">
        <v>1789</v>
      </c>
    </row>
    <row r="78" customFormat="false" ht="23.85" hidden="false" customHeight="false" outlineLevel="0" collapsed="false">
      <c r="A78" s="22" t="n">
        <v>77</v>
      </c>
      <c r="B78" s="22" t="s">
        <v>1837</v>
      </c>
      <c r="C78" s="22" t="s">
        <v>1787</v>
      </c>
      <c r="D78" s="22" t="s">
        <v>1838</v>
      </c>
      <c r="E78" s="22" t="s">
        <v>1789</v>
      </c>
    </row>
    <row r="79" customFormat="false" ht="23.85" hidden="false" customHeight="false" outlineLevel="0" collapsed="false">
      <c r="A79" s="22" t="n">
        <v>78</v>
      </c>
      <c r="B79" s="22" t="s">
        <v>1837</v>
      </c>
      <c r="C79" s="22" t="s">
        <v>1787</v>
      </c>
      <c r="D79" s="22" t="s">
        <v>1839</v>
      </c>
      <c r="E79" s="22" t="s">
        <v>1789</v>
      </c>
    </row>
    <row r="80" customFormat="false" ht="23.85" hidden="false" customHeight="false" outlineLevel="0" collapsed="false">
      <c r="A80" s="22" t="n">
        <v>79</v>
      </c>
      <c r="B80" s="22" t="s">
        <v>1837</v>
      </c>
      <c r="C80" s="22" t="s">
        <v>1787</v>
      </c>
      <c r="D80" s="22" t="s">
        <v>1840</v>
      </c>
      <c r="E80" s="22" t="s">
        <v>1789</v>
      </c>
    </row>
    <row r="81" customFormat="false" ht="23.85" hidden="false" customHeight="false" outlineLevel="0" collapsed="false">
      <c r="A81" s="22" t="n">
        <v>80</v>
      </c>
      <c r="B81" s="22" t="s">
        <v>1730</v>
      </c>
      <c r="C81" s="22" t="s">
        <v>1787</v>
      </c>
      <c r="D81" s="22" t="s">
        <v>1841</v>
      </c>
      <c r="E81" s="22" t="s">
        <v>1789</v>
      </c>
    </row>
    <row r="82" customFormat="false" ht="23.85" hidden="false" customHeight="false" outlineLevel="0" collapsed="false">
      <c r="A82" s="22" t="n">
        <v>81</v>
      </c>
      <c r="B82" s="22" t="s">
        <v>1730</v>
      </c>
      <c r="C82" s="22" t="s">
        <v>1787</v>
      </c>
      <c r="D82" s="22" t="s">
        <v>1842</v>
      </c>
      <c r="E82" s="22" t="s">
        <v>1789</v>
      </c>
    </row>
    <row r="83" customFormat="false" ht="23.85" hidden="false" customHeight="false" outlineLevel="0" collapsed="false">
      <c r="A83" s="22" t="n">
        <v>82</v>
      </c>
      <c r="B83" s="22" t="s">
        <v>1730</v>
      </c>
      <c r="C83" s="22" t="s">
        <v>1787</v>
      </c>
      <c r="D83" s="22" t="s">
        <v>1843</v>
      </c>
      <c r="E83" s="22" t="s">
        <v>1789</v>
      </c>
    </row>
    <row r="84" customFormat="false" ht="23.85" hidden="false" customHeight="false" outlineLevel="0" collapsed="false">
      <c r="A84" s="22" t="n">
        <v>83</v>
      </c>
      <c r="B84" s="22" t="s">
        <v>1730</v>
      </c>
      <c r="C84" s="22" t="s">
        <v>1787</v>
      </c>
      <c r="D84" s="22" t="s">
        <v>1844</v>
      </c>
      <c r="E84" s="22" t="s">
        <v>1789</v>
      </c>
    </row>
    <row r="85" customFormat="false" ht="23.85" hidden="false" customHeight="false" outlineLevel="0" collapsed="false">
      <c r="A85" s="22" t="n">
        <v>84</v>
      </c>
      <c r="B85" s="22" t="s">
        <v>1730</v>
      </c>
      <c r="C85" s="22" t="s">
        <v>1787</v>
      </c>
      <c r="D85" s="22" t="s">
        <v>1845</v>
      </c>
      <c r="E85" s="22" t="s">
        <v>1789</v>
      </c>
    </row>
    <row r="86" customFormat="false" ht="23.85" hidden="false" customHeight="false" outlineLevel="0" collapsed="false">
      <c r="A86" s="22" t="n">
        <v>85</v>
      </c>
      <c r="B86" s="22" t="s">
        <v>1730</v>
      </c>
      <c r="C86" s="22" t="s">
        <v>1787</v>
      </c>
      <c r="D86" s="22" t="s">
        <v>1846</v>
      </c>
      <c r="E86" s="22" t="s">
        <v>1789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80"/>
    <col collapsed="false" customWidth="true" hidden="false" outlineLevel="0" max="4" min="4" style="0" width="50"/>
  </cols>
  <sheetData>
    <row r="1" customFormat="false" ht="42" hidden="false" customHeight="true" outlineLevel="0" collapsed="false">
      <c r="A1" s="4" t="s">
        <v>1847</v>
      </c>
      <c r="B1" s="4" t="s">
        <v>1430</v>
      </c>
      <c r="C1" s="4" t="s">
        <v>1848</v>
      </c>
      <c r="D1" s="4" t="s">
        <v>1849</v>
      </c>
    </row>
    <row r="2" customFormat="false" ht="15" hidden="false" customHeight="false" outlineLevel="0" collapsed="false">
      <c r="A2" s="23" t="s">
        <v>33</v>
      </c>
      <c r="B2" s="24" t="s">
        <v>82</v>
      </c>
      <c r="C2" s="24" t="s">
        <v>1850</v>
      </c>
      <c r="D2" s="24" t="s">
        <v>1851</v>
      </c>
    </row>
    <row r="3" customFormat="false" ht="23.85" hidden="false" customHeight="false" outlineLevel="0" collapsed="false">
      <c r="A3" s="23" t="s">
        <v>33</v>
      </c>
      <c r="B3" s="24" t="s">
        <v>113</v>
      </c>
      <c r="C3" s="24" t="s">
        <v>1852</v>
      </c>
      <c r="D3" s="24" t="s">
        <v>1853</v>
      </c>
    </row>
    <row r="4" customFormat="false" ht="23.85" hidden="false" customHeight="false" outlineLevel="0" collapsed="false">
      <c r="A4" s="23" t="s">
        <v>1450</v>
      </c>
      <c r="B4" s="24" t="s">
        <v>103</v>
      </c>
      <c r="C4" s="24" t="s">
        <v>1854</v>
      </c>
      <c r="D4" s="24" t="s">
        <v>1855</v>
      </c>
    </row>
    <row r="5" customFormat="false" ht="23.85" hidden="false" customHeight="false" outlineLevel="0" collapsed="false">
      <c r="A5" s="23" t="s">
        <v>1450</v>
      </c>
      <c r="B5" s="24" t="s">
        <v>191</v>
      </c>
      <c r="C5" s="24" t="s">
        <v>1856</v>
      </c>
      <c r="D5" s="24" t="s">
        <v>1857</v>
      </c>
    </row>
    <row r="6" customFormat="false" ht="23.85" hidden="false" customHeight="false" outlineLevel="0" collapsed="false">
      <c r="A6" s="23" t="s">
        <v>1450</v>
      </c>
      <c r="B6" s="24" t="s">
        <v>83</v>
      </c>
      <c r="C6" s="24" t="s">
        <v>1858</v>
      </c>
      <c r="D6" s="24" t="s">
        <v>1859</v>
      </c>
    </row>
    <row r="7" customFormat="false" ht="23.85" hidden="false" customHeight="false" outlineLevel="0" collapsed="false">
      <c r="A7" s="23" t="s">
        <v>1450</v>
      </c>
      <c r="B7" s="24" t="s">
        <v>450</v>
      </c>
      <c r="C7" s="24" t="s">
        <v>1860</v>
      </c>
      <c r="D7" s="24" t="s">
        <v>1861</v>
      </c>
    </row>
    <row r="8" customFormat="false" ht="23.85" hidden="false" customHeight="false" outlineLevel="0" collapsed="false">
      <c r="A8" s="23" t="s">
        <v>1451</v>
      </c>
      <c r="B8" s="24" t="s">
        <v>425</v>
      </c>
      <c r="C8" s="24" t="s">
        <v>1862</v>
      </c>
      <c r="D8" s="24" t="s">
        <v>1863</v>
      </c>
    </row>
    <row r="9" customFormat="false" ht="23.85" hidden="false" customHeight="false" outlineLevel="0" collapsed="false">
      <c r="A9" s="23" t="s">
        <v>1451</v>
      </c>
      <c r="B9" s="24" t="s">
        <v>422</v>
      </c>
      <c r="C9" s="24" t="s">
        <v>1864</v>
      </c>
      <c r="D9" s="24" t="s">
        <v>1865</v>
      </c>
    </row>
    <row r="10" customFormat="false" ht="23.85" hidden="false" customHeight="false" outlineLevel="0" collapsed="false">
      <c r="A10" s="23" t="s">
        <v>1451</v>
      </c>
      <c r="B10" s="24" t="s">
        <v>430</v>
      </c>
      <c r="C10" s="24" t="s">
        <v>1866</v>
      </c>
      <c r="D10" s="24" t="s">
        <v>1867</v>
      </c>
    </row>
    <row r="11" customFormat="false" ht="15" hidden="false" customHeight="false" outlineLevel="0" collapsed="false">
      <c r="A11" s="23" t="s">
        <v>1451</v>
      </c>
      <c r="B11" s="24" t="s">
        <v>315</v>
      </c>
      <c r="C11" s="24" t="s">
        <v>1868</v>
      </c>
      <c r="D11" s="24" t="s">
        <v>1869</v>
      </c>
    </row>
    <row r="12" customFormat="false" ht="23.85" hidden="false" customHeight="false" outlineLevel="0" collapsed="false">
      <c r="A12" s="23" t="s">
        <v>1451</v>
      </c>
      <c r="B12" s="24" t="s">
        <v>114</v>
      </c>
      <c r="C12" s="24" t="s">
        <v>1870</v>
      </c>
      <c r="D12" s="24" t="s">
        <v>1871</v>
      </c>
    </row>
    <row r="13" customFormat="false" ht="15" hidden="false" customHeight="false" outlineLevel="0" collapsed="false">
      <c r="A13" s="23" t="s">
        <v>35</v>
      </c>
      <c r="B13" s="24" t="s">
        <v>125</v>
      </c>
      <c r="C13" s="24" t="s">
        <v>1872</v>
      </c>
      <c r="D13" s="24" t="s">
        <v>1873</v>
      </c>
    </row>
    <row r="14" customFormat="false" ht="15" hidden="false" customHeight="false" outlineLevel="0" collapsed="false">
      <c r="A14" s="23" t="s">
        <v>35</v>
      </c>
      <c r="B14" s="24" t="s">
        <v>120</v>
      </c>
      <c r="C14" s="24" t="s">
        <v>1874</v>
      </c>
      <c r="D14" s="24" t="s">
        <v>1875</v>
      </c>
    </row>
    <row r="15" customFormat="false" ht="15" hidden="false" customHeight="false" outlineLevel="0" collapsed="false">
      <c r="A15" s="23" t="s">
        <v>35</v>
      </c>
      <c r="B15" s="24" t="s">
        <v>115</v>
      </c>
      <c r="C15" s="24" t="s">
        <v>1876</v>
      </c>
      <c r="D15" s="24" t="s">
        <v>1877</v>
      </c>
    </row>
    <row r="16" customFormat="false" ht="23.85" hidden="false" customHeight="false" outlineLevel="0" collapsed="false">
      <c r="A16" s="23" t="s">
        <v>1451</v>
      </c>
      <c r="B16" s="24" t="s">
        <v>782</v>
      </c>
      <c r="C16" s="24" t="s">
        <v>1878</v>
      </c>
      <c r="D16" s="24" t="s">
        <v>1879</v>
      </c>
    </row>
    <row r="17" customFormat="false" ht="15" hidden="false" customHeight="false" outlineLevel="0" collapsed="false">
      <c r="A17" s="23" t="s">
        <v>25</v>
      </c>
      <c r="B17" s="24" t="s">
        <v>74</v>
      </c>
      <c r="C17" s="24" t="s">
        <v>1880</v>
      </c>
      <c r="D17" s="24" t="s">
        <v>1881</v>
      </c>
    </row>
    <row r="18" customFormat="false" ht="15" hidden="false" customHeight="false" outlineLevel="0" collapsed="false">
      <c r="A18" s="23" t="s">
        <v>25</v>
      </c>
      <c r="B18" s="24" t="s">
        <v>131</v>
      </c>
      <c r="C18" s="24" t="s">
        <v>1882</v>
      </c>
      <c r="D18" s="24" t="s">
        <v>1883</v>
      </c>
    </row>
    <row r="19" customFormat="false" ht="23.85" hidden="false" customHeight="false" outlineLevel="0" collapsed="false">
      <c r="A19" s="23" t="s">
        <v>25</v>
      </c>
      <c r="B19" s="24" t="s">
        <v>174</v>
      </c>
      <c r="C19" s="24" t="s">
        <v>1884</v>
      </c>
      <c r="D19" s="24" t="s">
        <v>1885</v>
      </c>
    </row>
    <row r="20" customFormat="false" ht="15" hidden="false" customHeight="false" outlineLevel="0" collapsed="false">
      <c r="A20" s="23" t="s">
        <v>25</v>
      </c>
      <c r="B20" s="24" t="s">
        <v>161</v>
      </c>
      <c r="C20" s="24" t="s">
        <v>1886</v>
      </c>
      <c r="D20" s="24" t="s">
        <v>1887</v>
      </c>
    </row>
    <row r="21" customFormat="false" ht="15" hidden="false" customHeight="false" outlineLevel="0" collapsed="false">
      <c r="A21" s="23" t="s">
        <v>25</v>
      </c>
      <c r="B21" s="24" t="s">
        <v>1888</v>
      </c>
      <c r="C21" s="24" t="s">
        <v>1889</v>
      </c>
      <c r="D21" s="24" t="s">
        <v>1890</v>
      </c>
    </row>
    <row r="22" customFormat="false" ht="23.85" hidden="false" customHeight="false" outlineLevel="0" collapsed="false">
      <c r="A22" s="23" t="s">
        <v>38</v>
      </c>
      <c r="B22" s="24" t="s">
        <v>1891</v>
      </c>
      <c r="C22" s="24" t="s">
        <v>1892</v>
      </c>
      <c r="D22" s="24"/>
    </row>
    <row r="23" customFormat="false" ht="23.85" hidden="false" customHeight="false" outlineLevel="0" collapsed="false">
      <c r="A23" s="23" t="s">
        <v>45</v>
      </c>
      <c r="B23" s="24" t="s">
        <v>99</v>
      </c>
      <c r="C23" s="24" t="s">
        <v>1893</v>
      </c>
      <c r="D23" s="24"/>
    </row>
    <row r="24" customFormat="false" ht="15" hidden="false" customHeight="false" outlineLevel="0" collapsed="false">
      <c r="A24" s="23" t="s">
        <v>45</v>
      </c>
      <c r="B24" s="24" t="s">
        <v>138</v>
      </c>
      <c r="C24" s="24" t="s">
        <v>1894</v>
      </c>
      <c r="D24" s="24"/>
    </row>
    <row r="25" customFormat="false" ht="15" hidden="false" customHeight="false" outlineLevel="0" collapsed="false">
      <c r="A25" s="23" t="s">
        <v>45</v>
      </c>
      <c r="B25" s="24" t="s">
        <v>87</v>
      </c>
      <c r="C25" s="24" t="s">
        <v>1895</v>
      </c>
      <c r="D25" s="24"/>
    </row>
    <row r="26" customFormat="false" ht="15" hidden="false" customHeight="false" outlineLevel="0" collapsed="false">
      <c r="A26" s="23" t="s">
        <v>45</v>
      </c>
      <c r="B26" s="24" t="s">
        <v>289</v>
      </c>
      <c r="C26" s="24" t="s">
        <v>1896</v>
      </c>
      <c r="D26" s="24"/>
    </row>
    <row r="27" customFormat="false" ht="15" hidden="false" customHeight="false" outlineLevel="0" collapsed="false">
      <c r="A27" s="23" t="s">
        <v>45</v>
      </c>
      <c r="B27" s="24" t="s">
        <v>498</v>
      </c>
      <c r="C27" s="24" t="s">
        <v>1897</v>
      </c>
      <c r="D27" s="24"/>
    </row>
    <row r="28" customFormat="false" ht="23.85" hidden="false" customHeight="false" outlineLevel="0" collapsed="false">
      <c r="A28" s="23" t="s">
        <v>1898</v>
      </c>
      <c r="B28" s="24"/>
      <c r="C28" s="24" t="s">
        <v>1899</v>
      </c>
      <c r="D28" s="24"/>
    </row>
    <row r="29" customFormat="false" ht="23.85" hidden="false" customHeight="false" outlineLevel="0" collapsed="false">
      <c r="A29" s="23" t="s">
        <v>1900</v>
      </c>
      <c r="B29" s="24"/>
      <c r="C29" s="24" t="s">
        <v>1901</v>
      </c>
      <c r="D29" s="24"/>
    </row>
    <row r="30" customFormat="false" ht="23.85" hidden="false" customHeight="false" outlineLevel="0" collapsed="false">
      <c r="A30" s="23" t="s">
        <v>1902</v>
      </c>
      <c r="B30" s="24"/>
      <c r="C30" s="24" t="s">
        <v>1903</v>
      </c>
      <c r="D30" s="24"/>
    </row>
    <row r="31" customFormat="false" ht="23.85" hidden="false" customHeight="false" outlineLevel="0" collapsed="false">
      <c r="A31" s="23" t="s">
        <v>32</v>
      </c>
      <c r="B31" s="24"/>
      <c r="C31" s="24" t="s">
        <v>1904</v>
      </c>
      <c r="D31" s="24" t="s">
        <v>1905</v>
      </c>
    </row>
    <row r="32" customFormat="false" ht="23.85" hidden="false" customHeight="false" outlineLevel="0" collapsed="false">
      <c r="A32" s="23" t="s">
        <v>23</v>
      </c>
      <c r="B32" s="24"/>
      <c r="C32" s="24" t="s">
        <v>1906</v>
      </c>
      <c r="D32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2026-10-08T11:48:26Z</dcterms:created>
  <dc:creator>openpyxl</dc:creator>
  <dc:description/>
  <dc:language>en-US</dc:language>
  <cp:lastModifiedBy/>
  <dcterms:modified xsi:type="dcterms:W3CDTF">2026-10-08T11:48:27Z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